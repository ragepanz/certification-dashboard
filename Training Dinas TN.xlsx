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5.xml" ContentType="application/vnd.openxmlformats-officedocument.spreadsheetml.pivot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place\Project Magang GMF\sertification\"/>
    </mc:Choice>
  </mc:AlternateContent>
  <xr:revisionPtr revIDLastSave="0" documentId="8_{89B7255E-493F-40A7-8F43-64E0E2709B6A}" xr6:coauthVersionLast="47" xr6:coauthVersionMax="47" xr10:uidLastSave="{00000000-0000-0000-0000-000000000000}"/>
  <bookViews>
    <workbookView xWindow="-120" yWindow="-120" windowWidth="29040" windowHeight="15720" tabRatio="754" firstSheet="6" activeTab="6" xr2:uid="{42D84CA3-7AD1-478F-AB9C-0DDB9701AF85}"/>
  </bookViews>
  <sheets>
    <sheet name="Sheet4" sheetId="4" state="hidden" r:id="rId1"/>
    <sheet name="Dashboard" sheetId="5" state="hidden" r:id="rId2"/>
    <sheet name="Sheet2" sheetId="9" state="hidden" r:id="rId3"/>
    <sheet name="Pivot" sheetId="10" state="hidden" r:id="rId4"/>
    <sheet name="Pivot AMEL" sheetId="12" state="hidden" r:id="rId5"/>
    <sheet name="Sheet3" sheetId="14" state="hidden" r:id="rId6"/>
    <sheet name="TrainingData" sheetId="2" r:id="rId7"/>
    <sheet name="Sheet1" sheetId="7" state="hidden" r:id="rId8"/>
    <sheet name="TrainingMan" sheetId="6" state="hidden" r:id="rId9"/>
    <sheet name="TN" sheetId="8" state="hidden" r:id="rId10"/>
    <sheet name="TrainingReq (Ach)" sheetId="3" state="hidden" r:id="rId11"/>
  </sheets>
  <externalReferences>
    <externalReference r:id="rId12"/>
  </externalReferences>
  <definedNames>
    <definedName name="_xlnm._FilterDatabase" localSheetId="1" hidden="1">Dashboard!$A$1:$E$1</definedName>
    <definedName name="_xlnm._FilterDatabase" localSheetId="4" hidden="1">'Pivot AMEL'!$L$1:$P$1</definedName>
    <definedName name="_xlnm._FilterDatabase" localSheetId="8" hidden="1">TrainingMan!$A$1:$F$337</definedName>
    <definedName name="_xlnm._FilterDatabase" localSheetId="10" hidden="1">'TrainingReq (Ach)'!$A$1:$F$306</definedName>
    <definedName name="_xlchart.v2.0" hidden="1">Pivot!$D$32:$D$35</definedName>
    <definedName name="_xlchart.v2.1" hidden="1">Pivot!$E$32:$E$35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208" i="2" l="1"/>
  <c r="CI208" i="2"/>
  <c r="CH208" i="2"/>
  <c r="CE208" i="2"/>
  <c r="BQ208" i="2"/>
  <c r="AA208" i="2"/>
  <c r="CJ205" i="2"/>
  <c r="CI205" i="2"/>
  <c r="CH205" i="2"/>
  <c r="CE205" i="2"/>
  <c r="BQ205" i="2"/>
  <c r="AA205" i="2"/>
  <c r="BQ206" i="2"/>
  <c r="CE206" i="2"/>
  <c r="CH206" i="2"/>
  <c r="CI206" i="2"/>
  <c r="CJ206" i="2"/>
  <c r="AA207" i="2"/>
  <c r="BQ207" i="2"/>
  <c r="CE207" i="2"/>
  <c r="CH207" i="2"/>
  <c r="CI207" i="2"/>
  <c r="CJ207" i="2"/>
  <c r="BQ202" i="2"/>
  <c r="CE202" i="2"/>
  <c r="CH202" i="2"/>
  <c r="CI202" i="2"/>
  <c r="CJ202" i="2"/>
  <c r="AA209" i="2"/>
  <c r="BQ209" i="2"/>
  <c r="CE209" i="2"/>
  <c r="CH209" i="2"/>
  <c r="CI209" i="2"/>
  <c r="CJ209" i="2"/>
  <c r="BQ203" i="2"/>
  <c r="CE203" i="2"/>
  <c r="CH203" i="2"/>
  <c r="CI203" i="2"/>
  <c r="CJ203" i="2"/>
  <c r="AA204" i="2"/>
  <c r="BQ204" i="2"/>
  <c r="CE204" i="2"/>
  <c r="CH204" i="2"/>
  <c r="CI204" i="2"/>
  <c r="CJ204" i="2"/>
  <c r="E33" i="10"/>
  <c r="E32" i="10"/>
  <c r="E35" i="10"/>
  <c r="E34" i="10"/>
  <c r="P10" i="12"/>
  <c r="E40" i="12"/>
  <c r="CJ197" i="2"/>
  <c r="CI197" i="2"/>
  <c r="CH197" i="2"/>
  <c r="CE197" i="2"/>
  <c r="BQ197" i="2"/>
  <c r="BQ201" i="2"/>
  <c r="CE201" i="2"/>
  <c r="CH201" i="2"/>
  <c r="CI201" i="2"/>
  <c r="CJ201" i="2"/>
  <c r="BQ198" i="2"/>
  <c r="CE198" i="2"/>
  <c r="CH198" i="2"/>
  <c r="CI198" i="2"/>
  <c r="CJ198" i="2"/>
  <c r="BQ199" i="2"/>
  <c r="CE199" i="2"/>
  <c r="CH199" i="2"/>
  <c r="CI199" i="2"/>
  <c r="CJ199" i="2"/>
  <c r="BQ200" i="2"/>
  <c r="CE200" i="2"/>
  <c r="CH200" i="2"/>
  <c r="CI200" i="2"/>
  <c r="CJ200" i="2"/>
  <c r="CJ196" i="2"/>
  <c r="CI196" i="2"/>
  <c r="CH196" i="2"/>
  <c r="CE196" i="2"/>
  <c r="BQ196" i="2"/>
  <c r="C25" i="12"/>
  <c r="I5" i="12"/>
  <c r="I6" i="12"/>
  <c r="O5" i="12"/>
  <c r="N3" i="12"/>
  <c r="I8" i="12"/>
  <c r="F25" i="12"/>
  <c r="C21" i="12"/>
  <c r="C36" i="12"/>
  <c r="C39" i="12"/>
  <c r="F21" i="12"/>
  <c r="O8" i="12"/>
  <c r="D42" i="12"/>
  <c r="N4" i="12"/>
  <c r="C41" i="12"/>
  <c r="C38" i="12"/>
  <c r="F24" i="12"/>
  <c r="C34" i="12"/>
  <c r="I7" i="10"/>
  <c r="C24" i="12"/>
  <c r="D37" i="12"/>
  <c r="I6" i="10"/>
  <c r="F23" i="12"/>
  <c r="I4" i="10"/>
  <c r="F22" i="12"/>
  <c r="C42" i="12"/>
  <c r="N8" i="12"/>
  <c r="F27" i="12"/>
  <c r="I5" i="10"/>
  <c r="N6" i="12"/>
  <c r="C22" i="12"/>
  <c r="O7" i="12"/>
  <c r="D35" i="12"/>
  <c r="I7" i="12"/>
  <c r="F26" i="12"/>
  <c r="C26" i="12"/>
  <c r="F29" i="12"/>
  <c r="F28" i="12"/>
  <c r="C23" i="12"/>
  <c r="I4" i="12"/>
  <c r="N9" i="12"/>
  <c r="N2" i="12"/>
  <c r="I8" i="10"/>
  <c r="P2" i="12" l="1"/>
  <c r="E35" i="12"/>
  <c r="E36" i="12"/>
  <c r="E37" i="12"/>
  <c r="E38" i="12"/>
  <c r="E39" i="12"/>
  <c r="E41" i="12"/>
  <c r="E42" i="12"/>
  <c r="E34" i="12"/>
  <c r="P8" i="12"/>
  <c r="P6" i="12"/>
  <c r="P3" i="12"/>
  <c r="P9" i="12"/>
  <c r="P5" i="12"/>
  <c r="P7" i="12"/>
  <c r="P4" i="1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I9" i="2"/>
  <c r="CI3" i="2"/>
  <c r="CI4" i="2"/>
  <c r="CI5" i="2"/>
  <c r="CI6" i="2"/>
  <c r="CI7" i="2"/>
  <c r="CI8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I167" i="2"/>
  <c r="CI168" i="2"/>
  <c r="CI169" i="2"/>
  <c r="CI170" i="2"/>
  <c r="CI171" i="2"/>
  <c r="CI172" i="2"/>
  <c r="CI173" i="2"/>
  <c r="CI174" i="2"/>
  <c r="CI175" i="2"/>
  <c r="CI176" i="2"/>
  <c r="CI177" i="2"/>
  <c r="CI178" i="2"/>
  <c r="CI179" i="2"/>
  <c r="CI180" i="2"/>
  <c r="CI181" i="2"/>
  <c r="CI182" i="2"/>
  <c r="CI183" i="2"/>
  <c r="CI184" i="2"/>
  <c r="CI185" i="2"/>
  <c r="CI186" i="2"/>
  <c r="CI187" i="2"/>
  <c r="CI188" i="2"/>
  <c r="CI189" i="2"/>
  <c r="CI190" i="2"/>
  <c r="CI191" i="2"/>
  <c r="CI192" i="2"/>
  <c r="CI193" i="2"/>
  <c r="CI194" i="2"/>
  <c r="CI195" i="2"/>
  <c r="CH132" i="2"/>
  <c r="CH131" i="2"/>
  <c r="CH3" i="2" l="1"/>
  <c r="G171" i="6"/>
  <c r="G170" i="6"/>
  <c r="G169" i="6"/>
  <c r="BQ158" i="2"/>
  <c r="G149" i="3"/>
  <c r="G150" i="3"/>
  <c r="G151" i="3"/>
  <c r="G152" i="3"/>
  <c r="G153" i="3"/>
  <c r="G154" i="3"/>
  <c r="G155" i="3"/>
  <c r="G156" i="3"/>
  <c r="G157" i="3"/>
  <c r="G160" i="6"/>
  <c r="G161" i="6"/>
  <c r="G162" i="6"/>
  <c r="G163" i="6"/>
  <c r="G164" i="6"/>
  <c r="G165" i="6"/>
  <c r="G166" i="6"/>
  <c r="G167" i="6"/>
  <c r="G168" i="6"/>
  <c r="G249" i="3"/>
  <c r="G173" i="3"/>
  <c r="G174" i="3"/>
  <c r="G159" i="3"/>
  <c r="G160" i="3"/>
  <c r="G273" i="6"/>
  <c r="AX21" i="8" l="1"/>
  <c r="AX20" i="8"/>
  <c r="AX19" i="8"/>
  <c r="AX18" i="8"/>
  <c r="AX17" i="8"/>
  <c r="AX16" i="8"/>
  <c r="AX15" i="8"/>
  <c r="AX14" i="8"/>
  <c r="AX13" i="8"/>
  <c r="AX12" i="8"/>
  <c r="AX11" i="8"/>
  <c r="AX10" i="8"/>
  <c r="AX9" i="8"/>
  <c r="AX8" i="8"/>
  <c r="AX7" i="8"/>
  <c r="AX6" i="8"/>
  <c r="AX5" i="8"/>
  <c r="AX4" i="8"/>
  <c r="AX3" i="8"/>
  <c r="AX2" i="8"/>
  <c r="BQ181" i="2" l="1"/>
  <c r="BQ99" i="2"/>
  <c r="M148" i="2"/>
  <c r="BQ148" i="2"/>
  <c r="AA99" i="2"/>
  <c r="Y99" i="2"/>
  <c r="W99" i="2"/>
  <c r="U99" i="2"/>
  <c r="S99" i="2"/>
  <c r="Q99" i="2"/>
  <c r="O99" i="2"/>
  <c r="M99" i="2"/>
  <c r="K99" i="2"/>
  <c r="I99" i="2"/>
  <c r="BR99" i="2" l="1" a="1"/>
  <c r="BR99" i="2" s="1"/>
  <c r="BS99" i="2" s="1"/>
  <c r="M180" i="2" l="1"/>
  <c r="H9" i="7" l="1"/>
  <c r="H11" i="7"/>
  <c r="H13" i="7"/>
  <c r="H17" i="7"/>
  <c r="BQ180" i="2" l="1"/>
  <c r="G148" i="3"/>
  <c r="G147" i="3"/>
  <c r="G146" i="3"/>
  <c r="BQ4" i="2"/>
  <c r="BQ145" i="2" l="1"/>
  <c r="BQ146" i="2"/>
  <c r="BQ147" i="2"/>
  <c r="BQ173" i="2"/>
  <c r="BQ192" i="2"/>
  <c r="BQ193" i="2"/>
  <c r="BQ194" i="2"/>
  <c r="CG136" i="2" l="1"/>
  <c r="G78" i="6"/>
  <c r="G316" i="6"/>
  <c r="G317" i="6"/>
  <c r="G318" i="6"/>
  <c r="G319" i="6"/>
  <c r="G320" i="6"/>
  <c r="G321" i="6"/>
  <c r="G322" i="6"/>
  <c r="G153" i="6"/>
  <c r="G154" i="6"/>
  <c r="G155" i="6"/>
  <c r="G156" i="6"/>
  <c r="G157" i="6"/>
  <c r="G158" i="6"/>
  <c r="G159" i="6"/>
  <c r="G75" i="6"/>
  <c r="G76" i="6"/>
  <c r="G77" i="6"/>
  <c r="G79" i="6"/>
  <c r="G80" i="6"/>
  <c r="G81" i="6"/>
  <c r="G207" i="6"/>
  <c r="G208" i="6"/>
  <c r="G209" i="6"/>
  <c r="G202" i="6"/>
  <c r="G203" i="6"/>
  <c r="G204" i="6"/>
  <c r="G205" i="6"/>
  <c r="G206" i="6"/>
  <c r="G197" i="6"/>
  <c r="G198" i="6"/>
  <c r="G199" i="6"/>
  <c r="G184" i="6"/>
  <c r="G185" i="6"/>
  <c r="G186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1" i="6"/>
  <c r="G200" i="6"/>
  <c r="G196" i="6"/>
  <c r="G195" i="6"/>
  <c r="G194" i="6"/>
  <c r="G193" i="6"/>
  <c r="G192" i="6"/>
  <c r="G191" i="6"/>
  <c r="G190" i="6"/>
  <c r="G189" i="6"/>
  <c r="G188" i="6"/>
  <c r="G187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BQ5" i="2"/>
  <c r="BQ13" i="2"/>
  <c r="BQ29" i="2"/>
  <c r="BQ50" i="2"/>
  <c r="BQ73" i="2"/>
  <c r="BQ91" i="2"/>
  <c r="BQ136" i="2"/>
  <c r="BQ154" i="2"/>
  <c r="BQ157" i="2"/>
  <c r="BQ166" i="2"/>
  <c r="BQ186" i="2"/>
  <c r="BQ188" i="2"/>
  <c r="BQ3" i="2"/>
  <c r="BQ6" i="2"/>
  <c r="BQ7" i="2"/>
  <c r="BQ8" i="2"/>
  <c r="BQ9" i="2"/>
  <c r="BQ10" i="2"/>
  <c r="BQ11" i="2"/>
  <c r="BQ12" i="2"/>
  <c r="BQ14" i="2"/>
  <c r="BQ15" i="2"/>
  <c r="J134" i="2"/>
  <c r="L185" i="2"/>
  <c r="L134" i="2"/>
  <c r="L132" i="2"/>
  <c r="G145" i="3"/>
  <c r="G144" i="3"/>
  <c r="G143" i="3"/>
  <c r="J144" i="2"/>
  <c r="L156" i="2"/>
  <c r="L155" i="2"/>
  <c r="L144" i="2"/>
  <c r="L143" i="2"/>
  <c r="L142" i="2"/>
  <c r="L141" i="2"/>
  <c r="L140" i="2"/>
  <c r="L139" i="2"/>
  <c r="L138" i="2"/>
  <c r="L135" i="2"/>
  <c r="L115" i="2"/>
  <c r="L114" i="2"/>
  <c r="L113" i="2"/>
  <c r="L112" i="2"/>
  <c r="L98" i="2"/>
  <c r="L97" i="2"/>
  <c r="L96" i="2"/>
  <c r="L79" i="2"/>
  <c r="L78" i="2"/>
  <c r="L77" i="2"/>
  <c r="L60" i="2"/>
  <c r="L59" i="2"/>
  <c r="L58" i="2"/>
  <c r="L42" i="2"/>
  <c r="L41" i="2"/>
  <c r="L40" i="2"/>
  <c r="L39" i="2"/>
  <c r="L23" i="2"/>
  <c r="L22" i="2"/>
  <c r="L21" i="2"/>
  <c r="AA200" i="2" l="1"/>
  <c r="AA199" i="2"/>
  <c r="AA203" i="2"/>
  <c r="AA206" i="2"/>
  <c r="Y205" i="2"/>
  <c r="U205" i="2"/>
  <c r="S205" i="2"/>
  <c r="Y208" i="2"/>
  <c r="O205" i="2"/>
  <c r="M205" i="2"/>
  <c r="M207" i="2"/>
  <c r="Q205" i="2"/>
  <c r="W206" i="2"/>
  <c r="W208" i="2"/>
  <c r="U208" i="2"/>
  <c r="O207" i="2"/>
  <c r="S208" i="2"/>
  <c r="Q207" i="2"/>
  <c r="Q208" i="2"/>
  <c r="S207" i="2"/>
  <c r="U207" i="2"/>
  <c r="M206" i="2"/>
  <c r="W207" i="2"/>
  <c r="O208" i="2"/>
  <c r="M208" i="2"/>
  <c r="O206" i="2"/>
  <c r="Y207" i="2"/>
  <c r="Q206" i="2"/>
  <c r="S206" i="2"/>
  <c r="U206" i="2"/>
  <c r="Y206" i="2"/>
  <c r="W205" i="2"/>
  <c r="S209" i="2"/>
  <c r="U209" i="2"/>
  <c r="AA198" i="2"/>
  <c r="M202" i="2"/>
  <c r="W209" i="2"/>
  <c r="Y209" i="2"/>
  <c r="AA196" i="2"/>
  <c r="U204" i="2"/>
  <c r="M204" i="2"/>
  <c r="O204" i="2"/>
  <c r="M203" i="2"/>
  <c r="W204" i="2"/>
  <c r="Q209" i="2"/>
  <c r="Q204" i="2"/>
  <c r="S204" i="2"/>
  <c r="O203" i="2"/>
  <c r="Y204" i="2"/>
  <c r="O209" i="2"/>
  <c r="Y203" i="2"/>
  <c r="Q203" i="2"/>
  <c r="AA197" i="2"/>
  <c r="S203" i="2"/>
  <c r="M209" i="2"/>
  <c r="W203" i="2"/>
  <c r="U203" i="2"/>
  <c r="M197" i="2"/>
  <c r="S197" i="2"/>
  <c r="Q198" i="2"/>
  <c r="Y198" i="2"/>
  <c r="M199" i="2"/>
  <c r="W199" i="2"/>
  <c r="O200" i="2"/>
  <c r="W200" i="2"/>
  <c r="Q199" i="2"/>
  <c r="M200" i="2"/>
  <c r="Y200" i="2"/>
  <c r="S199" i="2"/>
  <c r="Q197" i="2"/>
  <c r="M201" i="2"/>
  <c r="O198" i="2"/>
  <c r="W198" i="2"/>
  <c r="U197" i="2"/>
  <c r="U198" i="2"/>
  <c r="O199" i="2"/>
  <c r="S200" i="2"/>
  <c r="W197" i="2"/>
  <c r="O197" i="2"/>
  <c r="Y197" i="2"/>
  <c r="S198" i="2"/>
  <c r="Y199" i="2"/>
  <c r="Q200" i="2"/>
  <c r="U200" i="2"/>
  <c r="M198" i="2"/>
  <c r="U199" i="2"/>
  <c r="M116" i="2"/>
  <c r="Y92" i="2"/>
  <c r="W92" i="2"/>
  <c r="S92" i="2"/>
  <c r="Q92" i="2"/>
  <c r="U92" i="2"/>
  <c r="O92" i="2"/>
  <c r="O91" i="2"/>
  <c r="Y196" i="2"/>
  <c r="W196" i="2"/>
  <c r="U196" i="2"/>
  <c r="S196" i="2"/>
  <c r="Q196" i="2"/>
  <c r="O196" i="2"/>
  <c r="M196" i="2"/>
  <c r="Y180" i="2"/>
  <c r="AA92" i="2"/>
  <c r="U106" i="2"/>
  <c r="AA158" i="2"/>
  <c r="AA180" i="2"/>
  <c r="O158" i="2"/>
  <c r="U158" i="2"/>
  <c r="W158" i="2"/>
  <c r="M158" i="2"/>
  <c r="Q158" i="2"/>
  <c r="S158" i="2"/>
  <c r="Y158" i="2"/>
  <c r="W180" i="2"/>
  <c r="O181" i="2"/>
  <c r="Q181" i="2"/>
  <c r="S181" i="2"/>
  <c r="U181" i="2"/>
  <c r="M181" i="2"/>
  <c r="W181" i="2"/>
  <c r="Y181" i="2"/>
  <c r="AA181" i="2"/>
  <c r="M3" i="2"/>
  <c r="M23" i="2"/>
  <c r="M104" i="2"/>
  <c r="M84" i="2"/>
  <c r="M183" i="2"/>
  <c r="M144" i="2"/>
  <c r="M26" i="2"/>
  <c r="M107" i="2"/>
  <c r="M27" i="2"/>
  <c r="M128" i="2"/>
  <c r="M8" i="2"/>
  <c r="M129" i="2"/>
  <c r="M4" i="2"/>
  <c r="M24" i="2"/>
  <c r="M125" i="2"/>
  <c r="M145" i="2"/>
  <c r="M146" i="2"/>
  <c r="M28" i="2"/>
  <c r="M110" i="2"/>
  <c r="M5" i="2"/>
  <c r="M25" i="2"/>
  <c r="M45" i="2"/>
  <c r="M106" i="2"/>
  <c r="M86" i="2"/>
  <c r="M67" i="2"/>
  <c r="M166" i="2"/>
  <c r="M48" i="2"/>
  <c r="M167" i="2"/>
  <c r="M69" i="2"/>
  <c r="M10" i="2"/>
  <c r="M30" i="2"/>
  <c r="M50" i="2"/>
  <c r="M70" i="2"/>
  <c r="M90" i="2"/>
  <c r="M111" i="2"/>
  <c r="M149" i="2"/>
  <c r="M169" i="2"/>
  <c r="M188" i="2"/>
  <c r="M14" i="2"/>
  <c r="M115" i="2"/>
  <c r="M192" i="2"/>
  <c r="M55" i="2"/>
  <c r="M174" i="2"/>
  <c r="M117" i="2"/>
  <c r="M175" i="2"/>
  <c r="M17" i="2"/>
  <c r="M97" i="2"/>
  <c r="M155" i="2"/>
  <c r="M195" i="2"/>
  <c r="M41" i="2"/>
  <c r="M102" i="2"/>
  <c r="M160" i="2"/>
  <c r="M62" i="2"/>
  <c r="M141" i="2"/>
  <c r="M83" i="2"/>
  <c r="M182" i="2"/>
  <c r="M44" i="2"/>
  <c r="M143" i="2"/>
  <c r="M65" i="2"/>
  <c r="M164" i="2"/>
  <c r="M66" i="2"/>
  <c r="M165" i="2"/>
  <c r="M87" i="2"/>
  <c r="M186" i="2"/>
  <c r="M68" i="2"/>
  <c r="M9" i="2"/>
  <c r="M89" i="2"/>
  <c r="M11" i="2"/>
  <c r="M31" i="2"/>
  <c r="M51" i="2"/>
  <c r="M71" i="2"/>
  <c r="M91" i="2"/>
  <c r="M112" i="2"/>
  <c r="M131" i="2"/>
  <c r="M150" i="2"/>
  <c r="M170" i="2"/>
  <c r="M189" i="2"/>
  <c r="M113" i="2"/>
  <c r="M151" i="2"/>
  <c r="M190" i="2"/>
  <c r="M34" i="2"/>
  <c r="M133" i="2"/>
  <c r="M75" i="2"/>
  <c r="M193" i="2"/>
  <c r="M56" i="2"/>
  <c r="M135" i="2"/>
  <c r="M57" i="2"/>
  <c r="M176" i="2"/>
  <c r="M139" i="2"/>
  <c r="M61" i="2"/>
  <c r="M22" i="2"/>
  <c r="M103" i="2"/>
  <c r="M142" i="2"/>
  <c r="M105" i="2"/>
  <c r="M85" i="2"/>
  <c r="M184" i="2"/>
  <c r="M127" i="2"/>
  <c r="M7" i="2"/>
  <c r="M109" i="2"/>
  <c r="M168" i="2"/>
  <c r="M12" i="2"/>
  <c r="M32" i="2"/>
  <c r="M52" i="2"/>
  <c r="M72" i="2"/>
  <c r="M92" i="2"/>
  <c r="M171" i="2"/>
  <c r="M191" i="2"/>
  <c r="M54" i="2"/>
  <c r="M173" i="2"/>
  <c r="M35" i="2"/>
  <c r="M153" i="2"/>
  <c r="M36" i="2"/>
  <c r="M76" i="2"/>
  <c r="M194" i="2"/>
  <c r="M37" i="2"/>
  <c r="M118" i="2"/>
  <c r="M21" i="2"/>
  <c r="M122" i="2"/>
  <c r="M161" i="2"/>
  <c r="M63" i="2"/>
  <c r="M162" i="2"/>
  <c r="M163" i="2"/>
  <c r="M126" i="2"/>
  <c r="M46" i="2"/>
  <c r="M185" i="2"/>
  <c r="M108" i="2"/>
  <c r="M88" i="2"/>
  <c r="M187" i="2"/>
  <c r="M49" i="2"/>
  <c r="M130" i="2"/>
  <c r="M13" i="2"/>
  <c r="M33" i="2"/>
  <c r="M53" i="2"/>
  <c r="M73" i="2"/>
  <c r="M93" i="2"/>
  <c r="M114" i="2"/>
  <c r="M132" i="2"/>
  <c r="M152" i="2"/>
  <c r="M172" i="2"/>
  <c r="M74" i="2"/>
  <c r="M94" i="2"/>
  <c r="M15" i="2"/>
  <c r="M95" i="2"/>
  <c r="M134" i="2"/>
  <c r="M16" i="2"/>
  <c r="M96" i="2"/>
  <c r="M154" i="2"/>
  <c r="M77" i="2"/>
  <c r="M136" i="2"/>
  <c r="M121" i="2"/>
  <c r="M178" i="2"/>
  <c r="M140" i="2"/>
  <c r="M42" i="2"/>
  <c r="M123" i="2"/>
  <c r="M43" i="2"/>
  <c r="M124" i="2"/>
  <c r="M64" i="2"/>
  <c r="M6" i="2"/>
  <c r="M47" i="2"/>
  <c r="M147" i="2"/>
  <c r="M29" i="2"/>
  <c r="M18" i="2"/>
  <c r="M38" i="2"/>
  <c r="M58" i="2"/>
  <c r="M78" i="2"/>
  <c r="M98" i="2"/>
  <c r="M119" i="2"/>
  <c r="M137" i="2"/>
  <c r="M156" i="2"/>
  <c r="M177" i="2"/>
  <c r="M19" i="2"/>
  <c r="M39" i="2"/>
  <c r="M59" i="2"/>
  <c r="M79" i="2"/>
  <c r="M100" i="2"/>
  <c r="M120" i="2"/>
  <c r="M138" i="2"/>
  <c r="M157" i="2"/>
  <c r="M20" i="2"/>
  <c r="M40" i="2"/>
  <c r="M60" i="2"/>
  <c r="M80" i="2"/>
  <c r="M101" i="2"/>
  <c r="M159" i="2"/>
  <c r="M81" i="2"/>
  <c r="M179" i="2"/>
  <c r="M82" i="2"/>
  <c r="O180" i="2"/>
  <c r="Q180" i="2"/>
  <c r="S180" i="2"/>
  <c r="U180" i="2"/>
  <c r="AA171" i="2"/>
  <c r="S174" i="2"/>
  <c r="O173" i="2"/>
  <c r="Q173" i="2"/>
  <c r="S173" i="2"/>
  <c r="U173" i="2"/>
  <c r="W173" i="2"/>
  <c r="Y173" i="2"/>
  <c r="AA173" i="2"/>
  <c r="AA168" i="2"/>
  <c r="AA68" i="2"/>
  <c r="AA17" i="2"/>
  <c r="AA35" i="2"/>
  <c r="AA53" i="2"/>
  <c r="AA76" i="2"/>
  <c r="AA151" i="2"/>
  <c r="AA28" i="2"/>
  <c r="AA64" i="2"/>
  <c r="AA54" i="2"/>
  <c r="AA182" i="2"/>
  <c r="AA30" i="2"/>
  <c r="AA62" i="2"/>
  <c r="AA82" i="2"/>
  <c r="AA31" i="2"/>
  <c r="AA43" i="2"/>
  <c r="AA57" i="2"/>
  <c r="AA177" i="2"/>
  <c r="AA152" i="2"/>
  <c r="AA93" i="2"/>
  <c r="AA87" i="2"/>
  <c r="AA9" i="2"/>
  <c r="AA84" i="2"/>
  <c r="AA127" i="2"/>
  <c r="AA36" i="2"/>
  <c r="AA183" i="2"/>
  <c r="AA37" i="2"/>
  <c r="AA184" i="2"/>
  <c r="AA38" i="2"/>
  <c r="AA88" i="2"/>
  <c r="AA109" i="2"/>
  <c r="AA131" i="2"/>
  <c r="AA164" i="2"/>
  <c r="AA75" i="2"/>
  <c r="AA14" i="2"/>
  <c r="AA47" i="2"/>
  <c r="AA69" i="2"/>
  <c r="AA90" i="2"/>
  <c r="AA19" i="2"/>
  <c r="AA165" i="2"/>
  <c r="AA133" i="2"/>
  <c r="AA15" i="2"/>
  <c r="AA48" i="2"/>
  <c r="AA70" i="2"/>
  <c r="AA91" i="2"/>
  <c r="AA6" i="2"/>
  <c r="AA186" i="2"/>
  <c r="AA80" i="2"/>
  <c r="S67" i="2"/>
  <c r="AA120" i="2"/>
  <c r="AA102" i="2"/>
  <c r="AA61" i="2"/>
  <c r="AA65" i="2"/>
  <c r="AA175" i="2"/>
  <c r="AA56" i="2"/>
  <c r="AA123" i="2"/>
  <c r="AA32" i="2"/>
  <c r="AA73" i="2"/>
  <c r="AA124" i="2"/>
  <c r="AA63" i="2"/>
  <c r="AA34" i="2"/>
  <c r="AA157" i="2"/>
  <c r="AA159" i="2"/>
  <c r="AA66" i="2"/>
  <c r="AA85" i="2"/>
  <c r="AA160" i="2"/>
  <c r="AA11" i="2"/>
  <c r="AA86" i="2"/>
  <c r="AA129" i="2"/>
  <c r="AA67" i="2"/>
  <c r="AA162" i="2"/>
  <c r="AA163" i="2"/>
  <c r="AA89" i="2"/>
  <c r="AA16" i="2"/>
  <c r="AA13" i="2"/>
  <c r="AA167" i="2"/>
  <c r="AA18" i="2"/>
  <c r="AA116" i="2"/>
  <c r="AA20" i="2"/>
  <c r="AA166" i="2"/>
  <c r="AA154" i="2"/>
  <c r="AA95" i="2"/>
  <c r="AA117" i="2"/>
  <c r="AA169" i="2"/>
  <c r="AA172" i="2"/>
  <c r="AA122" i="2"/>
  <c r="AA103" i="2"/>
  <c r="AA104" i="2"/>
  <c r="AA105" i="2"/>
  <c r="AA106" i="2"/>
  <c r="AA107" i="2"/>
  <c r="AA10" i="2"/>
  <c r="AA26" i="2"/>
  <c r="AA27" i="2"/>
  <c r="AA46" i="2"/>
  <c r="AA44" i="2"/>
  <c r="AA136" i="2"/>
  <c r="AA137" i="2"/>
  <c r="AA7" i="2"/>
  <c r="AA51" i="2"/>
  <c r="AA74" i="2"/>
  <c r="AA25" i="2"/>
  <c r="AA118" i="2"/>
  <c r="AA149" i="2"/>
  <c r="AA170" i="2"/>
  <c r="AA100" i="2"/>
  <c r="AA178" i="2"/>
  <c r="AA24" i="2"/>
  <c r="AA121" i="2"/>
  <c r="AA3" i="2"/>
  <c r="AA81" i="2"/>
  <c r="AA5" i="2"/>
  <c r="AA153" i="2"/>
  <c r="AA33" i="2"/>
  <c r="AA125" i="2"/>
  <c r="AA8" i="2"/>
  <c r="AA108" i="2"/>
  <c r="AA83" i="2"/>
  <c r="AA126" i="2"/>
  <c r="AA110" i="2"/>
  <c r="AA174" i="2"/>
  <c r="AA128" i="2"/>
  <c r="AA176" i="2"/>
  <c r="AA161" i="2"/>
  <c r="AA12" i="2"/>
  <c r="AA29" i="2"/>
  <c r="AA130" i="2"/>
  <c r="AA188" i="2"/>
  <c r="AA111" i="2"/>
  <c r="AA187" i="2"/>
  <c r="AA49" i="2"/>
  <c r="AA71" i="2"/>
  <c r="AA45" i="2"/>
  <c r="Y126" i="2"/>
  <c r="AA72" i="2"/>
  <c r="AA94" i="2"/>
  <c r="AA101" i="2"/>
  <c r="AA52" i="2"/>
  <c r="AA50" i="2"/>
  <c r="AA55" i="2"/>
  <c r="AA119" i="2"/>
  <c r="AA150" i="2"/>
  <c r="U124" i="2"/>
  <c r="S116" i="2"/>
  <c r="Q116" i="2"/>
  <c r="O82" i="2"/>
  <c r="U152" i="2"/>
  <c r="Q18" i="2"/>
  <c r="U62" i="2"/>
  <c r="U10" i="2"/>
  <c r="U110" i="2"/>
  <c r="U161" i="2"/>
  <c r="S107" i="2"/>
  <c r="S11" i="2"/>
  <c r="S38" i="2"/>
  <c r="Q66" i="2"/>
  <c r="Q15" i="2"/>
  <c r="Q54" i="2"/>
  <c r="O119" i="2"/>
  <c r="O24" i="2"/>
  <c r="S61" i="2"/>
  <c r="U164" i="2"/>
  <c r="S70" i="2"/>
  <c r="S83" i="2"/>
  <c r="S104" i="2"/>
  <c r="Q36" i="2"/>
  <c r="Q184" i="2"/>
  <c r="Q168" i="2"/>
  <c r="O175" i="2"/>
  <c r="O12" i="2"/>
  <c r="Q49" i="2"/>
  <c r="U31" i="2"/>
  <c r="U123" i="2"/>
  <c r="S137" i="2"/>
  <c r="S75" i="2"/>
  <c r="Q14" i="2"/>
  <c r="O126" i="2"/>
  <c r="O37" i="2"/>
  <c r="U26" i="2"/>
  <c r="O55" i="2"/>
  <c r="U53" i="2"/>
  <c r="U128" i="2"/>
  <c r="U82" i="2"/>
  <c r="S9" i="2"/>
  <c r="Q50" i="2"/>
  <c r="O153" i="2"/>
  <c r="U171" i="2"/>
  <c r="U47" i="2"/>
  <c r="U187" i="2"/>
  <c r="U46" i="2"/>
  <c r="S128" i="2"/>
  <c r="S15" i="2"/>
  <c r="S93" i="2"/>
  <c r="Q129" i="2"/>
  <c r="Q111" i="2"/>
  <c r="Q165" i="2"/>
  <c r="O170" i="2"/>
  <c r="O10" i="2"/>
  <c r="O87" i="2"/>
  <c r="Q52" i="2"/>
  <c r="O117" i="2"/>
  <c r="U109" i="2"/>
  <c r="Q6" i="2"/>
  <c r="U122" i="2"/>
  <c r="U177" i="2"/>
  <c r="S127" i="2"/>
  <c r="U163" i="2"/>
  <c r="S54" i="2"/>
  <c r="U150" i="2"/>
  <c r="S8" i="2"/>
  <c r="U170" i="2"/>
  <c r="U90" i="2"/>
  <c r="S28" i="2"/>
  <c r="S151" i="2"/>
  <c r="Q174" i="2"/>
  <c r="O66" i="2"/>
  <c r="O182" i="2"/>
  <c r="O136" i="2"/>
  <c r="U169" i="2"/>
  <c r="U63" i="2"/>
  <c r="U111" i="2"/>
  <c r="U133" i="2"/>
  <c r="S171" i="2"/>
  <c r="S88" i="2"/>
  <c r="S84" i="2"/>
  <c r="S29" i="2"/>
  <c r="Q89" i="2"/>
  <c r="Q43" i="2"/>
  <c r="O33" i="2"/>
  <c r="O49" i="2"/>
  <c r="O186" i="2"/>
  <c r="S103" i="2"/>
  <c r="U137" i="2"/>
  <c r="U48" i="2"/>
  <c r="O159" i="2"/>
  <c r="U166" i="2"/>
  <c r="O11" i="2"/>
  <c r="S3" i="2"/>
  <c r="U5" i="2"/>
  <c r="U7" i="2"/>
  <c r="U81" i="2"/>
  <c r="U75" i="2"/>
  <c r="S169" i="2"/>
  <c r="S117" i="2"/>
  <c r="S73" i="2"/>
  <c r="Q56" i="2"/>
  <c r="Q109" i="2"/>
  <c r="O101" i="2"/>
  <c r="O168" i="2"/>
  <c r="O120" i="2"/>
  <c r="O34" i="2"/>
  <c r="O35" i="2"/>
  <c r="S187" i="2"/>
  <c r="O64" i="2"/>
  <c r="O116" i="2"/>
  <c r="U38" i="2"/>
  <c r="O54" i="2"/>
  <c r="U154" i="2"/>
  <c r="U103" i="2"/>
  <c r="S69" i="2"/>
  <c r="O80" i="2"/>
  <c r="U157" i="2"/>
  <c r="U86" i="2"/>
  <c r="S119" i="2"/>
  <c r="Q85" i="2"/>
  <c r="O86" i="2"/>
  <c r="S121" i="2"/>
  <c r="Q24" i="2"/>
  <c r="O27" i="2"/>
  <c r="Q61" i="2"/>
  <c r="U160" i="2"/>
  <c r="U56" i="2"/>
  <c r="S136" i="2"/>
  <c r="U85" i="2"/>
  <c r="Q32" i="2"/>
  <c r="U28" i="2"/>
  <c r="S5" i="2"/>
  <c r="S51" i="2"/>
  <c r="S167" i="2"/>
  <c r="Q3" i="2"/>
  <c r="Q110" i="2"/>
  <c r="O122" i="2"/>
  <c r="O162" i="2"/>
  <c r="U72" i="2"/>
  <c r="U88" i="2"/>
  <c r="U6" i="2"/>
  <c r="S64" i="2"/>
  <c r="S71" i="2"/>
  <c r="S149" i="2"/>
  <c r="S165" i="2"/>
  <c r="Q94" i="2"/>
  <c r="Q117" i="2"/>
  <c r="Q172" i="2"/>
  <c r="O61" i="2"/>
  <c r="U67" i="2"/>
  <c r="U71" i="2"/>
  <c r="U102" i="2"/>
  <c r="U159" i="2"/>
  <c r="S34" i="2"/>
  <c r="S68" i="2"/>
  <c r="S163" i="2"/>
  <c r="Q76" i="2"/>
  <c r="Q45" i="2"/>
  <c r="O70" i="2"/>
  <c r="O154" i="2"/>
  <c r="O6" i="2"/>
  <c r="O172" i="2"/>
  <c r="O81" i="2"/>
  <c r="O124" i="2"/>
  <c r="O85" i="2"/>
  <c r="O129" i="2"/>
  <c r="O176" i="2"/>
  <c r="Q73" i="2"/>
  <c r="Q25" i="2"/>
  <c r="Q149" i="2"/>
  <c r="Q9" i="2"/>
  <c r="Q44" i="2"/>
  <c r="Q127" i="2"/>
  <c r="Q20" i="2"/>
  <c r="O164" i="2"/>
  <c r="O110" i="2"/>
  <c r="O111" i="2"/>
  <c r="O56" i="2"/>
  <c r="O14" i="2"/>
  <c r="O177" i="2"/>
  <c r="Q29" i="2"/>
  <c r="Q38" i="2"/>
  <c r="Q51" i="2"/>
  <c r="Q83" i="2"/>
  <c r="Q68" i="2"/>
  <c r="Q128" i="2"/>
  <c r="Q72" i="2"/>
  <c r="S154" i="2"/>
  <c r="S80" i="2"/>
  <c r="S82" i="2"/>
  <c r="S26" i="2"/>
  <c r="S7" i="2"/>
  <c r="S122" i="2"/>
  <c r="S170" i="2"/>
  <c r="U50" i="2"/>
  <c r="U95" i="2"/>
  <c r="U43" i="2"/>
  <c r="U184" i="2"/>
  <c r="U125" i="2"/>
  <c r="U32" i="2"/>
  <c r="U52" i="2"/>
  <c r="U76" i="2"/>
  <c r="S19" i="2"/>
  <c r="S63" i="2"/>
  <c r="S126" i="2"/>
  <c r="U37" i="2"/>
  <c r="U174" i="2"/>
  <c r="U49" i="2"/>
  <c r="U66" i="2"/>
  <c r="U94" i="2"/>
  <c r="O31" i="2"/>
  <c r="Q13" i="2"/>
  <c r="Q105" i="2"/>
  <c r="Q17" i="2"/>
  <c r="S87" i="2"/>
  <c r="S65" i="2"/>
  <c r="S74" i="2"/>
  <c r="S33" i="2"/>
  <c r="U121" i="2"/>
  <c r="U15" i="2"/>
  <c r="U69" i="2"/>
  <c r="U3" i="2"/>
  <c r="O165" i="2"/>
  <c r="O75" i="2"/>
  <c r="O109" i="2"/>
  <c r="O118" i="2"/>
  <c r="O89" i="2"/>
  <c r="O36" i="2"/>
  <c r="O171" i="2"/>
  <c r="Q151" i="2"/>
  <c r="Q103" i="2"/>
  <c r="Q187" i="2"/>
  <c r="Q71" i="2"/>
  <c r="Q137" i="2"/>
  <c r="Q157" i="2"/>
  <c r="S159" i="2"/>
  <c r="S86" i="2"/>
  <c r="S10" i="2"/>
  <c r="S101" i="2"/>
  <c r="U168" i="2"/>
  <c r="U12" i="2"/>
  <c r="O150" i="2"/>
  <c r="U104" i="2"/>
  <c r="U18" i="2"/>
  <c r="O161" i="2"/>
  <c r="O133" i="2"/>
  <c r="O183" i="2"/>
  <c r="O16" i="2"/>
  <c r="O57" i="2"/>
  <c r="Q100" i="2"/>
  <c r="Q30" i="2"/>
  <c r="Q130" i="2"/>
  <c r="S162" i="2"/>
  <c r="S153" i="2"/>
  <c r="S175" i="2"/>
  <c r="U167" i="2"/>
  <c r="U45" i="2"/>
  <c r="O152" i="2"/>
  <c r="O90" i="2"/>
  <c r="O108" i="2"/>
  <c r="O160" i="2"/>
  <c r="O47" i="2"/>
  <c r="O67" i="2"/>
  <c r="O53" i="2"/>
  <c r="Q186" i="2"/>
  <c r="Q182" i="2"/>
  <c r="Q120" i="2"/>
  <c r="Q131" i="2"/>
  <c r="Q35" i="2"/>
  <c r="S6" i="2"/>
  <c r="S172" i="2"/>
  <c r="S81" i="2"/>
  <c r="S124" i="2"/>
  <c r="S85" i="2"/>
  <c r="S129" i="2"/>
  <c r="S176" i="2"/>
  <c r="U73" i="2"/>
  <c r="U25" i="2"/>
  <c r="U149" i="2"/>
  <c r="U9" i="2"/>
  <c r="U44" i="2"/>
  <c r="U127" i="2"/>
  <c r="U20" i="2"/>
  <c r="O50" i="2"/>
  <c r="O95" i="2"/>
  <c r="O43" i="2"/>
  <c r="O184" i="2"/>
  <c r="O125" i="2"/>
  <c r="O32" i="2"/>
  <c r="O52" i="2"/>
  <c r="O76" i="2"/>
  <c r="Q188" i="2"/>
  <c r="Q136" i="2"/>
  <c r="Q55" i="2"/>
  <c r="Q84" i="2"/>
  <c r="Q11" i="2"/>
  <c r="Q119" i="2"/>
  <c r="Q70" i="2"/>
  <c r="Q34" i="2"/>
  <c r="S164" i="2"/>
  <c r="S110" i="2"/>
  <c r="S111" i="2"/>
  <c r="S56" i="2"/>
  <c r="S14" i="2"/>
  <c r="S177" i="2"/>
  <c r="O167" i="2"/>
  <c r="O104" i="2"/>
  <c r="O121" i="2"/>
  <c r="O15" i="2"/>
  <c r="O45" i="2"/>
  <c r="O69" i="2"/>
  <c r="O18" i="2"/>
  <c r="O3" i="2"/>
  <c r="Q166" i="2"/>
  <c r="Q48" i="2"/>
  <c r="Q8" i="2"/>
  <c r="Q123" i="2"/>
  <c r="Q88" i="2"/>
  <c r="Q107" i="2"/>
  <c r="Q5" i="2"/>
  <c r="S161" i="2"/>
  <c r="S133" i="2"/>
  <c r="S183" i="2"/>
  <c r="S150" i="2"/>
  <c r="S16" i="2"/>
  <c r="S57" i="2"/>
  <c r="S91" i="2"/>
  <c r="S31" i="2"/>
  <c r="U13" i="2"/>
  <c r="U100" i="2"/>
  <c r="U30" i="2"/>
  <c r="U105" i="2"/>
  <c r="U130" i="2"/>
  <c r="U17" i="2"/>
  <c r="O103" i="2"/>
  <c r="O71" i="2"/>
  <c r="Q19" i="2"/>
  <c r="Q63" i="2"/>
  <c r="S168" i="2"/>
  <c r="S12" i="2"/>
  <c r="S94" i="2"/>
  <c r="U178" i="2"/>
  <c r="U27" i="2"/>
  <c r="U61" i="2"/>
  <c r="O13" i="2"/>
  <c r="O100" i="2"/>
  <c r="O105" i="2"/>
  <c r="Q162" i="2"/>
  <c r="Q65" i="2"/>
  <c r="Q74" i="2"/>
  <c r="O73" i="2"/>
  <c r="O25" i="2"/>
  <c r="O149" i="2"/>
  <c r="O9" i="2"/>
  <c r="O44" i="2"/>
  <c r="O127" i="2"/>
  <c r="O20" i="2"/>
  <c r="Q163" i="2"/>
  <c r="Q93" i="2"/>
  <c r="Q46" i="2"/>
  <c r="Q102" i="2"/>
  <c r="Q106" i="2"/>
  <c r="Q28" i="2"/>
  <c r="Q62" i="2"/>
  <c r="Q169" i="2"/>
  <c r="S152" i="2"/>
  <c r="S90" i="2"/>
  <c r="S108" i="2"/>
  <c r="S160" i="2"/>
  <c r="S47" i="2"/>
  <c r="S53" i="2"/>
  <c r="U186" i="2"/>
  <c r="U182" i="2"/>
  <c r="U120" i="2"/>
  <c r="U131" i="2"/>
  <c r="U35" i="2"/>
  <c r="O151" i="2"/>
  <c r="O187" i="2"/>
  <c r="O157" i="2"/>
  <c r="Q159" i="2"/>
  <c r="Q10" i="2"/>
  <c r="Q101" i="2"/>
  <c r="S49" i="2"/>
  <c r="S66" i="2"/>
  <c r="U24" i="2"/>
  <c r="U117" i="2"/>
  <c r="O30" i="2"/>
  <c r="O130" i="2"/>
  <c r="Q33" i="2"/>
  <c r="O29" i="2"/>
  <c r="O38" i="2"/>
  <c r="O51" i="2"/>
  <c r="O83" i="2"/>
  <c r="O68" i="2"/>
  <c r="O128" i="2"/>
  <c r="O72" i="2"/>
  <c r="Q154" i="2"/>
  <c r="Q80" i="2"/>
  <c r="Q82" i="2"/>
  <c r="Q26" i="2"/>
  <c r="Q7" i="2"/>
  <c r="Q122" i="2"/>
  <c r="Q170" i="2"/>
  <c r="S50" i="2"/>
  <c r="S95" i="2"/>
  <c r="S43" i="2"/>
  <c r="S184" i="2"/>
  <c r="S125" i="2"/>
  <c r="S32" i="2"/>
  <c r="S52" i="2"/>
  <c r="S76" i="2"/>
  <c r="U188" i="2"/>
  <c r="U136" i="2"/>
  <c r="U55" i="2"/>
  <c r="U84" i="2"/>
  <c r="U11" i="2"/>
  <c r="U119" i="2"/>
  <c r="U70" i="2"/>
  <c r="U34" i="2"/>
  <c r="O137" i="2"/>
  <c r="Q86" i="2"/>
  <c r="Q126" i="2"/>
  <c r="S37" i="2"/>
  <c r="U54" i="2"/>
  <c r="U116" i="2"/>
  <c r="U64" i="2"/>
  <c r="O17" i="2"/>
  <c r="Q87" i="2"/>
  <c r="Q153" i="2"/>
  <c r="O166" i="2"/>
  <c r="O48" i="2"/>
  <c r="O8" i="2"/>
  <c r="O123" i="2"/>
  <c r="O88" i="2"/>
  <c r="O107" i="2"/>
  <c r="O5" i="2"/>
  <c r="Q161" i="2"/>
  <c r="Q133" i="2"/>
  <c r="Q183" i="2"/>
  <c r="Q150" i="2"/>
  <c r="Q16" i="2"/>
  <c r="Q57" i="2"/>
  <c r="Q91" i="2"/>
  <c r="Q31" i="2"/>
  <c r="S13" i="2"/>
  <c r="S100" i="2"/>
  <c r="S30" i="2"/>
  <c r="S105" i="2"/>
  <c r="S130" i="2"/>
  <c r="S17" i="2"/>
  <c r="U162" i="2"/>
  <c r="U87" i="2"/>
  <c r="U65" i="2"/>
  <c r="U153" i="2"/>
  <c r="U74" i="2"/>
  <c r="U33" i="2"/>
  <c r="U175" i="2"/>
  <c r="O163" i="2"/>
  <c r="O93" i="2"/>
  <c r="O46" i="2"/>
  <c r="O102" i="2"/>
  <c r="O106" i="2"/>
  <c r="O28" i="2"/>
  <c r="O62" i="2"/>
  <c r="O169" i="2"/>
  <c r="Q152" i="2"/>
  <c r="Q90" i="2"/>
  <c r="Q108" i="2"/>
  <c r="Q160" i="2"/>
  <c r="Q47" i="2"/>
  <c r="Q67" i="2"/>
  <c r="Q53" i="2"/>
  <c r="S186" i="2"/>
  <c r="S182" i="2"/>
  <c r="S120" i="2"/>
  <c r="S131" i="2"/>
  <c r="S35" i="2"/>
  <c r="U91" i="2"/>
  <c r="U68" i="2"/>
  <c r="U8" i="2"/>
  <c r="U80" i="2"/>
  <c r="S157" i="2"/>
  <c r="S44" i="2"/>
  <c r="S109" i="2"/>
  <c r="S166" i="2"/>
  <c r="Q171" i="2"/>
  <c r="Q12" i="2"/>
  <c r="Q104" i="2"/>
  <c r="O131" i="2"/>
  <c r="O84" i="2"/>
  <c r="O178" i="2"/>
  <c r="Q81" i="2"/>
  <c r="Q27" i="2"/>
  <c r="Q178" i="2"/>
  <c r="S62" i="2"/>
  <c r="U165" i="2"/>
  <c r="Q167" i="2"/>
  <c r="Q164" i="2"/>
  <c r="U89" i="2"/>
  <c r="Q69" i="2"/>
  <c r="U126" i="2"/>
  <c r="S89" i="2"/>
  <c r="Q121" i="2"/>
  <c r="S27" i="2"/>
  <c r="U36" i="2"/>
  <c r="U93" i="2"/>
  <c r="S72" i="2"/>
  <c r="S45" i="2"/>
  <c r="S46" i="2"/>
  <c r="S178" i="2"/>
  <c r="Q177" i="2"/>
  <c r="Q125" i="2"/>
  <c r="Q37" i="2"/>
  <c r="O188" i="2"/>
  <c r="U14" i="2"/>
  <c r="U16" i="2"/>
  <c r="U51" i="2"/>
  <c r="S20" i="2"/>
  <c r="S118" i="2"/>
  <c r="S48" i="2"/>
  <c r="S188" i="2"/>
  <c r="Q176" i="2"/>
  <c r="Q118" i="2"/>
  <c r="Q95" i="2"/>
  <c r="O74" i="2"/>
  <c r="O174" i="2"/>
  <c r="U172" i="2"/>
  <c r="O94" i="2"/>
  <c r="U83" i="2"/>
  <c r="U176" i="2"/>
  <c r="S102" i="2"/>
  <c r="U129" i="2"/>
  <c r="U118" i="2"/>
  <c r="U108" i="2"/>
  <c r="U151" i="2"/>
  <c r="S18" i="2"/>
  <c r="S106" i="2"/>
  <c r="S24" i="2"/>
  <c r="Q175" i="2"/>
  <c r="Q75" i="2"/>
  <c r="O63" i="2"/>
  <c r="O65" i="2"/>
  <c r="U107" i="2"/>
  <c r="S25" i="2"/>
  <c r="U19" i="2"/>
  <c r="U57" i="2"/>
  <c r="O26" i="2"/>
  <c r="U101" i="2"/>
  <c r="U183" i="2"/>
  <c r="U29" i="2"/>
  <c r="S36" i="2"/>
  <c r="S123" i="2"/>
  <c r="S55" i="2"/>
  <c r="Q64" i="2"/>
  <c r="Q124" i="2"/>
  <c r="O7" i="2"/>
  <c r="O19" i="2"/>
  <c r="W5" i="2"/>
  <c r="W166" i="2"/>
  <c r="Y52" i="2"/>
  <c r="W34" i="2"/>
  <c r="W70" i="2"/>
  <c r="W119" i="2"/>
  <c r="W11" i="2"/>
  <c r="W84" i="2"/>
  <c r="W55" i="2"/>
  <c r="W136" i="2"/>
  <c r="W188" i="2"/>
  <c r="W64" i="2"/>
  <c r="W116" i="2"/>
  <c r="W35" i="2"/>
  <c r="W131" i="2"/>
  <c r="W120" i="2"/>
  <c r="W182" i="2"/>
  <c r="W186" i="2"/>
  <c r="Y49" i="2"/>
  <c r="W17" i="2"/>
  <c r="W130" i="2"/>
  <c r="W105" i="2"/>
  <c r="W30" i="2"/>
  <c r="W100" i="2"/>
  <c r="W13" i="2"/>
  <c r="W27" i="2"/>
  <c r="W157" i="2"/>
  <c r="W137" i="2"/>
  <c r="W71" i="2"/>
  <c r="W187" i="2"/>
  <c r="W103" i="2"/>
  <c r="W151" i="2"/>
  <c r="W128" i="2"/>
  <c r="W127" i="2"/>
  <c r="W9" i="2"/>
  <c r="W25" i="2"/>
  <c r="W3" i="2"/>
  <c r="W18" i="2"/>
  <c r="W69" i="2"/>
  <c r="W45" i="2"/>
  <c r="W15" i="2"/>
  <c r="W121" i="2"/>
  <c r="W104" i="2"/>
  <c r="W167" i="2"/>
  <c r="W178" i="2"/>
  <c r="W72" i="2"/>
  <c r="W20" i="2"/>
  <c r="W44" i="2"/>
  <c r="W149" i="2"/>
  <c r="W73" i="2"/>
  <c r="W94" i="2"/>
  <c r="W66" i="2"/>
  <c r="W12" i="2"/>
  <c r="W49" i="2"/>
  <c r="W174" i="2"/>
  <c r="W37" i="2"/>
  <c r="W168" i="2"/>
  <c r="W83" i="2"/>
  <c r="Y151" i="2"/>
  <c r="W76" i="2"/>
  <c r="W32" i="2"/>
  <c r="W184" i="2"/>
  <c r="W95" i="2"/>
  <c r="W53" i="2"/>
  <c r="W67" i="2"/>
  <c r="W47" i="2"/>
  <c r="W160" i="2"/>
  <c r="W108" i="2"/>
  <c r="W90" i="2"/>
  <c r="W152" i="2"/>
  <c r="W51" i="2"/>
  <c r="W52" i="2"/>
  <c r="W125" i="2"/>
  <c r="W43" i="2"/>
  <c r="W50" i="2"/>
  <c r="Y188" i="2"/>
  <c r="W31" i="2"/>
  <c r="W91" i="2"/>
  <c r="W57" i="2"/>
  <c r="W16" i="2"/>
  <c r="W150" i="2"/>
  <c r="W183" i="2"/>
  <c r="W133" i="2"/>
  <c r="W161" i="2"/>
  <c r="W38" i="2"/>
  <c r="W89" i="2"/>
  <c r="W109" i="2"/>
  <c r="W177" i="2"/>
  <c r="W14" i="2"/>
  <c r="W56" i="2"/>
  <c r="W111" i="2"/>
  <c r="W110" i="2"/>
  <c r="W164" i="2"/>
  <c r="W117" i="2"/>
  <c r="W68" i="2"/>
  <c r="Y46" i="2"/>
  <c r="W36" i="2"/>
  <c r="W165" i="2"/>
  <c r="Y65" i="2"/>
  <c r="W176" i="2"/>
  <c r="W129" i="2"/>
  <c r="W85" i="2"/>
  <c r="W124" i="2"/>
  <c r="W81" i="2"/>
  <c r="W172" i="2"/>
  <c r="W6" i="2"/>
  <c r="W61" i="2"/>
  <c r="W29" i="2"/>
  <c r="W171" i="2"/>
  <c r="W118" i="2"/>
  <c r="W75" i="2"/>
  <c r="W175" i="2"/>
  <c r="W33" i="2"/>
  <c r="W74" i="2"/>
  <c r="W153" i="2"/>
  <c r="W65" i="2"/>
  <c r="W87" i="2"/>
  <c r="W162" i="2"/>
  <c r="W54" i="2"/>
  <c r="W126" i="2"/>
  <c r="W101" i="2"/>
  <c r="W63" i="2"/>
  <c r="W10" i="2"/>
  <c r="W86" i="2"/>
  <c r="W19" i="2"/>
  <c r="W159" i="2"/>
  <c r="W24" i="2"/>
  <c r="W170" i="2"/>
  <c r="W122" i="2"/>
  <c r="W7" i="2"/>
  <c r="W26" i="2"/>
  <c r="W82" i="2"/>
  <c r="W80" i="2"/>
  <c r="W154" i="2"/>
  <c r="W169" i="2"/>
  <c r="W62" i="2"/>
  <c r="W28" i="2"/>
  <c r="W106" i="2"/>
  <c r="W102" i="2"/>
  <c r="W46" i="2"/>
  <c r="W93" i="2"/>
  <c r="W163" i="2"/>
  <c r="W107" i="2"/>
  <c r="W88" i="2"/>
  <c r="W123" i="2"/>
  <c r="W8" i="2"/>
  <c r="W48" i="2"/>
  <c r="Y104" i="2"/>
  <c r="Y35" i="2"/>
  <c r="Y131" i="2"/>
  <c r="Y120" i="2"/>
  <c r="Y182" i="2"/>
  <c r="Y186" i="2"/>
  <c r="Y17" i="2"/>
  <c r="Y130" i="2"/>
  <c r="Y105" i="2"/>
  <c r="Y30" i="2"/>
  <c r="Y100" i="2"/>
  <c r="Y13" i="2"/>
  <c r="Y157" i="2"/>
  <c r="Y137" i="2"/>
  <c r="Y71" i="2"/>
  <c r="Y187" i="2"/>
  <c r="Y103" i="2"/>
  <c r="Y44" i="2"/>
  <c r="Y9" i="2"/>
  <c r="Y149" i="2"/>
  <c r="Y25" i="2"/>
  <c r="Y73" i="2"/>
  <c r="Y72" i="2"/>
  <c r="Y167" i="2"/>
  <c r="Y51" i="2"/>
  <c r="Y127" i="2"/>
  <c r="Y45" i="2"/>
  <c r="Y37" i="2"/>
  <c r="Y76" i="2"/>
  <c r="Y125" i="2"/>
  <c r="Y184" i="2"/>
  <c r="Y50" i="2"/>
  <c r="Y53" i="2"/>
  <c r="Y67" i="2"/>
  <c r="Y47" i="2"/>
  <c r="Y160" i="2"/>
  <c r="Y108" i="2"/>
  <c r="Y90" i="2"/>
  <c r="Y152" i="2"/>
  <c r="Y31" i="2"/>
  <c r="Y91" i="2"/>
  <c r="Y57" i="2"/>
  <c r="Y16" i="2"/>
  <c r="Y150" i="2"/>
  <c r="Y183" i="2"/>
  <c r="Y133" i="2"/>
  <c r="Y161" i="2"/>
  <c r="Y171" i="2"/>
  <c r="Y36" i="2"/>
  <c r="Y89" i="2"/>
  <c r="Y118" i="2"/>
  <c r="Y109" i="2"/>
  <c r="Y75" i="2"/>
  <c r="Y165" i="2"/>
  <c r="Y83" i="2"/>
  <c r="Y66" i="2"/>
  <c r="Y32" i="2"/>
  <c r="Y95" i="2"/>
  <c r="Y177" i="2"/>
  <c r="Y14" i="2"/>
  <c r="Y56" i="2"/>
  <c r="Y111" i="2"/>
  <c r="Y110" i="2"/>
  <c r="Y164" i="2"/>
  <c r="Y128" i="2"/>
  <c r="Y18" i="2"/>
  <c r="Y43" i="2"/>
  <c r="Y176" i="2"/>
  <c r="Y129" i="2"/>
  <c r="Y85" i="2"/>
  <c r="Y124" i="2"/>
  <c r="Y81" i="2"/>
  <c r="Y172" i="2"/>
  <c r="Y6" i="2"/>
  <c r="Y68" i="2"/>
  <c r="Y174" i="2"/>
  <c r="Y3" i="2"/>
  <c r="Y29" i="2"/>
  <c r="Y69" i="2"/>
  <c r="Y94" i="2"/>
  <c r="Y168" i="2"/>
  <c r="Y175" i="2"/>
  <c r="Y153" i="2"/>
  <c r="Y162" i="2"/>
  <c r="Y101" i="2"/>
  <c r="Y10" i="2"/>
  <c r="Y86" i="2"/>
  <c r="Y19" i="2"/>
  <c r="Y7" i="2"/>
  <c r="Y82" i="2"/>
  <c r="Y28" i="2"/>
  <c r="Y93" i="2"/>
  <c r="Y5" i="2"/>
  <c r="Y107" i="2"/>
  <c r="Y88" i="2"/>
  <c r="Y123" i="2"/>
  <c r="Y8" i="2"/>
  <c r="Y48" i="2"/>
  <c r="Y166" i="2"/>
  <c r="Y20" i="2"/>
  <c r="Y15" i="2"/>
  <c r="Y12" i="2"/>
  <c r="Y74" i="2"/>
  <c r="Y87" i="2"/>
  <c r="Y63" i="2"/>
  <c r="Y159" i="2"/>
  <c r="Y170" i="2"/>
  <c r="Y26" i="2"/>
  <c r="Y80" i="2"/>
  <c r="Y62" i="2"/>
  <c r="Y106" i="2"/>
  <c r="Y102" i="2"/>
  <c r="Y163" i="2"/>
  <c r="Y64" i="2"/>
  <c r="Y61" i="2"/>
  <c r="Y117" i="2"/>
  <c r="Y116" i="2"/>
  <c r="Y27" i="2"/>
  <c r="Y24" i="2"/>
  <c r="Y54" i="2"/>
  <c r="Y178" i="2"/>
  <c r="Y38" i="2"/>
  <c r="Y121" i="2"/>
  <c r="Y33" i="2"/>
  <c r="Y122" i="2"/>
  <c r="Y154" i="2"/>
  <c r="Y169" i="2"/>
  <c r="Y34" i="2"/>
  <c r="Y70" i="2"/>
  <c r="Y119" i="2"/>
  <c r="Y11" i="2"/>
  <c r="Y84" i="2"/>
  <c r="Y55" i="2"/>
  <c r="Y136" i="2"/>
  <c r="E10" i="5" l="1"/>
  <c r="D10" i="5"/>
  <c r="C10" i="5"/>
  <c r="B10" i="5"/>
  <c r="E7" i="5"/>
  <c r="D7" i="5"/>
  <c r="C7" i="5"/>
  <c r="B7" i="5"/>
  <c r="E4" i="5"/>
  <c r="D4" i="5"/>
  <c r="C4" i="5"/>
  <c r="B4" i="5"/>
  <c r="E6" i="5"/>
  <c r="D6" i="5"/>
  <c r="C6" i="5"/>
  <c r="B6" i="5"/>
  <c r="E9" i="5"/>
  <c r="D9" i="5"/>
  <c r="C9" i="5"/>
  <c r="B9" i="5"/>
  <c r="E8" i="5"/>
  <c r="D8" i="5"/>
  <c r="C8" i="5"/>
  <c r="B8" i="5"/>
  <c r="E11" i="5"/>
  <c r="D11" i="5"/>
  <c r="C11" i="5"/>
  <c r="B11" i="5"/>
  <c r="E5" i="5"/>
  <c r="D5" i="5"/>
  <c r="C5" i="5"/>
  <c r="B5" i="5"/>
  <c r="G185" i="3"/>
  <c r="G184" i="3"/>
  <c r="G74" i="3"/>
  <c r="G73" i="3"/>
  <c r="G72" i="3"/>
  <c r="G116" i="3"/>
  <c r="G115" i="3"/>
  <c r="G114" i="3"/>
  <c r="G113" i="3"/>
  <c r="G112" i="3"/>
  <c r="G111" i="3"/>
  <c r="G110" i="3"/>
  <c r="G109" i="3"/>
  <c r="G108" i="3"/>
  <c r="G107" i="3"/>
  <c r="G106" i="3"/>
  <c r="G117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4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60" i="3"/>
  <c r="G61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30" i="3"/>
  <c r="G289" i="3"/>
  <c r="G290" i="3"/>
  <c r="G291" i="3"/>
  <c r="BQ16" i="2"/>
  <c r="BQ17" i="2"/>
  <c r="BQ18" i="2"/>
  <c r="BQ19" i="2"/>
  <c r="BQ20" i="2"/>
  <c r="BQ21" i="2"/>
  <c r="BQ22" i="2"/>
  <c r="BQ77" i="2"/>
  <c r="BQ24" i="2"/>
  <c r="BQ25" i="2"/>
  <c r="BQ26" i="2"/>
  <c r="BQ27" i="2"/>
  <c r="BQ28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96" i="2"/>
  <c r="BQ43" i="2"/>
  <c r="BQ44" i="2"/>
  <c r="BQ45" i="2"/>
  <c r="BQ46" i="2"/>
  <c r="BQ47" i="2"/>
  <c r="BQ48" i="2"/>
  <c r="BQ49" i="2"/>
  <c r="BQ51" i="2"/>
  <c r="BQ52" i="2"/>
  <c r="BQ53" i="2"/>
  <c r="BQ54" i="2"/>
  <c r="BQ55" i="2"/>
  <c r="BQ56" i="2"/>
  <c r="BQ57" i="2"/>
  <c r="BQ58" i="2"/>
  <c r="BQ59" i="2"/>
  <c r="BQ112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4" i="2"/>
  <c r="BQ75" i="2"/>
  <c r="BQ76" i="2"/>
  <c r="BQ113" i="2"/>
  <c r="BQ78" i="2"/>
  <c r="BQ114" i="2"/>
  <c r="BQ80" i="2"/>
  <c r="BQ81" i="2"/>
  <c r="BQ82" i="2"/>
  <c r="BQ83" i="2"/>
  <c r="BQ84" i="2"/>
  <c r="BQ85" i="2"/>
  <c r="BQ86" i="2"/>
  <c r="BQ87" i="2"/>
  <c r="BQ88" i="2"/>
  <c r="BQ89" i="2"/>
  <c r="BQ90" i="2"/>
  <c r="BQ115" i="2"/>
  <c r="BQ93" i="2"/>
  <c r="BQ94" i="2"/>
  <c r="BQ95" i="2"/>
  <c r="BQ23" i="2"/>
  <c r="BQ97" i="2"/>
  <c r="BQ42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60" i="2"/>
  <c r="BQ79" i="2"/>
  <c r="BQ98" i="2"/>
  <c r="BQ13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8" i="2"/>
  <c r="BQ139" i="2"/>
  <c r="BQ133" i="2"/>
  <c r="BQ140" i="2"/>
  <c r="BQ141" i="2"/>
  <c r="BQ137" i="2"/>
  <c r="BQ142" i="2"/>
  <c r="BQ143" i="2"/>
  <c r="BQ185" i="2"/>
  <c r="BQ155" i="2"/>
  <c r="BQ156" i="2"/>
  <c r="BQ132" i="2"/>
  <c r="BQ149" i="2"/>
  <c r="BQ150" i="2"/>
  <c r="BQ151" i="2"/>
  <c r="BQ152" i="2"/>
  <c r="BQ153" i="2"/>
  <c r="BQ92" i="2"/>
  <c r="BQ134" i="2"/>
  <c r="BQ159" i="2"/>
  <c r="BQ160" i="2"/>
  <c r="BQ161" i="2"/>
  <c r="BQ162" i="2"/>
  <c r="BQ163" i="2"/>
  <c r="BQ164" i="2"/>
  <c r="BQ165" i="2"/>
  <c r="BQ167" i="2"/>
  <c r="BQ168" i="2"/>
  <c r="BQ169" i="2"/>
  <c r="BQ170" i="2"/>
  <c r="BQ171" i="2"/>
  <c r="BQ172" i="2"/>
  <c r="BQ174" i="2"/>
  <c r="BQ175" i="2"/>
  <c r="BQ176" i="2"/>
  <c r="BQ177" i="2"/>
  <c r="BQ178" i="2"/>
  <c r="BQ179" i="2"/>
  <c r="BQ182" i="2"/>
  <c r="BQ183" i="2"/>
  <c r="BQ184" i="2"/>
  <c r="BQ144" i="2"/>
  <c r="BQ187" i="2"/>
  <c r="BQ189" i="2"/>
  <c r="BQ190" i="2"/>
  <c r="BQ191" i="2"/>
  <c r="BQ195" i="2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62" i="3"/>
  <c r="G63" i="3"/>
  <c r="G64" i="3"/>
  <c r="G65" i="3"/>
  <c r="G66" i="3"/>
  <c r="G67" i="3"/>
  <c r="G68" i="3"/>
  <c r="G69" i="3"/>
  <c r="G70" i="3"/>
  <c r="G71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58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5" i="3"/>
  <c r="G176" i="3"/>
  <c r="G177" i="3"/>
  <c r="G178" i="3"/>
  <c r="G179" i="3"/>
  <c r="G180" i="3"/>
  <c r="G181" i="3"/>
  <c r="G182" i="3"/>
  <c r="G183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41" i="3"/>
  <c r="G242" i="3"/>
  <c r="G243" i="3"/>
  <c r="G244" i="3"/>
  <c r="G245" i="3"/>
  <c r="G246" i="3"/>
  <c r="G247" i="3"/>
  <c r="G248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I207" i="2" l="1"/>
  <c r="K207" i="2"/>
  <c r="K205" i="2"/>
  <c r="I205" i="2"/>
  <c r="I206" i="2"/>
  <c r="K206" i="2"/>
  <c r="K208" i="2"/>
  <c r="I208" i="2"/>
  <c r="I202" i="2"/>
  <c r="K202" i="2"/>
  <c r="K203" i="2"/>
  <c r="I204" i="2"/>
  <c r="K204" i="2"/>
  <c r="I203" i="2"/>
  <c r="I209" i="2"/>
  <c r="K209" i="2"/>
  <c r="I197" i="2"/>
  <c r="I198" i="2"/>
  <c r="I199" i="2"/>
  <c r="K197" i="2"/>
  <c r="K198" i="2"/>
  <c r="I200" i="2"/>
  <c r="I201" i="2"/>
  <c r="K201" i="2"/>
  <c r="K199" i="2"/>
  <c r="K200" i="2"/>
  <c r="I196" i="2"/>
  <c r="I48" i="2"/>
  <c r="K196" i="2"/>
  <c r="CH193" i="2"/>
  <c r="CH189" i="2"/>
  <c r="CH183" i="2"/>
  <c r="CH178" i="2"/>
  <c r="CH175" i="2"/>
  <c r="CH170" i="2"/>
  <c r="CH165" i="2"/>
  <c r="CH157" i="2"/>
  <c r="CH145" i="2"/>
  <c r="CH140" i="2"/>
  <c r="CH136" i="2"/>
  <c r="CH129" i="2"/>
  <c r="CH123" i="2"/>
  <c r="CH120" i="2"/>
  <c r="CH117" i="2"/>
  <c r="CH113" i="2"/>
  <c r="CH111" i="2"/>
  <c r="CH109" i="2"/>
  <c r="CH105" i="2"/>
  <c r="CH102" i="2"/>
  <c r="CH95" i="2"/>
  <c r="CH94" i="2"/>
  <c r="CH92" i="2"/>
  <c r="CH88" i="2"/>
  <c r="CH85" i="2"/>
  <c r="CH82" i="2"/>
  <c r="CH74" i="2"/>
  <c r="CH72" i="2"/>
  <c r="CH69" i="2"/>
  <c r="CH63" i="2"/>
  <c r="CH59" i="2"/>
  <c r="CH54" i="2"/>
  <c r="CH52" i="2"/>
  <c r="CH48" i="2"/>
  <c r="CH45" i="2"/>
  <c r="CH41" i="2"/>
  <c r="CH37" i="2"/>
  <c r="CH33" i="2"/>
  <c r="CH30" i="2"/>
  <c r="CH22" i="2"/>
  <c r="CH17" i="2"/>
  <c r="CH13" i="2"/>
  <c r="CH9" i="2"/>
  <c r="CH6" i="2"/>
  <c r="CE193" i="2"/>
  <c r="CE3" i="2"/>
  <c r="CH195" i="2"/>
  <c r="CH191" i="2"/>
  <c r="CH188" i="2"/>
  <c r="CH186" i="2"/>
  <c r="CH182" i="2"/>
  <c r="CH179" i="2"/>
  <c r="CH176" i="2"/>
  <c r="CH174" i="2"/>
  <c r="CH171" i="2"/>
  <c r="CH168" i="2"/>
  <c r="CH164" i="2"/>
  <c r="CH160" i="2"/>
  <c r="CH133" i="2"/>
  <c r="CH130" i="2"/>
  <c r="CH128" i="2"/>
  <c r="CH125" i="2"/>
  <c r="CH121" i="2"/>
  <c r="CH118" i="2"/>
  <c r="CH116" i="2"/>
  <c r="CH108" i="2"/>
  <c r="CH106" i="2"/>
  <c r="CH104" i="2"/>
  <c r="CH101" i="2"/>
  <c r="CH100" i="2"/>
  <c r="CH99" i="2"/>
  <c r="CH98" i="2"/>
  <c r="CH97" i="2"/>
  <c r="CH96" i="2"/>
  <c r="CH93" i="2"/>
  <c r="CH86" i="2"/>
  <c r="CH80" i="2"/>
  <c r="CH77" i="2"/>
  <c r="CH75" i="2"/>
  <c r="CH73" i="2"/>
  <c r="CH70" i="2"/>
  <c r="CH68" i="2"/>
  <c r="CH66" i="2"/>
  <c r="CH64" i="2"/>
  <c r="CH57" i="2"/>
  <c r="CH53" i="2"/>
  <c r="CH49" i="2"/>
  <c r="CH44" i="2"/>
  <c r="CH42" i="2"/>
  <c r="CH38" i="2"/>
  <c r="CH32" i="2"/>
  <c r="CH26" i="2"/>
  <c r="CH23" i="2"/>
  <c r="CH19" i="2"/>
  <c r="CH14" i="2"/>
  <c r="CH10" i="2"/>
  <c r="CE195" i="2"/>
  <c r="CE194" i="2"/>
  <c r="CE67" i="2"/>
  <c r="CH190" i="2"/>
  <c r="CH187" i="2"/>
  <c r="CH184" i="2"/>
  <c r="CH155" i="2"/>
  <c r="CH151" i="2"/>
  <c r="CH149" i="2"/>
  <c r="CH148" i="2"/>
  <c r="CH143" i="2"/>
  <c r="CH141" i="2"/>
  <c r="CH134" i="2"/>
  <c r="CH127" i="2"/>
  <c r="CH124" i="2"/>
  <c r="CH122" i="2"/>
  <c r="CH119" i="2"/>
  <c r="CH115" i="2"/>
  <c r="CH114" i="2"/>
  <c r="CH112" i="2"/>
  <c r="CH110" i="2"/>
  <c r="CH107" i="2"/>
  <c r="CH91" i="2"/>
  <c r="CH90" i="2"/>
  <c r="CH89" i="2"/>
  <c r="CH87" i="2"/>
  <c r="CH84" i="2"/>
  <c r="CH83" i="2"/>
  <c r="CH81" i="2"/>
  <c r="CH79" i="2"/>
  <c r="CH78" i="2"/>
  <c r="CH76" i="2"/>
  <c r="CH71" i="2"/>
  <c r="CH67" i="2"/>
  <c r="CH65" i="2"/>
  <c r="CH62" i="2"/>
  <c r="CH60" i="2"/>
  <c r="CH58" i="2"/>
  <c r="CH56" i="2"/>
  <c r="CH55" i="2"/>
  <c r="CH51" i="2"/>
  <c r="CH46" i="2"/>
  <c r="CH43" i="2"/>
  <c r="CH39" i="2"/>
  <c r="CH34" i="2"/>
  <c r="CH27" i="2"/>
  <c r="CH25" i="2"/>
  <c r="CH21" i="2"/>
  <c r="CH18" i="2"/>
  <c r="CH16" i="2"/>
  <c r="CH12" i="2"/>
  <c r="CH8" i="2"/>
  <c r="CE4" i="2"/>
  <c r="CH194" i="2"/>
  <c r="CH181" i="2"/>
  <c r="CH172" i="2"/>
  <c r="CH166" i="2"/>
  <c r="CH162" i="2"/>
  <c r="CH159" i="2"/>
  <c r="CH156" i="2"/>
  <c r="CH152" i="2"/>
  <c r="CH147" i="2"/>
  <c r="CH142" i="2"/>
  <c r="CH139" i="2"/>
  <c r="CH135" i="2"/>
  <c r="CH192" i="2"/>
  <c r="CH185" i="2"/>
  <c r="CH180" i="2"/>
  <c r="CH177" i="2"/>
  <c r="CH173" i="2"/>
  <c r="CH169" i="2"/>
  <c r="CH163" i="2"/>
  <c r="CH161" i="2"/>
  <c r="CH158" i="2"/>
  <c r="CH154" i="2"/>
  <c r="CH150" i="2"/>
  <c r="CH146" i="2"/>
  <c r="CH144" i="2"/>
  <c r="CH138" i="2"/>
  <c r="CH61" i="2"/>
  <c r="CH50" i="2"/>
  <c r="CH47" i="2"/>
  <c r="CH40" i="2"/>
  <c r="CH36" i="2"/>
  <c r="CH31" i="2"/>
  <c r="CH28" i="2"/>
  <c r="CH24" i="2"/>
  <c r="CH20" i="2"/>
  <c r="CH15" i="2"/>
  <c r="CH11" i="2"/>
  <c r="CH7" i="2"/>
  <c r="CH4" i="2"/>
  <c r="CE5" i="2"/>
  <c r="CE192" i="2"/>
  <c r="CE191" i="2"/>
  <c r="CE190" i="2"/>
  <c r="CE189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6" i="2"/>
  <c r="CE175" i="2"/>
  <c r="CE174" i="2"/>
  <c r="CE173" i="2"/>
  <c r="CE172" i="2"/>
  <c r="CE171" i="2"/>
  <c r="CE170" i="2"/>
  <c r="CE169" i="2"/>
  <c r="CE16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0" i="2"/>
  <c r="CE148" i="2"/>
  <c r="CE146" i="2"/>
  <c r="CE145" i="2"/>
  <c r="CE143" i="2"/>
  <c r="CE141" i="2"/>
  <c r="CE139" i="2"/>
  <c r="CE136" i="2"/>
  <c r="CE134" i="2"/>
  <c r="CE132" i="2"/>
  <c r="CE130" i="2"/>
  <c r="CE128" i="2"/>
  <c r="CE127" i="2"/>
  <c r="CE124" i="2"/>
  <c r="CE123" i="2"/>
  <c r="CE120" i="2"/>
  <c r="CE118" i="2"/>
  <c r="CE115" i="2"/>
  <c r="CE113" i="2"/>
  <c r="CE112" i="2"/>
  <c r="CE110" i="2"/>
  <c r="CE108" i="2"/>
  <c r="CE106" i="2"/>
  <c r="CE104" i="2"/>
  <c r="CE102" i="2"/>
  <c r="CE100" i="2"/>
  <c r="CE99" i="2"/>
  <c r="CE97" i="2"/>
  <c r="CE94" i="2"/>
  <c r="CE92" i="2"/>
  <c r="CE90" i="2"/>
  <c r="CE88" i="2"/>
  <c r="CE86" i="2"/>
  <c r="CE85" i="2"/>
  <c r="CE83" i="2"/>
  <c r="CE81" i="2"/>
  <c r="CE78" i="2"/>
  <c r="CE76" i="2"/>
  <c r="CE74" i="2"/>
  <c r="CE72" i="2"/>
  <c r="CE70" i="2"/>
  <c r="CE66" i="2"/>
  <c r="CE64" i="2"/>
  <c r="CE63" i="2"/>
  <c r="CE56" i="2"/>
  <c r="CE54" i="2"/>
  <c r="CE53" i="2"/>
  <c r="CE51" i="2"/>
  <c r="CE48" i="2"/>
  <c r="CE44" i="2"/>
  <c r="CE40" i="2"/>
  <c r="CE39" i="2"/>
  <c r="CE8" i="2"/>
  <c r="CE154" i="2"/>
  <c r="CE153" i="2"/>
  <c r="CE152" i="2"/>
  <c r="CE151" i="2"/>
  <c r="CE149" i="2"/>
  <c r="CE147" i="2"/>
  <c r="CE144" i="2"/>
  <c r="CE142" i="2"/>
  <c r="CE140" i="2"/>
  <c r="CE138" i="2"/>
  <c r="CE137" i="2"/>
  <c r="CE135" i="2"/>
  <c r="CE133" i="2"/>
  <c r="CE131" i="2"/>
  <c r="CE129" i="2"/>
  <c r="CE126" i="2"/>
  <c r="CE125" i="2"/>
  <c r="CE122" i="2"/>
  <c r="CE121" i="2"/>
  <c r="CE119" i="2"/>
  <c r="CE117" i="2"/>
  <c r="CE116" i="2"/>
  <c r="CE114" i="2"/>
  <c r="CE111" i="2"/>
  <c r="CE109" i="2"/>
  <c r="CE107" i="2"/>
  <c r="CE105" i="2"/>
  <c r="CE103" i="2"/>
  <c r="CE101" i="2"/>
  <c r="CE98" i="2"/>
  <c r="CE96" i="2"/>
  <c r="CE95" i="2"/>
  <c r="CE93" i="2"/>
  <c r="CE91" i="2"/>
  <c r="CE89" i="2"/>
  <c r="CE87" i="2"/>
  <c r="CE84" i="2"/>
  <c r="CE82" i="2"/>
  <c r="CE80" i="2"/>
  <c r="CE79" i="2"/>
  <c r="CE77" i="2"/>
  <c r="CE75" i="2"/>
  <c r="CE73" i="2"/>
  <c r="CE71" i="2"/>
  <c r="CE69" i="2"/>
  <c r="CE68" i="2"/>
  <c r="CE65" i="2"/>
  <c r="CE62" i="2"/>
  <c r="CE61" i="2"/>
  <c r="CE60" i="2"/>
  <c r="CE59" i="2"/>
  <c r="CE58" i="2"/>
  <c r="CE57" i="2"/>
  <c r="CE55" i="2"/>
  <c r="CE52" i="2"/>
  <c r="CE50" i="2"/>
  <c r="CE49" i="2"/>
  <c r="CE47" i="2"/>
  <c r="CE46" i="2"/>
  <c r="CE45" i="2"/>
  <c r="CE43" i="2"/>
  <c r="CE41" i="2"/>
  <c r="CE7" i="2"/>
  <c r="CE42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6" i="2"/>
  <c r="CH167" i="2"/>
  <c r="CH137" i="2"/>
  <c r="CH153" i="2"/>
  <c r="CH103" i="2"/>
  <c r="CH5" i="2"/>
  <c r="CH29" i="2"/>
  <c r="CH126" i="2"/>
  <c r="CH35" i="2"/>
  <c r="K158" i="2"/>
  <c r="I158" i="2"/>
  <c r="I181" i="2"/>
  <c r="K181" i="2"/>
  <c r="I148" i="2"/>
  <c r="K148" i="2"/>
  <c r="I180" i="2"/>
  <c r="K180" i="2"/>
  <c r="K4" i="2"/>
  <c r="I4" i="2"/>
  <c r="I145" i="2"/>
  <c r="I146" i="2"/>
  <c r="I147" i="2"/>
  <c r="K145" i="2"/>
  <c r="K146" i="2"/>
  <c r="K147" i="2"/>
  <c r="I173" i="2"/>
  <c r="K173" i="2"/>
  <c r="I193" i="2"/>
  <c r="I192" i="2"/>
  <c r="I194" i="2"/>
  <c r="K192" i="2"/>
  <c r="K193" i="2"/>
  <c r="K194" i="2"/>
  <c r="I19" i="2"/>
  <c r="I39" i="2"/>
  <c r="I59" i="2"/>
  <c r="I78" i="2"/>
  <c r="I97" i="2"/>
  <c r="I118" i="2"/>
  <c r="I135" i="2"/>
  <c r="I156" i="2"/>
  <c r="K14" i="2"/>
  <c r="K36" i="2"/>
  <c r="K57" i="2"/>
  <c r="K115" i="2"/>
  <c r="K100" i="2"/>
  <c r="K120" i="2"/>
  <c r="K64" i="2"/>
  <c r="K172" i="2"/>
  <c r="K21" i="2"/>
  <c r="I41" i="2"/>
  <c r="I26" i="2"/>
  <c r="I80" i="2"/>
  <c r="I100" i="2"/>
  <c r="I120" i="2"/>
  <c r="I137" i="2"/>
  <c r="I159" i="2"/>
  <c r="I179" i="2"/>
  <c r="K124" i="2"/>
  <c r="I65" i="2"/>
  <c r="I64" i="2"/>
  <c r="I103" i="2"/>
  <c r="I123" i="2"/>
  <c r="I140" i="2"/>
  <c r="I184" i="2"/>
  <c r="K22" i="2"/>
  <c r="K159" i="2"/>
  <c r="K105" i="2"/>
  <c r="I25" i="2"/>
  <c r="I27" i="2"/>
  <c r="I83" i="2"/>
  <c r="I141" i="2"/>
  <c r="I163" i="2"/>
  <c r="K114" i="2"/>
  <c r="K157" i="2"/>
  <c r="K10" i="2"/>
  <c r="K13" i="2"/>
  <c r="K167" i="2"/>
  <c r="K189" i="2"/>
  <c r="I93" i="2"/>
  <c r="K53" i="2"/>
  <c r="K94" i="2"/>
  <c r="K137" i="2"/>
  <c r="K12" i="2"/>
  <c r="K74" i="2"/>
  <c r="I20" i="2"/>
  <c r="I40" i="2"/>
  <c r="I60" i="2"/>
  <c r="I79" i="2"/>
  <c r="I98" i="2"/>
  <c r="I119" i="2"/>
  <c r="I136" i="2"/>
  <c r="I157" i="2"/>
  <c r="I178" i="2"/>
  <c r="K15" i="2"/>
  <c r="K37" i="2"/>
  <c r="K58" i="2"/>
  <c r="K102" i="2"/>
  <c r="K24" i="2"/>
  <c r="K121" i="2"/>
  <c r="K61" i="2"/>
  <c r="K182" i="2"/>
  <c r="K16" i="2"/>
  <c r="K38" i="2"/>
  <c r="K59" i="2"/>
  <c r="K62" i="2"/>
  <c r="K82" i="2"/>
  <c r="K122" i="2"/>
  <c r="K175" i="2"/>
  <c r="I82" i="2"/>
  <c r="I183" i="2"/>
  <c r="K40" i="2"/>
  <c r="K73" i="2"/>
  <c r="K153" i="2"/>
  <c r="I162" i="2"/>
  <c r="K93" i="2"/>
  <c r="I104" i="2"/>
  <c r="K20" i="2"/>
  <c r="K44" i="2"/>
  <c r="K83" i="2"/>
  <c r="K126" i="2"/>
  <c r="K87" i="2"/>
  <c r="K45" i="2"/>
  <c r="I55" i="2"/>
  <c r="I21" i="2"/>
  <c r="I24" i="2"/>
  <c r="I22" i="2"/>
  <c r="I42" i="2"/>
  <c r="I62" i="2"/>
  <c r="I81" i="2"/>
  <c r="I101" i="2"/>
  <c r="I121" i="2"/>
  <c r="I138" i="2"/>
  <c r="I160" i="2"/>
  <c r="I110" i="2"/>
  <c r="K17" i="2"/>
  <c r="K39" i="2"/>
  <c r="K152" i="2"/>
  <c r="K81" i="2"/>
  <c r="K103" i="2"/>
  <c r="K123" i="2"/>
  <c r="K43" i="2"/>
  <c r="I23" i="2"/>
  <c r="I176" i="2"/>
  <c r="I63" i="2"/>
  <c r="I102" i="2"/>
  <c r="I122" i="2"/>
  <c r="I139" i="2"/>
  <c r="I161" i="2"/>
  <c r="K18" i="2"/>
  <c r="K108" i="2"/>
  <c r="K104" i="2"/>
  <c r="K177" i="2"/>
  <c r="I44" i="2"/>
  <c r="K41" i="2"/>
  <c r="K125" i="2"/>
  <c r="I153" i="2"/>
  <c r="I133" i="2"/>
  <c r="I185" i="2"/>
  <c r="K106" i="2"/>
  <c r="K11" i="2"/>
  <c r="K168" i="2"/>
  <c r="I94" i="2"/>
  <c r="I3" i="2"/>
  <c r="I5" i="2"/>
  <c r="I6" i="2"/>
  <c r="I7" i="2"/>
  <c r="I108" i="2"/>
  <c r="I45" i="2"/>
  <c r="I46" i="2"/>
  <c r="I84" i="2"/>
  <c r="I105" i="2"/>
  <c r="I125" i="2"/>
  <c r="I142" i="2"/>
  <c r="I164" i="2"/>
  <c r="I186" i="2"/>
  <c r="K77" i="2"/>
  <c r="K97" i="2"/>
  <c r="K174" i="2"/>
  <c r="K84" i="2"/>
  <c r="K107" i="2"/>
  <c r="K127" i="2"/>
  <c r="K66" i="2"/>
  <c r="K179" i="2"/>
  <c r="K129" i="2"/>
  <c r="I182" i="2"/>
  <c r="I151" i="2"/>
  <c r="K113" i="2"/>
  <c r="I92" i="2"/>
  <c r="I74" i="2"/>
  <c r="I115" i="2"/>
  <c r="I8" i="2"/>
  <c r="I174" i="2"/>
  <c r="I67" i="2"/>
  <c r="I85" i="2"/>
  <c r="I91" i="2"/>
  <c r="I126" i="2"/>
  <c r="I143" i="2"/>
  <c r="I165" i="2"/>
  <c r="I187" i="2"/>
  <c r="K78" i="2"/>
  <c r="K109" i="2"/>
  <c r="K176" i="2"/>
  <c r="K85" i="2"/>
  <c r="K26" i="2"/>
  <c r="K128" i="2"/>
  <c r="K160" i="2"/>
  <c r="K110" i="2"/>
  <c r="K7" i="2"/>
  <c r="K47" i="2"/>
  <c r="K67" i="2"/>
  <c r="K86" i="2"/>
  <c r="K27" i="2"/>
  <c r="K161" i="2"/>
  <c r="K183" i="2"/>
  <c r="I34" i="2"/>
  <c r="K178" i="2"/>
  <c r="K90" i="2"/>
  <c r="K165" i="2"/>
  <c r="K32" i="2"/>
  <c r="K116" i="2"/>
  <c r="I36" i="2"/>
  <c r="I47" i="2"/>
  <c r="I9" i="2"/>
  <c r="I28" i="2"/>
  <c r="I49" i="2"/>
  <c r="I106" i="2"/>
  <c r="I86" i="2"/>
  <c r="I107" i="2"/>
  <c r="I127" i="2"/>
  <c r="I144" i="2"/>
  <c r="I166" i="2"/>
  <c r="I32" i="2"/>
  <c r="I170" i="2"/>
  <c r="K8" i="2"/>
  <c r="K166" i="2"/>
  <c r="K70" i="2"/>
  <c r="K19" i="2"/>
  <c r="K75" i="2"/>
  <c r="K33" i="2"/>
  <c r="K95" i="2"/>
  <c r="K191" i="2"/>
  <c r="I10" i="2"/>
  <c r="I29" i="2"/>
  <c r="I68" i="2"/>
  <c r="I95" i="2"/>
  <c r="I61" i="2"/>
  <c r="I128" i="2"/>
  <c r="I167" i="2"/>
  <c r="I188" i="2"/>
  <c r="K5" i="2"/>
  <c r="K96" i="2"/>
  <c r="K48" i="2"/>
  <c r="K29" i="2"/>
  <c r="K46" i="2"/>
  <c r="K130" i="2"/>
  <c r="K162" i="2"/>
  <c r="K184" i="2"/>
  <c r="I30" i="2"/>
  <c r="I50" i="2"/>
  <c r="I69" i="2"/>
  <c r="I88" i="2"/>
  <c r="I109" i="2"/>
  <c r="I129" i="2"/>
  <c r="I149" i="2"/>
  <c r="I168" i="2"/>
  <c r="I189" i="2"/>
  <c r="K3" i="2"/>
  <c r="K101" i="2"/>
  <c r="K49" i="2"/>
  <c r="K68" i="2"/>
  <c r="K88" i="2"/>
  <c r="K111" i="2"/>
  <c r="K163" i="2"/>
  <c r="I31" i="2"/>
  <c r="I51" i="2"/>
  <c r="I70" i="2"/>
  <c r="I89" i="2"/>
  <c r="I66" i="2"/>
  <c r="I130" i="2"/>
  <c r="I150" i="2"/>
  <c r="I169" i="2"/>
  <c r="I190" i="2"/>
  <c r="K63" i="2"/>
  <c r="K28" i="2"/>
  <c r="K69" i="2"/>
  <c r="K89" i="2"/>
  <c r="K151" i="2"/>
  <c r="K131" i="2"/>
  <c r="K164" i="2"/>
  <c r="K187" i="2"/>
  <c r="I71" i="2"/>
  <c r="I111" i="2"/>
  <c r="I191" i="2"/>
  <c r="I54" i="2"/>
  <c r="K117" i="2"/>
  <c r="I11" i="2"/>
  <c r="I12" i="2"/>
  <c r="I13" i="2"/>
  <c r="I33" i="2"/>
  <c r="I53" i="2"/>
  <c r="I72" i="2"/>
  <c r="I52" i="2"/>
  <c r="I112" i="2"/>
  <c r="I131" i="2"/>
  <c r="I152" i="2"/>
  <c r="I171" i="2"/>
  <c r="I195" i="2"/>
  <c r="K9" i="2"/>
  <c r="K30" i="2"/>
  <c r="K51" i="2"/>
  <c r="K71" i="2"/>
  <c r="K91" i="2"/>
  <c r="K6" i="2"/>
  <c r="K186" i="2"/>
  <c r="K80" i="2"/>
  <c r="K133" i="2"/>
  <c r="K112" i="2"/>
  <c r="I124" i="2"/>
  <c r="I73" i="2"/>
  <c r="I113" i="2"/>
  <c r="I172" i="2"/>
  <c r="K31" i="2"/>
  <c r="K52" i="2"/>
  <c r="K72" i="2"/>
  <c r="K136" i="2"/>
  <c r="I35" i="2"/>
  <c r="I114" i="2"/>
  <c r="I87" i="2"/>
  <c r="K154" i="2"/>
  <c r="I56" i="2"/>
  <c r="I132" i="2"/>
  <c r="I175" i="2"/>
  <c r="K54" i="2"/>
  <c r="I14" i="2"/>
  <c r="I15" i="2"/>
  <c r="I16" i="2"/>
  <c r="I17" i="2"/>
  <c r="I37" i="2"/>
  <c r="I57" i="2"/>
  <c r="I76" i="2"/>
  <c r="I90" i="2"/>
  <c r="I116" i="2"/>
  <c r="I154" i="2"/>
  <c r="I43" i="2"/>
  <c r="K188" i="2"/>
  <c r="K34" i="2"/>
  <c r="K65" i="2"/>
  <c r="K50" i="2"/>
  <c r="K25" i="2"/>
  <c r="K118" i="2"/>
  <c r="K149" i="2"/>
  <c r="K170" i="2"/>
  <c r="K195" i="2"/>
  <c r="I38" i="2"/>
  <c r="I58" i="2"/>
  <c r="I77" i="2"/>
  <c r="I96" i="2"/>
  <c r="I117" i="2"/>
  <c r="I134" i="2"/>
  <c r="I155" i="2"/>
  <c r="I177" i="2"/>
  <c r="K35" i="2"/>
  <c r="K56" i="2"/>
  <c r="K76" i="2"/>
  <c r="K55" i="2"/>
  <c r="K119" i="2"/>
  <c r="K150" i="2"/>
  <c r="K171" i="2"/>
  <c r="K190" i="2"/>
  <c r="I75" i="2"/>
  <c r="K169" i="2"/>
  <c r="I18" i="2"/>
  <c r="K23" i="2"/>
  <c r="K42" i="2"/>
  <c r="K60" i="2"/>
  <c r="K92" i="2"/>
  <c r="K135" i="2"/>
  <c r="K138" i="2"/>
  <c r="K134" i="2"/>
  <c r="K139" i="2"/>
  <c r="K141" i="2"/>
  <c r="K185" i="2"/>
  <c r="K140" i="2"/>
  <c r="K132" i="2"/>
  <c r="K143" i="2"/>
  <c r="K142" i="2"/>
  <c r="K79" i="2"/>
  <c r="K156" i="2"/>
  <c r="K144" i="2"/>
  <c r="K155" i="2"/>
  <c r="K98" i="2"/>
  <c r="BR208" i="2" l="1" a="1"/>
  <c r="BR208" i="2" s="1"/>
  <c r="BS208" i="2" s="1"/>
  <c r="BR205" i="2" a="1"/>
  <c r="BR205" i="2" s="1"/>
  <c r="BS205" i="2" s="1"/>
  <c r="BR206" i="2" a="1"/>
  <c r="BR206" i="2" s="1"/>
  <c r="BS206" i="2" s="1"/>
  <c r="BR207" i="2" a="1"/>
  <c r="BR207" i="2" s="1"/>
  <c r="BS207" i="2" s="1"/>
  <c r="BR202" i="2" a="1"/>
  <c r="BR202" i="2" s="1"/>
  <c r="BS202" i="2" s="1"/>
  <c r="BR203" i="2" a="1"/>
  <c r="BR203" i="2" s="1"/>
  <c r="BS203" i="2" s="1"/>
  <c r="BR209" i="2" a="1"/>
  <c r="BR209" i="2" s="1"/>
  <c r="BS209" i="2" s="1"/>
  <c r="BR204" i="2" a="1"/>
  <c r="BR204" i="2" s="1"/>
  <c r="BS204" i="2" s="1"/>
  <c r="E2" i="5"/>
  <c r="D2" i="5"/>
  <c r="C2" i="5"/>
  <c r="B2" i="5"/>
  <c r="E3" i="5"/>
  <c r="D3" i="5"/>
  <c r="C3" i="5"/>
  <c r="B3" i="5"/>
  <c r="E20" i="5"/>
  <c r="B20" i="5"/>
  <c r="D20" i="5"/>
  <c r="C20" i="5"/>
  <c r="E19" i="5"/>
  <c r="D19" i="5"/>
  <c r="C19" i="5"/>
  <c r="B19" i="5"/>
  <c r="BR201" i="2" a="1"/>
  <c r="BR201" i="2" s="1"/>
  <c r="BS201" i="2" s="1"/>
  <c r="BR200" i="2" a="1"/>
  <c r="BR200" i="2" s="1"/>
  <c r="BS200" i="2" s="1"/>
  <c r="BR199" i="2" a="1"/>
  <c r="BR199" i="2" s="1"/>
  <c r="BS199" i="2" s="1"/>
  <c r="BR198" i="2" a="1"/>
  <c r="BR198" i="2" s="1"/>
  <c r="BS198" i="2" s="1"/>
  <c r="BR197" i="2" a="1"/>
  <c r="BR197" i="2" s="1"/>
  <c r="BS197" i="2" s="1"/>
  <c r="BR196" i="2" a="1"/>
  <c r="BR196" i="2" s="1"/>
  <c r="BS196" i="2" s="1"/>
  <c r="BR158" i="2" a="1"/>
  <c r="BR158" i="2" s="1"/>
  <c r="BS158" i="2" s="1"/>
  <c r="BR181" i="2" a="1"/>
  <c r="BR181" i="2" s="1"/>
  <c r="BS181" i="2" s="1"/>
  <c r="BR180" i="2" a="1"/>
  <c r="BR180" i="2" s="1"/>
  <c r="BS180" i="2" s="1"/>
  <c r="BR148" i="2" a="1"/>
  <c r="BR148" i="2" s="1"/>
  <c r="BS148" i="2" s="1"/>
  <c r="BR4" i="2" a="1"/>
  <c r="BR4" i="2" s="1"/>
  <c r="BS4" i="2" s="1"/>
  <c r="BR146" i="2" a="1"/>
  <c r="BR146" i="2" s="1"/>
  <c r="BS146" i="2" s="1"/>
  <c r="BR145" i="2" a="1"/>
  <c r="BR145" i="2" s="1"/>
  <c r="BS145" i="2" s="1"/>
  <c r="BR147" i="2" a="1"/>
  <c r="BR147" i="2" s="1"/>
  <c r="BS147" i="2" s="1"/>
  <c r="BR173" i="2" a="1"/>
  <c r="BR173" i="2" s="1"/>
  <c r="BS173" i="2" s="1"/>
  <c r="BR13" i="2" a="1"/>
  <c r="BR13" i="2" s="1"/>
  <c r="BS13" i="2" s="1"/>
  <c r="BR194" i="2" a="1"/>
  <c r="BR194" i="2" s="1"/>
  <c r="BS194" i="2" s="1"/>
  <c r="BR193" i="2" a="1"/>
  <c r="BR193" i="2" s="1"/>
  <c r="BS193" i="2" s="1"/>
  <c r="BR192" i="2" a="1"/>
  <c r="BR192" i="2" s="1"/>
  <c r="BS192" i="2" s="1"/>
  <c r="BR131" i="2" a="1"/>
  <c r="BR131" i="2" s="1"/>
  <c r="BS131" i="2" s="1"/>
  <c r="BR43" i="2" a="1"/>
  <c r="BR43" i="2" s="1"/>
  <c r="BS43" i="2" s="1"/>
  <c r="BR47" i="2" a="1"/>
  <c r="BR47" i="2" s="1"/>
  <c r="BS47" i="2" s="1"/>
  <c r="BR70" i="2" a="1"/>
  <c r="BR70" i="2" s="1"/>
  <c r="BS70" i="2" s="1"/>
  <c r="BR136" i="2" a="1"/>
  <c r="BR136" i="2" s="1"/>
  <c r="BS136" i="2" s="1"/>
  <c r="BR94" i="2" a="1"/>
  <c r="BR94" i="2" s="1"/>
  <c r="BS94" i="2" s="1"/>
  <c r="BR178" i="2" a="1"/>
  <c r="BR178" i="2" s="1"/>
  <c r="BS178" i="2" s="1"/>
  <c r="BR182" i="2" a="1"/>
  <c r="BR182" i="2" s="1"/>
  <c r="BS182" i="2" s="1"/>
  <c r="BR27" i="2" a="1"/>
  <c r="BR27" i="2" s="1"/>
  <c r="BS27" i="2" s="1"/>
  <c r="BR161" i="2" a="1"/>
  <c r="BR161" i="2" s="1"/>
  <c r="BS161" i="2" s="1"/>
  <c r="BR105" i="2" a="1"/>
  <c r="BR105" i="2" s="1"/>
  <c r="BS105" i="2" s="1"/>
  <c r="BR156" i="2" a="1"/>
  <c r="BR156" i="2" s="1"/>
  <c r="BS156" i="2" s="1"/>
  <c r="BR138" i="2" a="1"/>
  <c r="BR138" i="2" s="1"/>
  <c r="BS138" i="2" s="1"/>
  <c r="BR24" i="2" a="1"/>
  <c r="BR24" i="2" s="1"/>
  <c r="BS24" i="2" s="1"/>
  <c r="BR89" i="2" a="1"/>
  <c r="BR89" i="2" s="1"/>
  <c r="BS89" i="2" s="1"/>
  <c r="BR134" i="2" a="1"/>
  <c r="BR134" i="2" s="1"/>
  <c r="BS134" i="2" s="1"/>
  <c r="BR162" i="2" a="1"/>
  <c r="BR162" i="2" s="1"/>
  <c r="BR141" i="2" a="1"/>
  <c r="BR141" i="2" s="1"/>
  <c r="BS141" i="2" s="1"/>
  <c r="BR92" i="2" a="1"/>
  <c r="BR92" i="2" s="1"/>
  <c r="BS92" i="2" s="1"/>
  <c r="BR112" i="2" a="1"/>
  <c r="BR112" i="2" s="1"/>
  <c r="BS112" i="2" s="1"/>
  <c r="BR122" i="2" a="1"/>
  <c r="BR122" i="2" s="1"/>
  <c r="BS122" i="2" s="1"/>
  <c r="BR80" i="2" a="1"/>
  <c r="BR80" i="2" s="1"/>
  <c r="BS80" i="2" s="1"/>
  <c r="BR101" i="2" a="1"/>
  <c r="BR101" i="2" s="1"/>
  <c r="BS101" i="2" s="1"/>
  <c r="BR153" i="2" a="1"/>
  <c r="BR153" i="2" s="1"/>
  <c r="BS153" i="2" s="1"/>
  <c r="BR157" i="2" a="1"/>
  <c r="BR157" i="2" s="1"/>
  <c r="BS157" i="2" s="1"/>
  <c r="BR177" i="2" a="1"/>
  <c r="BR177" i="2" s="1"/>
  <c r="BS177" i="2" s="1"/>
  <c r="BR126" i="2" a="1"/>
  <c r="BR126" i="2" s="1"/>
  <c r="BS126" i="2" s="1"/>
  <c r="BR6" i="2" a="1"/>
  <c r="BR6" i="2" s="1"/>
  <c r="BS6" i="2" s="1"/>
  <c r="BR135" i="2" a="1"/>
  <c r="BR135" i="2" s="1"/>
  <c r="BS135" i="2" s="1"/>
  <c r="BR65" i="2" a="1"/>
  <c r="BR65" i="2" s="1"/>
  <c r="BS65" i="2" s="1"/>
  <c r="BR54" i="2" a="1"/>
  <c r="BR54" i="2" s="1"/>
  <c r="BS54" i="2" s="1"/>
  <c r="BR73" i="2" a="1"/>
  <c r="BR73" i="2" s="1"/>
  <c r="BS73" i="2" s="1"/>
  <c r="BR142" i="2" a="1"/>
  <c r="BR142" i="2" s="1"/>
  <c r="BS142" i="2" s="1"/>
  <c r="BR119" i="2" a="1"/>
  <c r="BR119" i="2" s="1"/>
  <c r="BS119" i="2" s="1"/>
  <c r="BR21" i="2" a="1"/>
  <c r="BR21" i="2" s="1"/>
  <c r="BS21" i="2" s="1"/>
  <c r="BR124" i="2" a="1"/>
  <c r="BR124" i="2" s="1"/>
  <c r="BS124" i="2" s="1"/>
  <c r="BR82" i="2" a="1"/>
  <c r="BR82" i="2" s="1"/>
  <c r="BS82" i="2" s="1"/>
  <c r="BR151" i="2" a="1"/>
  <c r="BR151" i="2" s="1"/>
  <c r="BS151" i="2" s="1"/>
  <c r="BR49" i="2" a="1"/>
  <c r="BR49" i="2" s="1"/>
  <c r="BS49" i="2" s="1"/>
  <c r="BR40" i="2" a="1"/>
  <c r="BR40" i="2" s="1"/>
  <c r="BS40" i="2" s="1"/>
  <c r="BR187" i="2" a="1"/>
  <c r="BR187" i="2" s="1"/>
  <c r="BS187" i="2" s="1"/>
  <c r="BR50" i="2" a="1"/>
  <c r="BR50" i="2" s="1"/>
  <c r="BS50" i="2" s="1"/>
  <c r="BR154" i="2" a="1"/>
  <c r="BR154" i="2" s="1"/>
  <c r="BS154" i="2" s="1"/>
  <c r="BR118" i="2" a="1"/>
  <c r="BR118" i="2" s="1"/>
  <c r="BS118" i="2" s="1"/>
  <c r="BR63" i="2" a="1"/>
  <c r="BR63" i="2" s="1"/>
  <c r="BS63" i="2" s="1"/>
  <c r="BR33" i="2" a="1"/>
  <c r="BR33" i="2" s="1"/>
  <c r="BS33" i="2" s="1"/>
  <c r="BR78" i="2" a="1"/>
  <c r="BR78" i="2" s="1"/>
  <c r="BS78" i="2" s="1"/>
  <c r="BR38" i="2" a="1"/>
  <c r="BR38" i="2" s="1"/>
  <c r="BS38" i="2" s="1"/>
  <c r="BR16" i="2" a="1"/>
  <c r="BR16" i="2" s="1"/>
  <c r="BS16" i="2" s="1"/>
  <c r="BR96" i="2" a="1"/>
  <c r="BR96" i="2" s="1"/>
  <c r="BS96" i="2" s="1"/>
  <c r="BR67" i="2" a="1"/>
  <c r="BR67" i="2" s="1"/>
  <c r="BS67" i="2" s="1"/>
  <c r="BR8" i="2" a="1"/>
  <c r="BR8" i="2" s="1"/>
  <c r="BS8" i="2" s="1"/>
  <c r="BR61" i="2" a="1"/>
  <c r="BR61" i="2" s="1"/>
  <c r="BS61" i="2" s="1"/>
  <c r="BR26" i="2" a="1"/>
  <c r="BR26" i="2" s="1"/>
  <c r="BS26" i="2" s="1"/>
  <c r="BR48" i="2" a="1"/>
  <c r="BR48" i="2" s="1"/>
  <c r="BS48" i="2" s="1"/>
  <c r="BR149" i="2" a="1"/>
  <c r="BR149" i="2" s="1"/>
  <c r="BS149" i="2" s="1"/>
  <c r="BR174" i="2" a="1"/>
  <c r="BR174" i="2" s="1"/>
  <c r="BS174" i="2" s="1"/>
  <c r="BR62" i="2" a="1"/>
  <c r="BR62" i="2" s="1"/>
  <c r="BS62" i="2" s="1"/>
  <c r="BR55" i="2" a="1"/>
  <c r="BR55" i="2" s="1"/>
  <c r="BS55" i="2" s="1"/>
  <c r="BR175" i="2" a="1"/>
  <c r="BR175" i="2" s="1"/>
  <c r="BS175" i="2" s="1"/>
  <c r="BR120" i="2" a="1"/>
  <c r="BR120" i="2" s="1"/>
  <c r="BS120" i="2" s="1"/>
  <c r="BR9" i="2" a="1"/>
  <c r="BR9" i="2" s="1"/>
  <c r="BS9" i="2" s="1"/>
  <c r="BR168" i="2" a="1"/>
  <c r="BR168" i="2" s="1"/>
  <c r="BS168" i="2" s="1"/>
  <c r="BR77" i="2" a="1"/>
  <c r="BR77" i="2" s="1"/>
  <c r="BS77" i="2" s="1"/>
  <c r="BR140" i="2" a="1"/>
  <c r="BR140" i="2" s="1"/>
  <c r="BS140" i="2" s="1"/>
  <c r="BR71" i="2" a="1"/>
  <c r="BR71" i="2" s="1"/>
  <c r="BS71" i="2" s="1"/>
  <c r="BR111" i="2" a="1"/>
  <c r="BR111" i="2" s="1"/>
  <c r="BS111" i="2" s="1"/>
  <c r="BR69" i="2" a="1"/>
  <c r="BR69" i="2" s="1"/>
  <c r="BS69" i="2" s="1"/>
  <c r="BR72" i="2" a="1"/>
  <c r="BR72" i="2" s="1"/>
  <c r="BS72" i="2" s="1"/>
  <c r="BR91" i="2" a="1"/>
  <c r="BR91" i="2" s="1"/>
  <c r="BS91" i="2" s="1"/>
  <c r="BR32" i="2" a="1"/>
  <c r="BR32" i="2" s="1"/>
  <c r="BS32" i="2" s="1"/>
  <c r="BR123" i="2" a="1"/>
  <c r="BR123" i="2" s="1"/>
  <c r="BS123" i="2" s="1"/>
  <c r="BR31" i="2" a="1"/>
  <c r="BR31" i="2" s="1"/>
  <c r="BS31" i="2" s="1"/>
  <c r="BR186" i="2" a="1"/>
  <c r="BR186" i="2" s="1"/>
  <c r="BS186" i="2" s="1"/>
  <c r="BR66" i="2" a="1"/>
  <c r="BR66" i="2" s="1"/>
  <c r="BS66" i="2" s="1"/>
  <c r="BR29" i="2" a="1"/>
  <c r="BR29" i="2" s="1"/>
  <c r="BS29" i="2" s="1"/>
  <c r="BR184" i="2" a="1"/>
  <c r="BR184" i="2" s="1"/>
  <c r="BS184" i="2" s="1"/>
  <c r="BR113" i="2" a="1"/>
  <c r="BR113" i="2" s="1"/>
  <c r="BS113" i="2" s="1"/>
  <c r="BR167" i="2" a="1"/>
  <c r="BR167" i="2" s="1"/>
  <c r="BS167" i="2" s="1"/>
  <c r="BR87" i="2" a="1"/>
  <c r="BR87" i="2" s="1"/>
  <c r="BS87" i="2" s="1"/>
  <c r="BR188" i="2" a="1"/>
  <c r="BR188" i="2" s="1"/>
  <c r="BS188" i="2" s="1"/>
  <c r="BR12" i="2" a="1"/>
  <c r="BR12" i="2" s="1"/>
  <c r="BS12" i="2" s="1"/>
  <c r="BR171" i="2" a="1"/>
  <c r="BR171" i="2" s="1"/>
  <c r="BS171" i="2" s="1"/>
  <c r="BR76" i="2" a="1"/>
  <c r="BR76" i="2" s="1"/>
  <c r="BS76" i="2" s="1"/>
  <c r="BR115" i="2" a="1"/>
  <c r="BR115" i="2" s="1"/>
  <c r="BS115" i="2" s="1"/>
  <c r="BR35" i="2" a="1"/>
  <c r="BR35" i="2" s="1"/>
  <c r="BS35" i="2" s="1"/>
  <c r="BR191" i="2" a="1"/>
  <c r="BR191" i="2" s="1"/>
  <c r="BS191" i="2" s="1"/>
  <c r="BR7" i="2" a="1"/>
  <c r="BR7" i="2" s="1"/>
  <c r="BS7" i="2" s="1"/>
  <c r="BR30" i="2" a="1"/>
  <c r="BR30" i="2" s="1"/>
  <c r="BS30" i="2" s="1"/>
  <c r="BR190" i="2" a="1"/>
  <c r="BR190" i="2" s="1"/>
  <c r="BS190" i="2" s="1"/>
  <c r="BR36" i="2" a="1"/>
  <c r="BR36" i="2" s="1"/>
  <c r="BS36" i="2" s="1"/>
  <c r="BR45" i="2" a="1"/>
  <c r="BR45" i="2" s="1"/>
  <c r="BS45" i="2" s="1"/>
  <c r="BR176" i="2" a="1"/>
  <c r="BR176" i="2" s="1"/>
  <c r="BS176" i="2" s="1"/>
  <c r="BR81" i="2" a="1"/>
  <c r="BR81" i="2" s="1"/>
  <c r="BS81" i="2" s="1"/>
  <c r="BR165" i="2" a="1"/>
  <c r="BR165" i="2" s="1"/>
  <c r="BS165" i="2" s="1"/>
  <c r="BR5" i="2" a="1"/>
  <c r="BR5" i="2" s="1"/>
  <c r="BR90" i="2" a="1"/>
  <c r="BR90" i="2" s="1"/>
  <c r="BS90" i="2" s="1"/>
  <c r="BR152" i="2" a="1"/>
  <c r="BR152" i="2" s="1"/>
  <c r="BS152" i="2" s="1"/>
  <c r="BR17" i="2" a="1"/>
  <c r="BR17" i="2" s="1"/>
  <c r="BS17" i="2" s="1"/>
  <c r="BR22" i="2" a="1"/>
  <c r="BR22" i="2" s="1"/>
  <c r="BS22" i="2" s="1"/>
  <c r="BR18" i="2" a="1"/>
  <c r="BR18" i="2" s="1"/>
  <c r="BS18" i="2" s="1"/>
  <c r="BR102" i="2" a="1"/>
  <c r="BR102" i="2" s="1"/>
  <c r="BS102" i="2" s="1"/>
  <c r="BR95" i="2" a="1"/>
  <c r="BR95" i="2" s="1"/>
  <c r="BS95" i="2" s="1"/>
  <c r="BR20" i="2" a="1"/>
  <c r="BR20" i="2" s="1"/>
  <c r="BS20" i="2" s="1"/>
  <c r="BR53" i="2" a="1"/>
  <c r="BR53" i="2" s="1"/>
  <c r="BS53" i="2" s="1"/>
  <c r="BR100" i="2" a="1"/>
  <c r="BR100" i="2" s="1"/>
  <c r="BR42" i="2" a="1"/>
  <c r="BR42" i="2" s="1"/>
  <c r="BS42" i="2" s="1"/>
  <c r="BR97" i="2" a="1"/>
  <c r="BR97" i="2" s="1"/>
  <c r="BS97" i="2" s="1"/>
  <c r="BR75" i="2" a="1"/>
  <c r="BR75" i="2" s="1"/>
  <c r="BS75" i="2" s="1"/>
  <c r="BR137" i="2" a="1"/>
  <c r="BR137" i="2" s="1"/>
  <c r="BS137" i="2" s="1"/>
  <c r="BR143" i="2" a="1"/>
  <c r="BR143" i="2" s="1"/>
  <c r="BS143" i="2" s="1"/>
  <c r="BR34" i="2" a="1"/>
  <c r="BR34" i="2" s="1"/>
  <c r="BS34" i="2" s="1"/>
  <c r="BR170" i="2" a="1"/>
  <c r="BR170" i="2" s="1"/>
  <c r="BS170" i="2" s="1"/>
  <c r="BR39" i="2" a="1"/>
  <c r="BR39" i="2" s="1"/>
  <c r="BS39" i="2" s="1"/>
  <c r="BR68" i="2" a="1"/>
  <c r="BR68" i="2" s="1"/>
  <c r="BS68" i="2" s="1"/>
  <c r="BR44" i="2" a="1"/>
  <c r="BR44" i="2" s="1"/>
  <c r="BS44" i="2" s="1"/>
  <c r="BR130" i="2" a="1"/>
  <c r="BR130" i="2" s="1"/>
  <c r="BS130" i="2" s="1"/>
  <c r="BR144" i="2" a="1"/>
  <c r="BR144" i="2" s="1"/>
  <c r="BS144" i="2" s="1"/>
  <c r="BR129" i="2" a="1"/>
  <c r="BR129" i="2" s="1"/>
  <c r="BS129" i="2" s="1"/>
  <c r="BR109" i="2" a="1"/>
  <c r="BR109" i="2" s="1"/>
  <c r="BS109" i="2" s="1"/>
  <c r="BR183" i="2" a="1"/>
  <c r="BR183" i="2" s="1"/>
  <c r="BS183" i="2" s="1"/>
  <c r="BR41" i="2" a="1"/>
  <c r="BR41" i="2" s="1"/>
  <c r="BS41" i="2" s="1"/>
  <c r="BR51" i="2" a="1"/>
  <c r="BR51" i="2" s="1"/>
  <c r="BS51" i="2" s="1"/>
  <c r="BR185" i="2" a="1"/>
  <c r="BR185" i="2" s="1"/>
  <c r="BS185" i="2" s="1"/>
  <c r="BR3" i="2" a="1"/>
  <c r="BR3" i="2" s="1"/>
  <c r="BS3" i="2" s="1"/>
  <c r="BR64" i="2" a="1"/>
  <c r="BR64" i="2" s="1"/>
  <c r="BS64" i="2" s="1"/>
  <c r="BR163" i="2" a="1"/>
  <c r="BR163" i="2" s="1"/>
  <c r="BS163" i="2" s="1"/>
  <c r="BR160" i="2" a="1"/>
  <c r="BR160" i="2" s="1"/>
  <c r="BS160" i="2" s="1"/>
  <c r="BR108" i="2" a="1"/>
  <c r="BR108" i="2" s="1"/>
  <c r="BS108" i="2" s="1"/>
  <c r="BR189" i="2" a="1"/>
  <c r="BR189" i="2" s="1"/>
  <c r="BS189" i="2" s="1"/>
  <c r="BR37" i="2" a="1"/>
  <c r="BR37" i="2" s="1"/>
  <c r="BS37" i="2" s="1"/>
  <c r="BR10" i="2" a="1"/>
  <c r="BR10" i="2" s="1"/>
  <c r="BR110" i="2" a="1"/>
  <c r="BR110" i="2" s="1"/>
  <c r="BS110" i="2" s="1"/>
  <c r="BR57" i="2" a="1"/>
  <c r="BR57" i="2" s="1"/>
  <c r="BS57" i="2" s="1"/>
  <c r="BR74" i="2" a="1"/>
  <c r="BR74" i="2" s="1"/>
  <c r="BS74" i="2" s="1"/>
  <c r="BR121" i="2" a="1"/>
  <c r="BR121" i="2" s="1"/>
  <c r="BS121" i="2" s="1"/>
  <c r="BR159" i="2" a="1"/>
  <c r="BR159" i="2" s="1"/>
  <c r="BS159" i="2" s="1"/>
  <c r="BR11" i="2" a="1"/>
  <c r="BR11" i="2" s="1"/>
  <c r="BS11" i="2" s="1"/>
  <c r="BR104" i="2" a="1"/>
  <c r="BR104" i="2" s="1"/>
  <c r="BS104" i="2" s="1"/>
  <c r="BR103" i="2" a="1"/>
  <c r="BR103" i="2" s="1"/>
  <c r="BS103" i="2" s="1"/>
  <c r="BR28" i="2" a="1"/>
  <c r="BR28" i="2" s="1"/>
  <c r="BS28" i="2" s="1"/>
  <c r="BR195" i="2" a="1"/>
  <c r="BR195" i="2" s="1"/>
  <c r="BS195" i="2" s="1"/>
  <c r="BR23" i="2" a="1"/>
  <c r="BR23" i="2" s="1"/>
  <c r="BS23" i="2" s="1"/>
  <c r="BR46" i="2" a="1"/>
  <c r="BR46" i="2" s="1"/>
  <c r="BS46" i="2" s="1"/>
  <c r="BR86" i="2" a="1"/>
  <c r="BR86" i="2" s="1"/>
  <c r="BS86" i="2" s="1"/>
  <c r="BR58" i="2" a="1"/>
  <c r="BR58" i="2" s="1"/>
  <c r="BS58" i="2" s="1"/>
  <c r="BR60" i="2" a="1"/>
  <c r="BR60" i="2" s="1"/>
  <c r="BS60" i="2" s="1"/>
  <c r="BR155" i="2" a="1"/>
  <c r="BR155" i="2" s="1"/>
  <c r="BS155" i="2" s="1"/>
  <c r="BR98" i="2" a="1"/>
  <c r="BR98" i="2" s="1"/>
  <c r="BS98" i="2" s="1"/>
  <c r="BR85" i="2" a="1"/>
  <c r="BR85" i="2" s="1"/>
  <c r="BS85" i="2" s="1"/>
  <c r="BR14" i="2" a="1"/>
  <c r="BR14" i="2" s="1"/>
  <c r="BS14" i="2" s="1"/>
  <c r="BR84" i="2" a="1"/>
  <c r="BR84" i="2" s="1"/>
  <c r="BS84" i="2" s="1"/>
  <c r="BR59" i="2" a="1"/>
  <c r="BR59" i="2" s="1"/>
  <c r="BS59" i="2" s="1"/>
  <c r="BR125" i="2" a="1"/>
  <c r="BR125" i="2" s="1"/>
  <c r="BS125" i="2" s="1"/>
  <c r="BR106" i="2" a="1"/>
  <c r="BR106" i="2" s="1"/>
  <c r="BS106" i="2" s="1"/>
  <c r="BR164" i="2" a="1"/>
  <c r="BR164" i="2" s="1"/>
  <c r="BS164" i="2" s="1"/>
  <c r="BR133" i="2" a="1"/>
  <c r="BR133" i="2" s="1"/>
  <c r="BS133" i="2" s="1"/>
  <c r="BR83" i="2" a="1"/>
  <c r="BR83" i="2" s="1"/>
  <c r="BS83" i="2" s="1"/>
  <c r="BR52" i="2" a="1"/>
  <c r="BR52" i="2" s="1"/>
  <c r="BS52" i="2" s="1"/>
  <c r="BR15" i="2" a="1"/>
  <c r="BR15" i="2" s="1"/>
  <c r="BS15" i="2" s="1"/>
  <c r="BR150" i="2" a="1"/>
  <c r="BR150" i="2" s="1"/>
  <c r="BS150" i="2" s="1"/>
  <c r="BR88" i="2" a="1"/>
  <c r="BR88" i="2" s="1"/>
  <c r="BS88" i="2" s="1"/>
  <c r="BR116" i="2" a="1"/>
  <c r="BR116" i="2" s="1"/>
  <c r="BS116" i="2" s="1"/>
  <c r="BR114" i="2" a="1"/>
  <c r="BR114" i="2" s="1"/>
  <c r="BS114" i="2" s="1"/>
  <c r="BR25" i="2" a="1"/>
  <c r="BR25" i="2" s="1"/>
  <c r="BS25" i="2" s="1"/>
  <c r="BR179" i="2" a="1"/>
  <c r="BR179" i="2" s="1"/>
  <c r="BS179" i="2" s="1"/>
  <c r="BR56" i="2" a="1"/>
  <c r="BR56" i="2" s="1"/>
  <c r="BS56" i="2" s="1"/>
  <c r="BR127" i="2" a="1"/>
  <c r="BR127" i="2" s="1"/>
  <c r="BS127" i="2" s="1"/>
  <c r="BR166" i="2" a="1"/>
  <c r="BR166" i="2" s="1"/>
  <c r="BS166" i="2" s="1"/>
  <c r="BR107" i="2" a="1"/>
  <c r="BR107" i="2" s="1"/>
  <c r="BS107" i="2" s="1"/>
  <c r="BR128" i="2" a="1"/>
  <c r="BR128" i="2" s="1"/>
  <c r="BS128" i="2" s="1"/>
  <c r="BR79" i="2" a="1"/>
  <c r="BR79" i="2" s="1"/>
  <c r="BS79" i="2" s="1"/>
  <c r="BR19" i="2" a="1"/>
  <c r="BR19" i="2" s="1"/>
  <c r="BS19" i="2" s="1"/>
  <c r="BR93" i="2" a="1"/>
  <c r="BR93" i="2" s="1"/>
  <c r="BS93" i="2" s="1"/>
  <c r="BR169" i="2" a="1"/>
  <c r="BR169" i="2" s="1"/>
  <c r="BS169" i="2" s="1"/>
  <c r="BR139" i="2" a="1"/>
  <c r="BR139" i="2" s="1"/>
  <c r="BS139" i="2" s="1"/>
  <c r="BR117" i="2" a="1"/>
  <c r="BR117" i="2" s="1"/>
  <c r="BS117" i="2" s="1"/>
  <c r="BR132" i="2" a="1"/>
  <c r="BR132" i="2" s="1"/>
  <c r="BS132" i="2" s="1"/>
  <c r="BR172" i="2" a="1"/>
  <c r="BR172" i="2" s="1"/>
  <c r="BS172" i="2" s="1"/>
  <c r="BS211" i="2" l="1"/>
  <c r="BS162" i="2"/>
  <c r="BS100" i="2"/>
  <c r="BS10" i="2"/>
  <c r="BS5" i="2"/>
  <c r="F5" i="5"/>
  <c r="D21" i="5"/>
  <c r="B21" i="5"/>
  <c r="C21" i="5"/>
  <c r="E21" i="5"/>
  <c r="F20" i="5"/>
  <c r="F10" i="5"/>
  <c r="F19" i="5"/>
  <c r="F7" i="5"/>
  <c r="E12" i="5"/>
  <c r="C12" i="5"/>
  <c r="D12" i="5"/>
  <c r="F4" i="5"/>
  <c r="B12" i="5"/>
  <c r="F6" i="5"/>
  <c r="F8" i="5"/>
  <c r="F9" i="5"/>
  <c r="F3" i="5"/>
  <c r="F11" i="5"/>
  <c r="F2" i="5"/>
  <c r="BS212" i="2" l="1"/>
  <c r="F12" i="5"/>
  <c r="B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Singgih Hadi Purnomo</author>
    <author>Fitry Nurlaely Ghozali 581037</author>
    <author>Andi Surya Wijaya</author>
  </authors>
  <commentList>
    <comment ref="BD5" authorId="0" shapeId="0" xr:uid="{C1ADFE99-E6CA-4D99-88B5-B904E35399CD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info TQW Karyawan tetap done</t>
        </r>
      </text>
    </comment>
    <comment ref="AI169" authorId="1" shapeId="0" xr:uid="{F632D9AA-9A1A-4212-919A-8CF01CCD2939}">
      <text>
        <r>
          <rPr>
            <b/>
            <sz val="9"/>
            <color indexed="81"/>
            <rFont val="Tahoma"/>
            <family val="2"/>
          </rPr>
          <t>Fitry Nurlaely Ghozali 581037:</t>
        </r>
        <r>
          <rPr>
            <sz val="9"/>
            <color indexed="81"/>
            <rFont val="Tahoma"/>
            <family val="2"/>
          </rPr>
          <t xml:space="preserve">
Writing Maintenance Instruction 19 Nov 2024</t>
        </r>
      </text>
    </comment>
    <comment ref="AJ169" authorId="0" shapeId="0" xr:uid="{801F3F13-429B-4E4F-8824-2BA12E5C4890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A330 FAMILIARIZATION
ATR-42/72-600 FAMILIARIZATION 10 Oct 2016</t>
        </r>
      </text>
    </comment>
    <comment ref="AI170" authorId="1" shapeId="0" xr:uid="{17560B29-0A0F-401A-98D7-BC4380BB2EAA}">
      <text>
        <r>
          <rPr>
            <b/>
            <sz val="9"/>
            <color indexed="81"/>
            <rFont val="Tahoma"/>
            <family val="2"/>
          </rPr>
          <t>Fitry Nurlaely Ghozali 581037:</t>
        </r>
        <r>
          <rPr>
            <sz val="9"/>
            <color indexed="81"/>
            <rFont val="Tahoma"/>
            <family val="2"/>
          </rPr>
          <t xml:space="preserve">
Writing Maint. Instruction 7 Jan 2025</t>
        </r>
      </text>
    </comment>
    <comment ref="AJ170" authorId="0" shapeId="0" xr:uid="{0F49FE53-A506-4DA3-B576-22DFA36225AF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B737-600/700/800/900 Familiarization</t>
        </r>
      </text>
    </comment>
    <comment ref="AI172" authorId="1" shapeId="0" xr:uid="{D3C294C9-CDE7-4EBC-B7CC-CADA16D91427}">
      <text>
        <r>
          <rPr>
            <b/>
            <sz val="9"/>
            <color indexed="81"/>
            <rFont val="Tahoma"/>
            <family val="2"/>
          </rPr>
          <t>Fitry Nurlaely Ghozali 581037:</t>
        </r>
        <r>
          <rPr>
            <sz val="9"/>
            <color indexed="81"/>
            <rFont val="Tahoma"/>
            <family val="2"/>
          </rPr>
          <t xml:space="preserve">
Writing Maintenance Instruction 7 Feb 2025</t>
        </r>
      </text>
    </comment>
    <comment ref="AJ172" authorId="0" shapeId="0" xr:uid="{E314D5A5-477A-4FC6-BC05-61DB8A553A33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B737-600/700/800/900 Familiarization</t>
        </r>
      </text>
    </comment>
    <comment ref="AJ174" authorId="0" shapeId="0" xr:uid="{90E5477D-06AE-445D-91F5-0D5EBC7233AD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A330-200/300 FAMILIARIZATION</t>
        </r>
      </text>
    </comment>
    <comment ref="BD175" authorId="0" shapeId="0" xr:uid="{6D082E15-F635-4338-88D7-AA88EA078A80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info TQW Karyawan tetap done</t>
        </r>
      </text>
    </comment>
    <comment ref="AI176" authorId="1" shapeId="0" xr:uid="{04D19038-9A67-446F-A214-8DB880927A31}">
      <text>
        <r>
          <rPr>
            <b/>
            <sz val="9"/>
            <color indexed="81"/>
            <rFont val="Tahoma"/>
            <family val="2"/>
          </rPr>
          <t>Fitry Nurlaely Ghozali 581037:</t>
        </r>
        <r>
          <rPr>
            <sz val="9"/>
            <color indexed="81"/>
            <rFont val="Tahoma"/>
            <family val="2"/>
          </rPr>
          <t xml:space="preserve">
Writing Maintenance Instruction 15 Nov 2024</t>
        </r>
      </text>
    </comment>
    <comment ref="AJ176" authorId="0" shapeId="0" xr:uid="{DF01F8EF-4B28-4475-9BE9-AC05C074183C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A330 Familiarization</t>
        </r>
      </text>
    </comment>
    <comment ref="BG177" authorId="0" shapeId="0" xr:uid="{A277252B-4DD2-4854-852D-AC133D55C439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BASIC AIRCRAFT TECHNICAL KNOWLEDGE</t>
        </r>
      </text>
    </comment>
    <comment ref="BD178" authorId="0" shapeId="0" xr:uid="{FFAE438D-9FE1-48C3-83AB-D481FD1FE488}">
      <text>
        <r>
          <rPr>
            <b/>
            <sz val="9"/>
            <color indexed="81"/>
            <rFont val="Tahoma"/>
            <family val="2"/>
          </rPr>
          <t>Singgih Hadi Purnomo:</t>
        </r>
        <r>
          <rPr>
            <sz val="9"/>
            <color indexed="81"/>
            <rFont val="Tahoma"/>
            <family val="2"/>
          </rPr>
          <t xml:space="preserve">
info TQW Karyawan tetap done</t>
        </r>
      </text>
    </comment>
    <comment ref="A196" authorId="2" shapeId="0" xr:uid="{BA5C9A8A-A61B-4353-AB10-3187C9149465}">
      <text>
        <r>
          <rPr>
            <sz val="11"/>
            <color theme="1"/>
            <rFont val="Calibri"/>
            <family val="2"/>
            <scheme val="minor"/>
          </rPr>
          <t xml:space="preserve">Andi Surya Wijaya: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<sst xmlns="http://schemas.openxmlformats.org/spreadsheetml/2006/main" count="6472" uniqueCount="878">
  <si>
    <t>New Unit</t>
  </si>
  <si>
    <t>(All)</t>
  </si>
  <si>
    <t>Count of Name</t>
  </si>
  <si>
    <t>Column Labels</t>
  </si>
  <si>
    <t>Row Labels</t>
  </si>
  <si>
    <t>AIRCRAFT CABIN CONTROLLER</t>
  </si>
  <si>
    <t>AIRCRAFT CABIN ENGINEER</t>
  </si>
  <si>
    <t>AIRCRAFT CABIN TECHNICIAN</t>
  </si>
  <si>
    <t>AIRCRAFT MAINTENANCE ENGINEER</t>
  </si>
  <si>
    <t>AIRCRAFT MAINTENANCE PLANNER</t>
  </si>
  <si>
    <t>AIRCRAFT MAINTENANCE TECHNICIAN</t>
  </si>
  <si>
    <t>ASSISTANT STAFF OFFICER</t>
  </si>
  <si>
    <t>OJT TO AIRCRAFT CABIN ENGINEER</t>
  </si>
  <si>
    <t>SENIOR AIRCRAFT CABIN CONTROLLER</t>
  </si>
  <si>
    <t>SENIOR AIRCRAFT CABIN ENGINEER</t>
  </si>
  <si>
    <t>SENIOR AIRCRAFT CABIN TECHNICIAN</t>
  </si>
  <si>
    <t>SENIOR AIRCRAFT MAINTENANCE PLANNER</t>
  </si>
  <si>
    <t>SENIOR AIRCRAFT MAINTENANCE PLANNING ENGINEER</t>
  </si>
  <si>
    <t>SENIOR AIRCRAFT MAINTENANCE TECHNICIAN</t>
  </si>
  <si>
    <t>Group Head</t>
  </si>
  <si>
    <t>SECRETARY</t>
  </si>
  <si>
    <t>Division Head</t>
  </si>
  <si>
    <t>Department Head</t>
  </si>
  <si>
    <t>Aircraft Cabin Technician (PKWT NP)</t>
  </si>
  <si>
    <t>AIRCRAFT MAINTENANCE TECHNICIAN (PKWT NP)</t>
  </si>
  <si>
    <t>MANAGER CABIN ON DUTY</t>
  </si>
  <si>
    <t>AIRCRAFT MAINTENANCE PLANNING ENGINEER</t>
  </si>
  <si>
    <t>Grand Total</t>
  </si>
  <si>
    <t>Training Type</t>
  </si>
  <si>
    <t>Valid</t>
  </si>
  <si>
    <t>Expired</t>
  </si>
  <si>
    <t>Expiring</t>
  </si>
  <si>
    <t>Not Trained</t>
  </si>
  <si>
    <t>Human Factor</t>
  </si>
  <si>
    <t>Safety Management System</t>
  </si>
  <si>
    <t>GMF Quality System</t>
  </si>
  <si>
    <t>CASR Part 145</t>
  </si>
  <si>
    <t>FAR Part 145</t>
  </si>
  <si>
    <t>EASA Part 145</t>
  </si>
  <si>
    <t>EASA Part M</t>
  </si>
  <si>
    <t>Fuel Tank Safety</t>
  </si>
  <si>
    <t>EWIS</t>
  </si>
  <si>
    <t>Dangerous Good</t>
  </si>
  <si>
    <t>AMEL</t>
  </si>
  <si>
    <t>Stamp</t>
  </si>
  <si>
    <t>Count of New Unit</t>
  </si>
  <si>
    <t>JKTTN</t>
  </si>
  <si>
    <t>JKTTNL</t>
  </si>
  <si>
    <t>JKTTNL-1</t>
  </si>
  <si>
    <t>JKTTNL-2</t>
  </si>
  <si>
    <t>JKTTNL-3</t>
  </si>
  <si>
    <t>JKTTNL-4</t>
  </si>
  <si>
    <t>JKTTNL-5</t>
  </si>
  <si>
    <t>JKTTNL-6</t>
  </si>
  <si>
    <t>JKTTNL-7</t>
  </si>
  <si>
    <t>JKTTNP</t>
  </si>
  <si>
    <t>JKTTNP-1</t>
  </si>
  <si>
    <t>JKTTNP-2</t>
  </si>
  <si>
    <t>JKTTNP-3</t>
  </si>
  <si>
    <t>JKTTNP-4</t>
  </si>
  <si>
    <t>Type Rating Level III Training</t>
  </si>
  <si>
    <t>I Stamp</t>
  </si>
  <si>
    <t>Job Title</t>
  </si>
  <si>
    <t>(Multiple Items)</t>
  </si>
  <si>
    <t>(blank)</t>
  </si>
  <si>
    <t>AMEL No</t>
  </si>
  <si>
    <t>Stamp No</t>
  </si>
  <si>
    <t>Count of Type Rating Level III Training</t>
  </si>
  <si>
    <t>Count of AMEL No</t>
  </si>
  <si>
    <t>ARFIN SENO HASTIAN</t>
  </si>
  <si>
    <t>AMRIZAL GUSFANI</t>
  </si>
  <si>
    <t>ARIF FIKRY ABDUL MUBAROK</t>
  </si>
  <si>
    <t>BAYU HANDOYO</t>
  </si>
  <si>
    <t>DINANDA AGIL PRAKOSO</t>
  </si>
  <si>
    <t xml:space="preserve">ARIFIN </t>
  </si>
  <si>
    <t>DAFFA HAUZAN</t>
  </si>
  <si>
    <t>FAJRIN SARSONO</t>
  </si>
  <si>
    <t>DIMAS ANGGORO</t>
  </si>
  <si>
    <t>DIMAS SURYO PERSODO</t>
  </si>
  <si>
    <t>FIQRI RAKA FADILLAH</t>
  </si>
  <si>
    <t>ENGGAR DWI KUNCORO</t>
  </si>
  <si>
    <t xml:space="preserve">FEBI FERDIANSYAH </t>
  </si>
  <si>
    <t xml:space="preserve">GENTA PRAMUDITA </t>
  </si>
  <si>
    <t>JAMALLULLAEL NILAI BASTANTA BONANI PASOGIT</t>
  </si>
  <si>
    <t>MEILINDA SURYANI</t>
  </si>
  <si>
    <t>MUHAMMAD LUTHFI WIDIANTO</t>
  </si>
  <si>
    <t>M. ASIS</t>
  </si>
  <si>
    <t xml:space="preserve">OSSA FAUZI  </t>
  </si>
  <si>
    <t>PANGERAN RAIHAN RANGKUTI</t>
  </si>
  <si>
    <t xml:space="preserve">RIZKY FAUZI </t>
  </si>
  <si>
    <t xml:space="preserve">RIZAL AZIS </t>
  </si>
  <si>
    <t>RADEN RUDIANSYAH</t>
  </si>
  <si>
    <t>YONAZ HAND</t>
  </si>
  <si>
    <t>RAKHA VIVALDI NOVALLINO</t>
  </si>
  <si>
    <t>RISKY SAPUTRA ARMAN</t>
  </si>
  <si>
    <t>RONY ERYA WARDANA</t>
  </si>
  <si>
    <t xml:space="preserve">SATRIA WIJAYANTO  </t>
  </si>
  <si>
    <t>Tdk punya GL</t>
  </si>
  <si>
    <t>YANA SUPRIATNA</t>
  </si>
  <si>
    <t xml:space="preserve">YOGI CATUR </t>
  </si>
  <si>
    <t>Punya GL</t>
  </si>
  <si>
    <t>M STAMP</t>
  </si>
  <si>
    <t>M Stamp</t>
  </si>
  <si>
    <t>Status</t>
  </si>
  <si>
    <t>Type Rating</t>
  </si>
  <si>
    <t>Menunggu dameer</t>
  </si>
  <si>
    <t>DANAN TRIAWAN</t>
  </si>
  <si>
    <t>Assessment tgl 10 Nov</t>
  </si>
  <si>
    <t>STE 50%</t>
  </si>
  <si>
    <t>Count of Stamp No</t>
  </si>
  <si>
    <t>Progress, janji akhir tahun apply</t>
  </si>
  <si>
    <t>ACHMAD FAHRUL AMRY</t>
  </si>
  <si>
    <t>DWIKI FAHREZA ANDREANTO</t>
  </si>
  <si>
    <t>Progres pengajuan, ada revisi PEL, waiting update</t>
  </si>
  <si>
    <t>JAVIER BENYAMIN CASSANOVA TALAKUA</t>
  </si>
  <si>
    <t>ILHAM NUGRAHA</t>
  </si>
  <si>
    <t>Assessment 3 Des</t>
  </si>
  <si>
    <t>MUHAMAD DUSTIRANSA TAQWA</t>
  </si>
  <si>
    <t>M FIKRI ADRIAN</t>
  </si>
  <si>
    <t>Sudah Rating B737 tapi GL baru terbit, Tanggal Penerbitan tidak sesuai dengan tanggal lulus karena baru diajukan oleh THW</t>
  </si>
  <si>
    <t>MUHAMMAD RINALDI HIDAYAT</t>
  </si>
  <si>
    <t>Expired Need Refreshing</t>
  </si>
  <si>
    <t>RINDA SAFANA LINGGI</t>
  </si>
  <si>
    <t>GL Fisik Tidak ada</t>
  </si>
  <si>
    <t>AJI SATRIO RAMADHAN</t>
  </si>
  <si>
    <t>PEGGY ASRUL SANI</t>
  </si>
  <si>
    <t>Assessment tgl 14 Nov</t>
  </si>
  <si>
    <t>NOVAL DWI KURNIANTO</t>
  </si>
  <si>
    <t>A320 nya fail</t>
  </si>
  <si>
    <t>YONASTIO DANAR WIDHIADI</t>
  </si>
  <si>
    <t>Sudah Rating A330 tapi karena GL kemarin masih di DKU jd belum bisa mengajukan dan hampir selesai masa tunggu pengajuan AMEL</t>
  </si>
  <si>
    <t>ALFIAN BRANANTYO</t>
  </si>
  <si>
    <t>EGAR CAHYA PANGESTU</t>
  </si>
  <si>
    <t>MU'AMMAR RIZKY SANFARDIZAL</t>
  </si>
  <si>
    <t>Case GL baru keluar, jadi perlu Type rating training lagi, Sudah Rating B737 tapi GL baru terbit, Tanggal Penerbitan tidak sesuai dengan tanggal lulus karena baru diajukan oleh THW</t>
  </si>
  <si>
    <t>A320 nya gak jadi, krena minim scope di A320, sering di IFE &amp; GA trs dulu. Salah penempatan rating nya mnger terdahulu</t>
  </si>
  <si>
    <t>YOSEP APISENA</t>
  </si>
  <si>
    <t>Assessment tgl 13 Okt</t>
  </si>
  <si>
    <t>Typ</t>
  </si>
  <si>
    <t>Total</t>
  </si>
  <si>
    <t>A330</t>
  </si>
  <si>
    <t>Count of 1</t>
  </si>
  <si>
    <t>Count of 2</t>
  </si>
  <si>
    <t>Count of 3</t>
  </si>
  <si>
    <t>B737</t>
  </si>
  <si>
    <t>A320</t>
  </si>
  <si>
    <t>A320 Neo</t>
  </si>
  <si>
    <t>A330 NEO</t>
  </si>
  <si>
    <t>A330 Neo</t>
  </si>
  <si>
    <t>ATR</t>
  </si>
  <si>
    <t>A330 Neo, A320 Neo</t>
  </si>
  <si>
    <t>B777</t>
  </si>
  <si>
    <t>B737 MAX</t>
  </si>
  <si>
    <t>CRJ</t>
  </si>
  <si>
    <t>B737 Max</t>
  </si>
  <si>
    <t>Count of AMEL 1</t>
  </si>
  <si>
    <t>Count of AMEL 2</t>
  </si>
  <si>
    <t>Count of AMEL 3</t>
  </si>
  <si>
    <t>No</t>
  </si>
  <si>
    <t>Emp ID</t>
  </si>
  <si>
    <t>Name</t>
  </si>
  <si>
    <t>Group</t>
  </si>
  <si>
    <t>Unit</t>
  </si>
  <si>
    <t>HF Status</t>
  </si>
  <si>
    <t>SMS Status</t>
  </si>
  <si>
    <t>QS Status</t>
  </si>
  <si>
    <t>CASR Status</t>
  </si>
  <si>
    <t>FAR Status</t>
  </si>
  <si>
    <t>EASA Status</t>
  </si>
  <si>
    <t>Part M Status</t>
  </si>
  <si>
    <t>FTS Status</t>
  </si>
  <si>
    <t>EWIS Status</t>
  </si>
  <si>
    <t>DG Status</t>
  </si>
  <si>
    <t>ADTH</t>
  </si>
  <si>
    <t>Basic Inspection</t>
  </si>
  <si>
    <t>Basic Supervisory Training</t>
  </si>
  <si>
    <t>Certifying Staff</t>
  </si>
  <si>
    <t>Fundamental Troubleshooting</t>
  </si>
  <si>
    <t>Training of Trainer</t>
  </si>
  <si>
    <t>Basic Planning</t>
  </si>
  <si>
    <t>Basic Engineering</t>
  </si>
  <si>
    <t>Aircraft Familiarization</t>
  </si>
  <si>
    <t>GMF Logistic Business</t>
  </si>
  <si>
    <t>Warehouse Management</t>
  </si>
  <si>
    <t>Material Handling</t>
  </si>
  <si>
    <t>Aircraft Exterior &amp; Interior Cleaning</t>
  </si>
  <si>
    <t>GSE Type Rating</t>
  </si>
  <si>
    <t>Aviation Legislation Module 10</t>
  </si>
  <si>
    <t>Leadership Skill Training</t>
  </si>
  <si>
    <t>MRO Management</t>
  </si>
  <si>
    <t>MRO Finance</t>
  </si>
  <si>
    <t>Project Management basic</t>
  </si>
  <si>
    <t>OLP</t>
  </si>
  <si>
    <t>Office Administration</t>
  </si>
  <si>
    <t>Basic Accounting Module</t>
  </si>
  <si>
    <t>Service Excelent</t>
  </si>
  <si>
    <t>Management for Secretary</t>
  </si>
  <si>
    <t>RII</t>
  </si>
  <si>
    <t>Lead Auditor Course</t>
  </si>
  <si>
    <t>SWIFT Training</t>
  </si>
  <si>
    <t>IFE</t>
  </si>
  <si>
    <t>Orientation Training</t>
  </si>
  <si>
    <t>BCT</t>
  </si>
  <si>
    <t>BAM</t>
  </si>
  <si>
    <t>BATK</t>
  </si>
  <si>
    <t>GAK</t>
  </si>
  <si>
    <t>1</t>
  </si>
  <si>
    <t>2</t>
  </si>
  <si>
    <t>3</t>
  </si>
  <si>
    <t>Simplified Technical English</t>
  </si>
  <si>
    <t>Radio Telephony</t>
  </si>
  <si>
    <t>B737 BCF</t>
  </si>
  <si>
    <t>Mandatory for Supporting</t>
  </si>
  <si>
    <t>Req Training</t>
  </si>
  <si>
    <t>Completed Training</t>
  </si>
  <si>
    <t>Achievement</t>
  </si>
  <si>
    <t>Training Achivement</t>
  </si>
  <si>
    <t>Employee Category</t>
  </si>
  <si>
    <t>General Lic.</t>
  </si>
  <si>
    <t>AMEL 1</t>
  </si>
  <si>
    <t>AMEL 2</t>
  </si>
  <si>
    <t>AMEL 3</t>
  </si>
  <si>
    <t>AMEL Qty</t>
  </si>
  <si>
    <t>CS No</t>
  </si>
  <si>
    <t>AMEL Validity</t>
  </si>
  <si>
    <t>AMEL Status</t>
  </si>
  <si>
    <t>CS Validity</t>
  </si>
  <si>
    <t>Stamp Validity</t>
  </si>
  <si>
    <t>Stamp Status</t>
  </si>
  <si>
    <t>Eligibility ACE</t>
  </si>
  <si>
    <t>Eligibility SACE</t>
  </si>
  <si>
    <t>DIAHYANI PUTRI</t>
  </si>
  <si>
    <t>p401</t>
  </si>
  <si>
    <t>JKTTLF</t>
  </si>
  <si>
    <t>2012-09-20</t>
  </si>
  <si>
    <t>2012-04-04</t>
  </si>
  <si>
    <t>2024-12-31</t>
  </si>
  <si>
    <t>75.00%</t>
  </si>
  <si>
    <t>INDIRECT</t>
  </si>
  <si>
    <t xml:space="preserve"> null</t>
  </si>
  <si>
    <t>YULIA IRAWATI</t>
  </si>
  <si>
    <t>ARYO BAGUS SAMUDRO</t>
  </si>
  <si>
    <t>JERRY HAIKAL PAPUDI</t>
  </si>
  <si>
    <t>p414</t>
  </si>
  <si>
    <t>JKTTLF-1</t>
  </si>
  <si>
    <t>2024-04-03</t>
  </si>
  <si>
    <t>100.00%</t>
  </si>
  <si>
    <t>DIRECT</t>
  </si>
  <si>
    <t>10104</t>
  </si>
  <si>
    <t>I.A10104</t>
  </si>
  <si>
    <t>A null</t>
  </si>
  <si>
    <t>ANDRI PRASETYO</t>
  </si>
  <si>
    <t>p407</t>
  </si>
  <si>
    <t>2019-12-12</t>
  </si>
  <si>
    <t>2024-12-30</t>
  </si>
  <si>
    <t>2010-07-01</t>
  </si>
  <si>
    <t>A1 A4</t>
  </si>
  <si>
    <t>6685</t>
  </si>
  <si>
    <t>I.A6685</t>
  </si>
  <si>
    <t>SURYA ANUGRAH</t>
  </si>
  <si>
    <t>2011-12-16</t>
  </si>
  <si>
    <t>7163</t>
  </si>
  <si>
    <t>I.A7163</t>
  </si>
  <si>
    <t>p422</t>
  </si>
  <si>
    <t>2022-11-09</t>
  </si>
  <si>
    <t>92.31%</t>
  </si>
  <si>
    <t xml:space="preserve">M.583742	</t>
  </si>
  <si>
    <t xml:space="preserve">WAHYU P BUDIMAN </t>
  </si>
  <si>
    <t>2017-10-26</t>
  </si>
  <si>
    <t>2017-10-11</t>
  </si>
  <si>
    <t>C1 C2 C4</t>
  </si>
  <si>
    <t>15347</t>
  </si>
  <si>
    <t>I.E15347</t>
  </si>
  <si>
    <t>HERDANI INDERA PERMANA</t>
  </si>
  <si>
    <t>2022-09-16</t>
  </si>
  <si>
    <t>2018-04-11</t>
  </si>
  <si>
    <t>A1 A3 A4</t>
  </si>
  <si>
    <t>10480</t>
  </si>
  <si>
    <t>I.A10480</t>
  </si>
  <si>
    <t xml:space="preserve">FAHRUR </t>
  </si>
  <si>
    <t>2022-03-10</t>
  </si>
  <si>
    <t>2023-10-27</t>
  </si>
  <si>
    <t>15473</t>
  </si>
  <si>
    <t>I.E15473</t>
  </si>
  <si>
    <t>GIANJAR D.ABIYOGA</t>
  </si>
  <si>
    <t>p404</t>
  </si>
  <si>
    <t>8149</t>
  </si>
  <si>
    <t>I.A8149</t>
  </si>
  <si>
    <t xml:space="preserve">ADITIA KUSUMA WIBAWA </t>
  </si>
  <si>
    <t>2012-01-11</t>
  </si>
  <si>
    <t>8527</t>
  </si>
  <si>
    <t>I.A8527</t>
  </si>
  <si>
    <t>p423</t>
  </si>
  <si>
    <t>2020-03-18</t>
  </si>
  <si>
    <t>2013-08-26</t>
  </si>
  <si>
    <t>M.580790</t>
  </si>
  <si>
    <t>AGUNG PRAYOGI</t>
  </si>
  <si>
    <t>2022-08-31</t>
  </si>
  <si>
    <t>10095</t>
  </si>
  <si>
    <t>I.E10095</t>
  </si>
  <si>
    <t>2025-01-08</t>
  </si>
  <si>
    <t>69.23%</t>
  </si>
  <si>
    <t>M.584197</t>
  </si>
  <si>
    <t>p428</t>
  </si>
  <si>
    <t>2016-02-12</t>
  </si>
  <si>
    <t>M.581601</t>
  </si>
  <si>
    <t>M.581602D1</t>
  </si>
  <si>
    <t>I.E14175</t>
  </si>
  <si>
    <t>RAHMAT NURPALAH</t>
  </si>
  <si>
    <t>45.45%</t>
  </si>
  <si>
    <t>AHMAD SOFYAN HARIRI</t>
  </si>
  <si>
    <t>9.09%</t>
  </si>
  <si>
    <t>MOHAMMAD FAIZ</t>
  </si>
  <si>
    <t>2024-03-08</t>
  </si>
  <si>
    <t>18.18%</t>
  </si>
  <si>
    <t>JKTTLF-2</t>
  </si>
  <si>
    <t>2014-08-29</t>
  </si>
  <si>
    <t>M.580786</t>
  </si>
  <si>
    <t>2023-06-28</t>
  </si>
  <si>
    <t>84.62%</t>
  </si>
  <si>
    <t>12024</t>
  </si>
  <si>
    <t>M.581619</t>
  </si>
  <si>
    <t xml:space="preserve">SYAFRIZAL D A M </t>
  </si>
  <si>
    <t>2022-01-19</t>
  </si>
  <si>
    <t>2025-01-10</t>
  </si>
  <si>
    <t>15448</t>
  </si>
  <si>
    <t>I.E15448</t>
  </si>
  <si>
    <t>p427</t>
  </si>
  <si>
    <t>2018-02-15</t>
  </si>
  <si>
    <t>M.582679</t>
  </si>
  <si>
    <t>14243</t>
  </si>
  <si>
    <t>M.582544</t>
  </si>
  <si>
    <t>ANWAR MURSALIM</t>
  </si>
  <si>
    <t>1992-08-24</t>
  </si>
  <si>
    <t>C2 C4</t>
  </si>
  <si>
    <t>M.528874</t>
  </si>
  <si>
    <t>DENNIS MUNTAHARICNA</t>
  </si>
  <si>
    <t>2011-12-02</t>
  </si>
  <si>
    <t>93.33%</t>
  </si>
  <si>
    <t>8712</t>
  </si>
  <si>
    <t>I.A8712</t>
  </si>
  <si>
    <t xml:space="preserve">MUSAWWIR </t>
  </si>
  <si>
    <t>14343</t>
  </si>
  <si>
    <t>I.A14343</t>
  </si>
  <si>
    <t>BAGUS DWI KUSWANTO SAPUTRA</t>
  </si>
  <si>
    <t>2017-09-14</t>
  </si>
  <si>
    <t>M.582134</t>
  </si>
  <si>
    <t>MUHAMMAD UMAR DHONI SAPUTRO</t>
  </si>
  <si>
    <t>86.67%</t>
  </si>
  <si>
    <t>6716</t>
  </si>
  <si>
    <t>I.A6716</t>
  </si>
  <si>
    <t>A. RIFKY GESURI</t>
  </si>
  <si>
    <t>2011-09-12</t>
  </si>
  <si>
    <t>8400</t>
  </si>
  <si>
    <t>I.E8400</t>
  </si>
  <si>
    <t>MOHAMMED IKROM ASYSYAKUUR</t>
  </si>
  <si>
    <t>M.584249</t>
  </si>
  <si>
    <t>AHMAD WILDAN NASHRULLOH</t>
  </si>
  <si>
    <t>2022-10-05</t>
  </si>
  <si>
    <t>2018-03-21</t>
  </si>
  <si>
    <t>10996</t>
  </si>
  <si>
    <t>I.E10996</t>
  </si>
  <si>
    <t>M.581612</t>
  </si>
  <si>
    <t xml:space="preserve">EKO WASYANTO </t>
  </si>
  <si>
    <t>76.92%</t>
  </si>
  <si>
    <t>12928</t>
  </si>
  <si>
    <t>I.A12928</t>
  </si>
  <si>
    <t>NURWANDI</t>
  </si>
  <si>
    <t>NUR KHOLIS</t>
  </si>
  <si>
    <t>27.27%</t>
  </si>
  <si>
    <t>HENDRI</t>
  </si>
  <si>
    <t>MARNO WIBOWO</t>
  </si>
  <si>
    <t>AFRIZAL ANDI</t>
  </si>
  <si>
    <t>JKTTLF-3</t>
  </si>
  <si>
    <t>2021-01-21</t>
  </si>
  <si>
    <t>I.E12225</t>
  </si>
  <si>
    <t>2017-08-10</t>
  </si>
  <si>
    <t>M.581567</t>
  </si>
  <si>
    <t>DHIRGANTARA FAJRINIO</t>
  </si>
  <si>
    <t>15162</t>
  </si>
  <si>
    <t>I.E15162</t>
  </si>
  <si>
    <t>2021-09-29</t>
  </si>
  <si>
    <t>I.A13884</t>
  </si>
  <si>
    <t>2016-07-21</t>
  </si>
  <si>
    <t>10414</t>
  </si>
  <si>
    <t>M.581711</t>
  </si>
  <si>
    <t>2018-11-09</t>
  </si>
  <si>
    <t>M.582594</t>
  </si>
  <si>
    <t>2022-03-18</t>
  </si>
  <si>
    <t>2024-06-11</t>
  </si>
  <si>
    <t>10290</t>
  </si>
  <si>
    <t>M.582115</t>
  </si>
  <si>
    <t>ADNAN KURNIAWAN</t>
  </si>
  <si>
    <t>2024-12-29</t>
  </si>
  <si>
    <t>2023-11-28</t>
  </si>
  <si>
    <t>8256</t>
  </si>
  <si>
    <t>I.A8256</t>
  </si>
  <si>
    <t xml:space="preserve">RAHMAT RISKI </t>
  </si>
  <si>
    <t>8389</t>
  </si>
  <si>
    <t>I.A8389</t>
  </si>
  <si>
    <t>SYAFIK SIHAB N H</t>
  </si>
  <si>
    <t>2023-04-05</t>
  </si>
  <si>
    <t>8402</t>
  </si>
  <si>
    <t>I.E8402</t>
  </si>
  <si>
    <t>ALFIAN DWI PRIAMBODO</t>
  </si>
  <si>
    <t>M.584250</t>
  </si>
  <si>
    <t>BAGUSTIANTO A.</t>
  </si>
  <si>
    <t>14698</t>
  </si>
  <si>
    <t>I.A14698</t>
  </si>
  <si>
    <t>ANGGER WINTA PRASETIA</t>
  </si>
  <si>
    <t>11760</t>
  </si>
  <si>
    <t>I.A11760</t>
  </si>
  <si>
    <t>TRI PRASETIA UTAMA</t>
  </si>
  <si>
    <t>8537</t>
  </si>
  <si>
    <t>I.E8537</t>
  </si>
  <si>
    <t>2022-07-14</t>
  </si>
  <si>
    <t>2017-07-20</t>
  </si>
  <si>
    <t>M.582043</t>
  </si>
  <si>
    <t>JULI SISWANTO</t>
  </si>
  <si>
    <t>54.55%</t>
  </si>
  <si>
    <t>RENDI SATRIA PURNAMA</t>
  </si>
  <si>
    <t>FAHMI ANUGRAH DWI PUTRA</t>
  </si>
  <si>
    <t>JKTTLF-4</t>
  </si>
  <si>
    <t>M.580787</t>
  </si>
  <si>
    <t>ADAM FIRMANSYAH</t>
  </si>
  <si>
    <t>2017-02-08</t>
  </si>
  <si>
    <t>11765</t>
  </si>
  <si>
    <t>I.A11765</t>
  </si>
  <si>
    <t xml:space="preserve">DIMAS DWIGALIH </t>
  </si>
  <si>
    <t>2022-02-11</t>
  </si>
  <si>
    <t>11814</t>
  </si>
  <si>
    <t>I.A11814</t>
  </si>
  <si>
    <t>MUHAMAD MAULUDDIN</t>
  </si>
  <si>
    <t>15485</t>
  </si>
  <si>
    <t>I.E15485</t>
  </si>
  <si>
    <t>2021-09-09</t>
  </si>
  <si>
    <t>M.583733</t>
  </si>
  <si>
    <t>2012-02-02</t>
  </si>
  <si>
    <t>80.00%</t>
  </si>
  <si>
    <t>10467</t>
  </si>
  <si>
    <t>M.533496</t>
  </si>
  <si>
    <t>DIAN PRADIPTA</t>
  </si>
  <si>
    <t>15402</t>
  </si>
  <si>
    <t>I.A15402</t>
  </si>
  <si>
    <t>RICKY PRASETYO</t>
  </si>
  <si>
    <t>2024-01-31</t>
  </si>
  <si>
    <t>15335</t>
  </si>
  <si>
    <t>I.A15335</t>
  </si>
  <si>
    <t>2024-08-06</t>
  </si>
  <si>
    <t>M.584035</t>
  </si>
  <si>
    <t>M.582687</t>
  </si>
  <si>
    <t>15557</t>
  </si>
  <si>
    <t>M.582684</t>
  </si>
  <si>
    <t>M.533478</t>
  </si>
  <si>
    <t>TENGKU PERKASA S</t>
  </si>
  <si>
    <t>2015-08-14</t>
  </si>
  <si>
    <t>2025-02-18</t>
  </si>
  <si>
    <t>8194</t>
  </si>
  <si>
    <t>I.A8194</t>
  </si>
  <si>
    <t>MAREDA NURDIANSYAH</t>
  </si>
  <si>
    <t>9745</t>
  </si>
  <si>
    <t>I.A9745</t>
  </si>
  <si>
    <t>ADI BUDIONO</t>
  </si>
  <si>
    <t>p413</t>
  </si>
  <si>
    <t>2024-09-27</t>
  </si>
  <si>
    <t>7153</t>
  </si>
  <si>
    <t>13638</t>
  </si>
  <si>
    <t>I.A7153</t>
  </si>
  <si>
    <t>GALIH PRASETYO RAMADHAN</t>
  </si>
  <si>
    <t>M.584253</t>
  </si>
  <si>
    <t xml:space="preserve">AGUS WIDIYANTO </t>
  </si>
  <si>
    <t>FIAN AL JUPRI SINAGA</t>
  </si>
  <si>
    <t>MARZUKI</t>
  </si>
  <si>
    <t>BOBY SYAPUTRA</t>
  </si>
  <si>
    <t>JKTTLF-5</t>
  </si>
  <si>
    <t>12077</t>
  </si>
  <si>
    <t>I.A12077</t>
  </si>
  <si>
    <t xml:space="preserve">TAUFIQ HIDAYAT </t>
  </si>
  <si>
    <t>12078</t>
  </si>
  <si>
    <t>I.A12078</t>
  </si>
  <si>
    <t>ARYA PUTRA RAMADHANY</t>
  </si>
  <si>
    <t>I.E12254</t>
  </si>
  <si>
    <t>NURMIDA LISNANI</t>
  </si>
  <si>
    <t>2018-04-20</t>
  </si>
  <si>
    <t>2021-03-19</t>
  </si>
  <si>
    <t>15472</t>
  </si>
  <si>
    <t>I.A15472</t>
  </si>
  <si>
    <t xml:space="preserve">DINO DWI F </t>
  </si>
  <si>
    <t>14941</t>
  </si>
  <si>
    <t>I.E14941</t>
  </si>
  <si>
    <t>AHMAD ABDUL ROZAK</t>
  </si>
  <si>
    <t>7154</t>
  </si>
  <si>
    <t>I.A7154</t>
  </si>
  <si>
    <t xml:space="preserve">DONI KURNIAWAN </t>
  </si>
  <si>
    <t>15169</t>
  </si>
  <si>
    <t>I.A15169</t>
  </si>
  <si>
    <t xml:space="preserve">M. HERMANTO </t>
  </si>
  <si>
    <t>2022-05-20</t>
  </si>
  <si>
    <t>10416</t>
  </si>
  <si>
    <t>I.A10416</t>
  </si>
  <si>
    <t>ALFIAN DARMAWAN</t>
  </si>
  <si>
    <t>2025-02-12</t>
  </si>
  <si>
    <t>2022-01-28</t>
  </si>
  <si>
    <t>2024-07-17</t>
  </si>
  <si>
    <t>15516</t>
  </si>
  <si>
    <t>I.E15516</t>
  </si>
  <si>
    <t xml:space="preserve">GANDHI ARRAFI </t>
  </si>
  <si>
    <t>15884</t>
  </si>
  <si>
    <t>I.E15884</t>
  </si>
  <si>
    <t>ISYOGO WAHYU NUGROHO</t>
  </si>
  <si>
    <t>2011-09-08</t>
  </si>
  <si>
    <t>8399</t>
  </si>
  <si>
    <t>I.E8399</t>
  </si>
  <si>
    <t xml:space="preserve">SAIFUL WALID </t>
  </si>
  <si>
    <t>p406</t>
  </si>
  <si>
    <t>2023-11-10</t>
  </si>
  <si>
    <t>2024-05-29</t>
  </si>
  <si>
    <t>2025-01-01</t>
  </si>
  <si>
    <t>8544</t>
  </si>
  <si>
    <t>13598</t>
  </si>
  <si>
    <t>I.E8544</t>
  </si>
  <si>
    <t>MUH. FADHIL SYAHPUTRA ARIFIN</t>
  </si>
  <si>
    <t>46.15%</t>
  </si>
  <si>
    <t>M.584318</t>
  </si>
  <si>
    <t>ASO ANDI MARODHANI</t>
  </si>
  <si>
    <t>2024-04-24</t>
  </si>
  <si>
    <t>M.584312</t>
  </si>
  <si>
    <t>DENY ADITYAWARDANA</t>
  </si>
  <si>
    <t>2016-10-07</t>
  </si>
  <si>
    <t>10358</t>
  </si>
  <si>
    <t>I.E10358</t>
  </si>
  <si>
    <t>RICO APRIANA</t>
  </si>
  <si>
    <t>YAN CHRIS HANDOKO</t>
  </si>
  <si>
    <t>WAHYU SETIAWAN</t>
  </si>
  <si>
    <t>TATANG</t>
  </si>
  <si>
    <t>5886</t>
  </si>
  <si>
    <t xml:space="preserve">FADEL MUHAMMAD </t>
  </si>
  <si>
    <t>JKTTLF-6</t>
  </si>
  <si>
    <t>2025-02-07</t>
  </si>
  <si>
    <t>M.580792</t>
  </si>
  <si>
    <t>RESTU AGUNG</t>
  </si>
  <si>
    <t>2019-09-30</t>
  </si>
  <si>
    <t>12048</t>
  </si>
  <si>
    <t>I.A12048</t>
  </si>
  <si>
    <t>2017-03-09</t>
  </si>
  <si>
    <t>M.581479</t>
  </si>
  <si>
    <t>2022-10-19</t>
  </si>
  <si>
    <t>M.581604</t>
  </si>
  <si>
    <t xml:space="preserve">RAHMAT RIYADI </t>
  </si>
  <si>
    <t>2025-02-21</t>
  </si>
  <si>
    <t>11710</t>
  </si>
  <si>
    <t>I.A11710</t>
  </si>
  <si>
    <t>2022-05-25</t>
  </si>
  <si>
    <t>M.581610</t>
  </si>
  <si>
    <t>RENDRA ARDIANA</t>
  </si>
  <si>
    <t>15175</t>
  </si>
  <si>
    <t>I.A15175</t>
  </si>
  <si>
    <t>M.583731</t>
  </si>
  <si>
    <t>2021-08-25</t>
  </si>
  <si>
    <t>M.583738</t>
  </si>
  <si>
    <t>M.583734</t>
  </si>
  <si>
    <t>NOOR CAHYA</t>
  </si>
  <si>
    <t>6672</t>
  </si>
  <si>
    <t>I.A6672</t>
  </si>
  <si>
    <t xml:space="preserve">M CHUSNUL ADIB </t>
  </si>
  <si>
    <t>2023-02-24</t>
  </si>
  <si>
    <t>I.A11708</t>
  </si>
  <si>
    <t>OKTA HATAMI ADITAMA</t>
  </si>
  <si>
    <t>0.00%</t>
  </si>
  <si>
    <t>ACHMADI</t>
  </si>
  <si>
    <t>ANDI KURNIAWAN</t>
  </si>
  <si>
    <t>FIRMANSYAH</t>
  </si>
  <si>
    <t xml:space="preserve">REZA NENDRA </t>
  </si>
  <si>
    <t>2024-11-22</t>
  </si>
  <si>
    <t>10873</t>
  </si>
  <si>
    <t>I.A10873</t>
  </si>
  <si>
    <t>M.582232</t>
  </si>
  <si>
    <t xml:space="preserve">M. REZA SAPUTRA </t>
  </si>
  <si>
    <t>2025-01-24</t>
  </si>
  <si>
    <t>2022-11-18</t>
  </si>
  <si>
    <t>15359</t>
  </si>
  <si>
    <t>I.A15359</t>
  </si>
  <si>
    <t>MOH JUSRAN ALI</t>
  </si>
  <si>
    <t>M.582602</t>
  </si>
  <si>
    <t>DENNY SETYO ANUGERAH</t>
  </si>
  <si>
    <t>15625</t>
  </si>
  <si>
    <t>I.A15625</t>
  </si>
  <si>
    <t>12034</t>
  </si>
  <si>
    <t>M.583743</t>
  </si>
  <si>
    <t>AGUNG SLAMET RIYADI</t>
  </si>
  <si>
    <t>2023-03-20</t>
  </si>
  <si>
    <t>8392</t>
  </si>
  <si>
    <t>12965</t>
  </si>
  <si>
    <t>I.A8392</t>
  </si>
  <si>
    <t xml:space="preserve">DIMAS HANI </t>
  </si>
  <si>
    <t>15349</t>
  </si>
  <si>
    <t>I.A15349</t>
  </si>
  <si>
    <t>IMAM HENDRANOTO</t>
  </si>
  <si>
    <t>2025-01-25</t>
  </si>
  <si>
    <t>8831</t>
  </si>
  <si>
    <t>I.A8831</t>
  </si>
  <si>
    <t xml:space="preserve">TIRTA SWARGA </t>
  </si>
  <si>
    <t>2017-12-07</t>
  </si>
  <si>
    <t>10836</t>
  </si>
  <si>
    <t>I.A10836</t>
  </si>
  <si>
    <t>ILHAM KUSUMA REDYANSYAH</t>
  </si>
  <si>
    <t>2021-04-22</t>
  </si>
  <si>
    <t>10165</t>
  </si>
  <si>
    <t>I.A10165</t>
  </si>
  <si>
    <t>2024-12-05</t>
  </si>
  <si>
    <t>M.584036</t>
  </si>
  <si>
    <t>M.584034</t>
  </si>
  <si>
    <t>2020-07-01</t>
  </si>
  <si>
    <t>M.583620</t>
  </si>
  <si>
    <t xml:space="preserve">DAVID S. </t>
  </si>
  <si>
    <t>2025-01-02</t>
  </si>
  <si>
    <t>15463</t>
  </si>
  <si>
    <t>I.A15463</t>
  </si>
  <si>
    <t>RIZA NUGRAHA</t>
  </si>
  <si>
    <t>15644</t>
  </si>
  <si>
    <t>I.A15644</t>
  </si>
  <si>
    <t>MUHAMMAD ABDURRACHMAN</t>
  </si>
  <si>
    <t>2024-11-26</t>
  </si>
  <si>
    <t>GALUH FUADY</t>
  </si>
  <si>
    <t>8709</t>
  </si>
  <si>
    <t>I.E8709</t>
  </si>
  <si>
    <t>ARDO FAJAR RISTANU</t>
  </si>
  <si>
    <t>AIRCRAFT CABIN TECHNICIAN (PKWT NP)</t>
  </si>
  <si>
    <t>AHYA SUHENDRA</t>
  </si>
  <si>
    <t>2024-06-04</t>
  </si>
  <si>
    <t>FIRMAN PURNOMO</t>
  </si>
  <si>
    <t>2010-07-29</t>
  </si>
  <si>
    <t>1993-09-14</t>
  </si>
  <si>
    <t>5470</t>
  </si>
  <si>
    <t>I.E5470 D1</t>
  </si>
  <si>
    <t xml:space="preserve">MUH FIRMANSYAH </t>
  </si>
  <si>
    <t>14929</t>
  </si>
  <si>
    <t>I.A14929</t>
  </si>
  <si>
    <t xml:space="preserve">JULISTIYO INDRA PRATAMA </t>
  </si>
  <si>
    <t>RAHIM DARMANSYAH</t>
  </si>
  <si>
    <t>KURNIA SANDI</t>
  </si>
  <si>
    <t>DICKY NURBAIDILLAH</t>
  </si>
  <si>
    <t>MUHAMAD LUTHFI</t>
  </si>
  <si>
    <t>ABDUL LATIEF KUSUMA</t>
  </si>
  <si>
    <t>MUHAMMAD ANGGIRAN FATAHILLAH</t>
  </si>
  <si>
    <t>RIDARROHMAN</t>
  </si>
  <si>
    <t>ADYTHIA PRATAMA</t>
  </si>
  <si>
    <t>GERRY KENINA SINUKABAN</t>
  </si>
  <si>
    <t>PAJAR ARDHIANTO</t>
  </si>
  <si>
    <t>AMSARI</t>
  </si>
  <si>
    <t>JKTTLF-7</t>
  </si>
  <si>
    <t>2001-10-12</t>
  </si>
  <si>
    <t>2012-04-25</t>
  </si>
  <si>
    <t>1991-11-01</t>
  </si>
  <si>
    <t>M.527238</t>
  </si>
  <si>
    <t>HARI SETYADI</t>
  </si>
  <si>
    <t>90.91%</t>
  </si>
  <si>
    <t>M.582161D1</t>
  </si>
  <si>
    <t>BRIAN DHANIEL</t>
  </si>
  <si>
    <t>p418</t>
  </si>
  <si>
    <t>D 2020-04-20 (competencies)</t>
  </si>
  <si>
    <t>2015-12-18</t>
  </si>
  <si>
    <t>87.50%</t>
  </si>
  <si>
    <t>M.581219</t>
  </si>
  <si>
    <t>YANSEN MARPAUNG</t>
  </si>
  <si>
    <t>p410</t>
  </si>
  <si>
    <t>1992-06-26</t>
  </si>
  <si>
    <t xml:space="preserve">RIAN ADI NUGROHO </t>
  </si>
  <si>
    <t>2016-11-18</t>
  </si>
  <si>
    <t>8546</t>
  </si>
  <si>
    <t>M.533503</t>
  </si>
  <si>
    <t>PONDRA ADI SETIAWAN</t>
  </si>
  <si>
    <t>2020-06-12</t>
  </si>
  <si>
    <t>2014-01-09</t>
  </si>
  <si>
    <t>RIDO FEBRI PRATAMA</t>
  </si>
  <si>
    <t>ROZI BAMBANG SETIAWAN</t>
  </si>
  <si>
    <t>2024-10-22</t>
  </si>
  <si>
    <t>WAHYU RACHMAD WILDAN</t>
  </si>
  <si>
    <t>AHMAD ZIHNI</t>
  </si>
  <si>
    <t>Fam (29 Mar 2016)</t>
  </si>
  <si>
    <t xml:space="preserve">SURYA WAHYUDHA </t>
  </si>
  <si>
    <t>JKTTLF-8</t>
  </si>
  <si>
    <t>M.581312</t>
  </si>
  <si>
    <t xml:space="preserve">REKA LESTARI </t>
  </si>
  <si>
    <t>M.582600</t>
  </si>
  <si>
    <t>WILDAN GUNAWAN</t>
  </si>
  <si>
    <t>1989-03-02</t>
  </si>
  <si>
    <t>MUHAMMAD RIZKI ARBI</t>
  </si>
  <si>
    <t>2021-03-26</t>
  </si>
  <si>
    <t>2021-07-28</t>
  </si>
  <si>
    <t>DENI IRAWAN</t>
  </si>
  <si>
    <t>2016-10-28</t>
  </si>
  <si>
    <t>M.581663</t>
  </si>
  <si>
    <t>ARLINGGA PRAVITASARI</t>
  </si>
  <si>
    <t>2017-11-17</t>
  </si>
  <si>
    <t>2021-04-23</t>
  </si>
  <si>
    <t>2020-02-07</t>
  </si>
  <si>
    <t>BAKHTIAR AHADIN NUR MUHAMMAD</t>
  </si>
  <si>
    <t>2013-03-01</t>
  </si>
  <si>
    <t>RIZAL YOPI PANAMA</t>
  </si>
  <si>
    <t>2014-09-29</t>
  </si>
  <si>
    <t>IVAN NURVALAH</t>
  </si>
  <si>
    <t>2020-09-18</t>
  </si>
  <si>
    <t>DANANG RIZKI MOHAMED</t>
  </si>
  <si>
    <t>2018-03-16</t>
  </si>
  <si>
    <t>2020-12-04</t>
  </si>
  <si>
    <t>2021-09-15</t>
  </si>
  <si>
    <t>2017-01-19</t>
  </si>
  <si>
    <t>2017-04-07</t>
  </si>
  <si>
    <t>MUHAMMAD ERWANSYAH</t>
  </si>
  <si>
    <t>ROMAN BANGSACARA</t>
  </si>
  <si>
    <t>WAHYU PRATAMA</t>
  </si>
  <si>
    <t>MOUDY AZURA VIANDA</t>
  </si>
  <si>
    <t>DIMAS YUDISTIRA</t>
  </si>
  <si>
    <t>NOVITA SARI</t>
  </si>
  <si>
    <t>NITA AYU SYLVIA</t>
  </si>
  <si>
    <t>DEKA BAGUS SETYO SAPUTRO</t>
  </si>
  <si>
    <t>MOHAMMAD IQBAL ARDHALEPA TURINO</t>
  </si>
  <si>
    <t>TRISNA LIDYA ARIFIN</t>
  </si>
  <si>
    <t>ANDIKA ROBY WIYANDA</t>
  </si>
  <si>
    <t>MOHAMAD DAFA ARMANTA</t>
  </si>
  <si>
    <t>ACHMAD RYAN PERDANA</t>
  </si>
  <si>
    <t>MUSI UTAMA MUHAM</t>
  </si>
  <si>
    <t>JKTTLC-4</t>
  </si>
  <si>
    <t>8541</t>
  </si>
  <si>
    <t>I.E8541</t>
  </si>
  <si>
    <t>NURYADI</t>
  </si>
  <si>
    <t>2024-01-19</t>
  </si>
  <si>
    <t>A320 NEO</t>
  </si>
  <si>
    <t>8832</t>
  </si>
  <si>
    <t>I.A8832</t>
  </si>
  <si>
    <t xml:space="preserve">MUHAMMAD FIRDAUS </t>
  </si>
  <si>
    <t>15280</t>
  </si>
  <si>
    <t>I.A15280</t>
  </si>
  <si>
    <t>DWI SETYAWAN</t>
  </si>
  <si>
    <t>PENDI PRANDANA</t>
  </si>
  <si>
    <t>2011-09-22</t>
  </si>
  <si>
    <t>5887</t>
  </si>
  <si>
    <t>I.A5887</t>
  </si>
  <si>
    <t>PUTRI LIYAN CHIWA</t>
  </si>
  <si>
    <t>2024-02-23</t>
  </si>
  <si>
    <t>10630</t>
  </si>
  <si>
    <t>13538</t>
  </si>
  <si>
    <t>I.A10630</t>
  </si>
  <si>
    <t>C 2025-05-06</t>
  </si>
  <si>
    <t>ADI FADHLI</t>
  </si>
  <si>
    <t>MUHAMMAD RAYHAN ZHAFRANDO</t>
  </si>
  <si>
    <t>View</t>
  </si>
  <si>
    <t>MUHAMAD HOLIL</t>
  </si>
  <si>
    <t>AGUS TRI MULYONO</t>
  </si>
  <si>
    <t>AUFA HIBATULLAH DIMAS PRAMBUDI</t>
  </si>
  <si>
    <t>MUHAMAD NORTON</t>
  </si>
  <si>
    <t>DURI WIDOYANTI</t>
  </si>
  <si>
    <t>ANDI SURYA WIJAYA</t>
  </si>
  <si>
    <t>RUDY DWI WANTORO</t>
  </si>
  <si>
    <t>MUHAMMAD ALNURZI ULFAH</t>
  </si>
  <si>
    <t>BAGUS SUHARTO</t>
  </si>
  <si>
    <t>CABIN LINE SERVICES GROUP HEAD</t>
  </si>
  <si>
    <t>Summary</t>
  </si>
  <si>
    <t>SECRETARY FOR VICE PRESIDENT</t>
  </si>
  <si>
    <t>CABIN LINE MAINTENANCE DIVISION HEAD (CARETAKER)</t>
  </si>
  <si>
    <t>CABIN LINE MAINTENANCE CREW A DEPARTMENT HEAD</t>
  </si>
  <si>
    <t>TRAINEE FOR SENIOR AIRCRAFT CABIN TECHNICIAN</t>
  </si>
  <si>
    <t>CABIN LINE MAINTENANCE CREW B DEPARTMENT HEAD</t>
  </si>
  <si>
    <t>CABIN LINE MAINTENANCE CREW C DEPARTMENT HEAD</t>
  </si>
  <si>
    <t>CABIN LINE MAINTENANCE CREW D DEPARTMENT HEAD</t>
  </si>
  <si>
    <t>CABIN LINE MAINTENANCE CREW E DEPARTMENT HEAD</t>
  </si>
  <si>
    <t>CABIN LINE MAINTENANCE HANGAR DEPARTMENT HEAD</t>
  </si>
  <si>
    <t>TRAINEE FOR SENIOR AIRCRAFT MAINTENANCE TECHNICIAN</t>
  </si>
  <si>
    <t>AIRCRAFT CLEANING DEPARTMENT HEAD</t>
  </si>
  <si>
    <t>CABIN PLANNING &amp; OPERATIONAL SUPPORT DIVISION HEAD (CARETAKER)</t>
  </si>
  <si>
    <t>CABIN APPEARANCE CONTROL DEPARTMENT HEAD</t>
  </si>
  <si>
    <t>OJT TO SENIOR AIRCRAFT MAINTENANCE PLANNING ENGINEER</t>
  </si>
  <si>
    <t>CABIN SCHEDULING &amp; CONTROL DEPARTMENT HEAD (CARETAKER)</t>
  </si>
  <si>
    <t>PRODUCTION ENGINEERING SUPPORT CABIN DEPARTMENT HEAD</t>
  </si>
  <si>
    <t>LEARNING CENTER UNIT DEPARTMENT HEAD</t>
  </si>
  <si>
    <t>Count of Job Title</t>
  </si>
  <si>
    <t>SAME/SACE</t>
  </si>
  <si>
    <t>AME/ACE</t>
  </si>
  <si>
    <t>SAMT/SACT</t>
  </si>
  <si>
    <t>AMT/ACT</t>
  </si>
  <si>
    <t>Training Code</t>
  </si>
  <si>
    <t>traintype</t>
  </si>
  <si>
    <t>Validity (Days)</t>
  </si>
  <si>
    <t>Key</t>
  </si>
  <si>
    <t>No Need Training</t>
  </si>
  <si>
    <t>Aircraft Cabin Controller</t>
  </si>
  <si>
    <t>JCT-0016</t>
  </si>
  <si>
    <t>Forever</t>
  </si>
  <si>
    <t>JCT-0196</t>
  </si>
  <si>
    <t>BCT-0009</t>
  </si>
  <si>
    <t>BCT-0044</t>
  </si>
  <si>
    <t>BCT-0024</t>
  </si>
  <si>
    <t>BCT-0006</t>
  </si>
  <si>
    <t>BCT-0142</t>
  </si>
  <si>
    <t>EASA Part M for Foreign EASA 145</t>
  </si>
  <si>
    <t>BCT-0079</t>
  </si>
  <si>
    <t>BCT-0034</t>
  </si>
  <si>
    <t>TCT-0267</t>
  </si>
  <si>
    <t>BCT-0150</t>
  </si>
  <si>
    <t>BCT-0053</t>
  </si>
  <si>
    <t>2-Year</t>
  </si>
  <si>
    <t>WBT-0050</t>
  </si>
  <si>
    <t>BCT-0080</t>
  </si>
  <si>
    <t>OJT to Aircraft Cabin Controller</t>
  </si>
  <si>
    <t>Aircraft Cabin Engineer</t>
  </si>
  <si>
    <t>BCT-0117</t>
  </si>
  <si>
    <t>BCT-0052</t>
  </si>
  <si>
    <t>TCT-0486</t>
  </si>
  <si>
    <t>OJT to Aircraft Cabin Engineer</t>
  </si>
  <si>
    <t>Aircraft Cabin Technician</t>
  </si>
  <si>
    <t>TCT-0169</t>
  </si>
  <si>
    <t>Aircraft Departure and Technical Handling</t>
  </si>
  <si>
    <t>Yes</t>
  </si>
  <si>
    <t>Aircraft Maintenance Engineer</t>
  </si>
  <si>
    <t xml:space="preserve">Basic Supervisory Training </t>
  </si>
  <si>
    <t>COT-0001</t>
  </si>
  <si>
    <t>JCT-0220</t>
  </si>
  <si>
    <t>Aircraft Maintenance Planner</t>
  </si>
  <si>
    <t>BCT-0014</t>
  </si>
  <si>
    <t>Production Support Officer</t>
  </si>
  <si>
    <t>Aircraft Maintenance Planning Engineer</t>
  </si>
  <si>
    <t>BCT-0008</t>
  </si>
  <si>
    <t>Aircraft Maintenance Technician</t>
  </si>
  <si>
    <t>Aircraft Maintenance Technician (PKWT NP)</t>
  </si>
  <si>
    <t>Manager Cabin on Duty</t>
  </si>
  <si>
    <t>BCT-0025</t>
  </si>
  <si>
    <t>JCT-0359</t>
  </si>
  <si>
    <t>JCT-0260</t>
  </si>
  <si>
    <t>JCT-0261</t>
  </si>
  <si>
    <t>Senior Aircraft Cabin Controller</t>
  </si>
  <si>
    <t>BCT-0065</t>
  </si>
  <si>
    <t>Senior Aircraft Cabin Engineer</t>
  </si>
  <si>
    <t>Senior Aircraft Cabin Technician</t>
  </si>
  <si>
    <t>Trainee for Senior Aircraft Cabin Technician</t>
  </si>
  <si>
    <t>Senior Aircraft Maintenance Engineer</t>
  </si>
  <si>
    <t>Senior Aircraft Maintenance Planner</t>
  </si>
  <si>
    <t>BCT-0035</t>
  </si>
  <si>
    <t>Senior Aircraft Maintenance Planning Engineer</t>
  </si>
  <si>
    <t>Senior Aircraft Maintenance Technician</t>
  </si>
  <si>
    <t xml:space="preserve">
Job Title</t>
  </si>
  <si>
    <t>HF Initial</t>
  </si>
  <si>
    <t>HF Cont</t>
  </si>
  <si>
    <t>SMS Initial</t>
  </si>
  <si>
    <t>SMS Cont</t>
  </si>
  <si>
    <t>CASR/FAR/EASA 145 Initial</t>
  </si>
  <si>
    <t xml:space="preserve">CASR/FAR/EASA 145 + Part M Cont </t>
  </si>
  <si>
    <t>GMF Quality System Initial</t>
  </si>
  <si>
    <t>GMF Quality System Cont</t>
  </si>
  <si>
    <t>Fuel Tank Safety Initial</t>
  </si>
  <si>
    <t>Fuel Tank Safety Cont</t>
  </si>
  <si>
    <t>EWIS Initial</t>
  </si>
  <si>
    <t>EWIS Cont</t>
  </si>
  <si>
    <t>Dangerous Goods</t>
  </si>
  <si>
    <t>Orientation</t>
  </si>
  <si>
    <t>BATK / BAM / BAC / GAT</t>
  </si>
  <si>
    <t>ADTH/ADCH</t>
  </si>
  <si>
    <t>Aircraft Interior &amp; Exterior Cleaning</t>
  </si>
  <si>
    <t>Swift Training</t>
  </si>
  <si>
    <t>Cabin Advanced (as necessary)</t>
  </si>
  <si>
    <t>Basic Supervisory</t>
  </si>
  <si>
    <t>Project Management</t>
  </si>
  <si>
    <t>EGR (As necessary)</t>
  </si>
  <si>
    <t>Swing Compass ( As Necessary)</t>
  </si>
  <si>
    <t>Auto Land (As Necessary)</t>
  </si>
  <si>
    <t>Weight and Balance (As Necessary)</t>
  </si>
  <si>
    <t>GSE Operator</t>
  </si>
  <si>
    <t>RII (As Necessary)</t>
  </si>
  <si>
    <t>kebutuhan training pegawai sesuai PCM</t>
  </si>
  <si>
    <t>Senior Manager</t>
  </si>
  <si>
    <t>x</t>
  </si>
  <si>
    <t>Manager</t>
  </si>
  <si>
    <t>Manager Cabin On Duty</t>
  </si>
  <si>
    <t>Senior Cabin Maintenance Technician</t>
  </si>
  <si>
    <t>Secretary For VP</t>
  </si>
  <si>
    <t>Assistant Staff Officer</t>
  </si>
  <si>
    <t>**training achievement adalah training yang telah dilakukan pegawai/kebutuhan training pegawai sesuai pcm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</si>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</sst>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CFFCC"/>
        <bgColor rgb="FFCC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000000"/>
      </right>
      <top style="medium">
        <color rgb="FFDDDDDD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5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5" fillId="0" borderId="0" xfId="0" applyFont="1"/>
    <xf numFmtId="10" fontId="5" fillId="0" borderId="0" xfId="1" applyNumberFormat="1" applyFont="1"/>
    <xf numFmtId="10" fontId="5" fillId="0" borderId="0" xfId="0" applyNumberFormat="1" applyFont="1"/>
    <xf numFmtId="0" fontId="1" fillId="0" borderId="0" xfId="2"/>
    <xf numFmtId="0" fontId="2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7" fillId="2" borderId="1" xfId="0" applyFont="1" applyFill="1" applyBorder="1"/>
    <xf numFmtId="0" fontId="7" fillId="2" borderId="0" xfId="0" applyFont="1" applyFill="1"/>
    <xf numFmtId="10" fontId="8" fillId="0" borderId="0" xfId="1" applyNumberFormat="1" applyFont="1"/>
    <xf numFmtId="0" fontId="0" fillId="0" borderId="1" xfId="0" applyBorder="1"/>
    <xf numFmtId="0" fontId="10" fillId="5" borderId="2" xfId="3" applyFont="1" applyFill="1" applyBorder="1" applyAlignment="1">
      <alignment horizontal="center" vertical="center" wrapText="1"/>
    </xf>
    <xf numFmtId="0" fontId="10" fillId="6" borderId="2" xfId="3" applyFont="1" applyFill="1" applyBorder="1" applyAlignment="1">
      <alignment horizontal="center" vertical="center" wrapText="1"/>
    </xf>
    <xf numFmtId="0" fontId="10" fillId="7" borderId="2" xfId="3" applyFont="1" applyFill="1" applyBorder="1" applyAlignment="1">
      <alignment horizontal="center" vertical="center" textRotation="45" wrapText="1"/>
    </xf>
    <xf numFmtId="0" fontId="9" fillId="0" borderId="0" xfId="3"/>
    <xf numFmtId="0" fontId="9" fillId="0" borderId="2" xfId="3" applyBorder="1" applyAlignment="1">
      <alignment horizontal="center" vertical="center"/>
    </xf>
    <xf numFmtId="0" fontId="9" fillId="8" borderId="2" xfId="3" applyFill="1" applyBorder="1" applyAlignment="1">
      <alignment horizontal="center" vertical="center"/>
    </xf>
    <xf numFmtId="0" fontId="9" fillId="0" borderId="0" xfId="3" applyAlignment="1">
      <alignment vertical="center"/>
    </xf>
    <xf numFmtId="0" fontId="9" fillId="0" borderId="2" xfId="3" applyBorder="1" applyAlignment="1">
      <alignment vertical="center"/>
    </xf>
    <xf numFmtId="0" fontId="0" fillId="0" borderId="0" xfId="0" applyAlignment="1">
      <alignment horizontal="center"/>
    </xf>
    <xf numFmtId="15" fontId="11" fillId="0" borderId="0" xfId="0" applyNumberFormat="1" applyFont="1"/>
    <xf numFmtId="0" fontId="2" fillId="0" borderId="0" xfId="0" applyFont="1"/>
    <xf numFmtId="9" fontId="0" fillId="0" borderId="0" xfId="1" applyFont="1"/>
    <xf numFmtId="15" fontId="0" fillId="9" borderId="0" xfId="0" applyNumberFormat="1" applyFill="1"/>
    <xf numFmtId="0" fontId="0" fillId="0" borderId="2" xfId="0" applyBorder="1" applyAlignment="1">
      <alignment horizontal="left" vertical="center"/>
    </xf>
    <xf numFmtId="10" fontId="1" fillId="0" borderId="0" xfId="1" applyNumberFormat="1" applyFont="1"/>
    <xf numFmtId="0" fontId="12" fillId="11" borderId="3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center" wrapText="1"/>
    </xf>
    <xf numFmtId="0" fontId="12" fillId="11" borderId="4" xfId="0" applyFont="1" applyFill="1" applyBorder="1" applyAlignment="1">
      <alignment vertical="center" wrapText="1"/>
    </xf>
    <xf numFmtId="0" fontId="12" fillId="12" borderId="4" xfId="0" applyFont="1" applyFill="1" applyBorder="1" applyAlignment="1">
      <alignment vertical="center" wrapText="1"/>
    </xf>
    <xf numFmtId="0" fontId="13" fillId="11" borderId="3" xfId="4" applyFill="1" applyBorder="1" applyAlignment="1">
      <alignment vertical="center" wrapText="1"/>
    </xf>
    <xf numFmtId="0" fontId="13" fillId="10" borderId="5" xfId="4" applyFill="1" applyBorder="1" applyAlignment="1">
      <alignment vertical="center" wrapText="1"/>
    </xf>
    <xf numFmtId="0" fontId="13" fillId="11" borderId="5" xfId="4" applyFill="1" applyBorder="1" applyAlignment="1">
      <alignment vertical="center" wrapText="1"/>
    </xf>
    <xf numFmtId="0" fontId="0" fillId="10" borderId="3" xfId="0" applyFill="1" applyBorder="1"/>
  </cellXfs>
  <cellStyles count="5">
    <cellStyle name="Hyperlink" xfId="4" builtinId="8"/>
    <cellStyle name="Normal" xfId="0" builtinId="0"/>
    <cellStyle name="Normal 2" xfId="2" xr:uid="{C13DE034-B78B-4C5D-9B89-23DBC22FCB99}"/>
    <cellStyle name="Normal 3" xfId="3" xr:uid="{BF7AAFFE-004A-4979-A56B-9F01C2164A86}"/>
    <cellStyle name="Percent" xfId="1" builtinId="5"/>
  </cellStyles>
  <dxfs count="72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numFmt numFmtId="0" formatCode="General"/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numFmt numFmtId="0" formatCode="General"/>
      <fill>
        <patternFill>
          <bgColor rgb="FFFFFF00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0" formatCode="dd\-mmm\-yy"/>
    </dxf>
    <dxf>
      <numFmt numFmtId="164" formatCode="[$-13809]d\ mmm\ yyyy;@"/>
    </dxf>
    <dxf>
      <numFmt numFmtId="20" formatCode="dd\-mmm\-yy"/>
    </dxf>
    <dxf>
      <numFmt numFmtId="164" formatCode="[$-13809]d\ mmm\ yyyy;@"/>
    </dxf>
    <dxf>
      <numFmt numFmtId="20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</dxf>
    <dxf>
      <numFmt numFmtId="20" formatCode="dd\-mmm\-yy"/>
      <fill>
        <patternFill patternType="none">
          <fgColor indexed="64"/>
          <bgColor auto="1"/>
        </patternFill>
      </fill>
    </dxf>
    <dxf>
      <numFmt numFmtId="20" formatCode="dd\-mmm\-yy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Mandatory Training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Valid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Dashboard!$A$2:$A$11</c:f>
              <c:strCache>
                <c:ptCount val="10"/>
                <c:pt idx="0">
                  <c:v>Human Factor</c:v>
                </c:pt>
                <c:pt idx="1">
                  <c:v>Safety Management System</c:v>
                </c:pt>
                <c:pt idx="2">
                  <c:v>GMF Quality System</c:v>
                </c:pt>
                <c:pt idx="3">
                  <c:v>CASR Part 145</c:v>
                </c:pt>
                <c:pt idx="4">
                  <c:v>FAR Part 145</c:v>
                </c:pt>
                <c:pt idx="5">
                  <c:v>EASA Part 145</c:v>
                </c:pt>
                <c:pt idx="6">
                  <c:v>EASA Part M</c:v>
                </c:pt>
                <c:pt idx="7">
                  <c:v>Fuel Tank Safety</c:v>
                </c:pt>
                <c:pt idx="8">
                  <c:v>EWIS</c:v>
                </c:pt>
                <c:pt idx="9">
                  <c:v>Dangerous Good</c:v>
                </c:pt>
              </c:strCache>
            </c:strRef>
          </c:cat>
          <c:val>
            <c:numRef>
              <c:f>Dashboard!$B$2:$B$11</c:f>
              <c:numCache>
                <c:formatCode>General</c:formatCode>
                <c:ptCount val="10"/>
                <c:pt idx="0">
                  <c:v>193</c:v>
                </c:pt>
                <c:pt idx="1">
                  <c:v>193</c:v>
                </c:pt>
                <c:pt idx="2">
                  <c:v>188</c:v>
                </c:pt>
                <c:pt idx="3">
                  <c:v>138</c:v>
                </c:pt>
                <c:pt idx="4">
                  <c:v>135</c:v>
                </c:pt>
                <c:pt idx="5">
                  <c:v>138</c:v>
                </c:pt>
                <c:pt idx="6">
                  <c:v>140</c:v>
                </c:pt>
                <c:pt idx="7">
                  <c:v>140</c:v>
                </c:pt>
                <c:pt idx="8">
                  <c:v>143</c:v>
                </c:pt>
                <c:pt idx="9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4-4908-A2AE-96E90A51BAA9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Expired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Dashboard!$A$2:$A$11</c:f>
              <c:strCache>
                <c:ptCount val="10"/>
                <c:pt idx="0">
                  <c:v>Human Factor</c:v>
                </c:pt>
                <c:pt idx="1">
                  <c:v>Safety Management System</c:v>
                </c:pt>
                <c:pt idx="2">
                  <c:v>GMF Quality System</c:v>
                </c:pt>
                <c:pt idx="3">
                  <c:v>CASR Part 145</c:v>
                </c:pt>
                <c:pt idx="4">
                  <c:v>FAR Part 145</c:v>
                </c:pt>
                <c:pt idx="5">
                  <c:v>EASA Part 145</c:v>
                </c:pt>
                <c:pt idx="6">
                  <c:v>EASA Part M</c:v>
                </c:pt>
                <c:pt idx="7">
                  <c:v>Fuel Tank Safety</c:v>
                </c:pt>
                <c:pt idx="8">
                  <c:v>EWIS</c:v>
                </c:pt>
                <c:pt idx="9">
                  <c:v>Dangerous Good</c:v>
                </c:pt>
              </c:strCache>
            </c:strRef>
          </c:cat>
          <c:val>
            <c:numRef>
              <c:f>Dashboard!$C$2:$C$11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4-4908-A2AE-96E90A51BAA9}"/>
            </c:ext>
          </c:extLst>
        </c:ser>
        <c:ser>
          <c:idx val="2"/>
          <c:order val="2"/>
          <c:tx>
            <c:strRef>
              <c:f>Dashboard!$D$1</c:f>
              <c:strCache>
                <c:ptCount val="1"/>
                <c:pt idx="0">
                  <c:v>Expiring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Dashboard!$A$2:$A$11</c:f>
              <c:strCache>
                <c:ptCount val="10"/>
                <c:pt idx="0">
                  <c:v>Human Factor</c:v>
                </c:pt>
                <c:pt idx="1">
                  <c:v>Safety Management System</c:v>
                </c:pt>
                <c:pt idx="2">
                  <c:v>GMF Quality System</c:v>
                </c:pt>
                <c:pt idx="3">
                  <c:v>CASR Part 145</c:v>
                </c:pt>
                <c:pt idx="4">
                  <c:v>FAR Part 145</c:v>
                </c:pt>
                <c:pt idx="5">
                  <c:v>EASA Part 145</c:v>
                </c:pt>
                <c:pt idx="6">
                  <c:v>EASA Part M</c:v>
                </c:pt>
                <c:pt idx="7">
                  <c:v>Fuel Tank Safety</c:v>
                </c:pt>
                <c:pt idx="8">
                  <c:v>EWIS</c:v>
                </c:pt>
                <c:pt idx="9">
                  <c:v>Dangerous Good</c:v>
                </c:pt>
              </c:strCache>
            </c:strRef>
          </c:cat>
          <c:val>
            <c:numRef>
              <c:f>Dashboard!$D$2:$D$11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94-4908-A2AE-96E90A51BAA9}"/>
            </c:ext>
          </c:extLst>
        </c:ser>
        <c:ser>
          <c:idx val="3"/>
          <c:order val="3"/>
          <c:tx>
            <c:strRef>
              <c:f>Dashboard!$E$1</c:f>
              <c:strCache>
                <c:ptCount val="1"/>
                <c:pt idx="0">
                  <c:v>Not Trained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Dashboard!$A$2:$A$11</c:f>
              <c:strCache>
                <c:ptCount val="10"/>
                <c:pt idx="0">
                  <c:v>Human Factor</c:v>
                </c:pt>
                <c:pt idx="1">
                  <c:v>Safety Management System</c:v>
                </c:pt>
                <c:pt idx="2">
                  <c:v>GMF Quality System</c:v>
                </c:pt>
                <c:pt idx="3">
                  <c:v>CASR Part 145</c:v>
                </c:pt>
                <c:pt idx="4">
                  <c:v>FAR Part 145</c:v>
                </c:pt>
                <c:pt idx="5">
                  <c:v>EASA Part 145</c:v>
                </c:pt>
                <c:pt idx="6">
                  <c:v>EASA Part M</c:v>
                </c:pt>
                <c:pt idx="7">
                  <c:v>Fuel Tank Safety</c:v>
                </c:pt>
                <c:pt idx="8">
                  <c:v>EWIS</c:v>
                </c:pt>
                <c:pt idx="9">
                  <c:v>Dangerous Good</c:v>
                </c:pt>
              </c:strCache>
            </c:strRef>
          </c:cat>
          <c:val>
            <c:numRef>
              <c:f>Dashboard!$E$2:$E$11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94-4908-A2AE-96E90A51B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6402560"/>
        <c:axId val="586403520"/>
      </c:barChart>
      <c:catAx>
        <c:axId val="5864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03520"/>
        <c:crosses val="autoZero"/>
        <c:auto val="1"/>
        <c:lblAlgn val="ctr"/>
        <c:lblOffset val="100"/>
        <c:noMultiLvlLbl val="0"/>
      </c:catAx>
      <c:valAx>
        <c:axId val="58640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AMEL Holder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AMEL'!$M$1</c:f>
              <c:strCache>
                <c:ptCount val="1"/>
                <c:pt idx="0">
                  <c:v>2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AMEL'!$L$2:$L$10</c:f>
              <c:strCache>
                <c:ptCount val="9"/>
                <c:pt idx="0">
                  <c:v>A330</c:v>
                </c:pt>
                <c:pt idx="1">
                  <c:v>B737</c:v>
                </c:pt>
                <c:pt idx="2">
                  <c:v>A320</c:v>
                </c:pt>
                <c:pt idx="3">
                  <c:v>A330 Neo</c:v>
                </c:pt>
                <c:pt idx="4">
                  <c:v>B777</c:v>
                </c:pt>
                <c:pt idx="5">
                  <c:v>A320 Neo</c:v>
                </c:pt>
                <c:pt idx="6">
                  <c:v>CRJ</c:v>
                </c:pt>
                <c:pt idx="7">
                  <c:v>ATR</c:v>
                </c:pt>
                <c:pt idx="8">
                  <c:v>B737 Max</c:v>
                </c:pt>
              </c:strCache>
            </c:strRef>
          </c:cat>
          <c:val>
            <c:numRef>
              <c:f>'Pivot AMEL'!$M$2:$M$10</c:f>
            </c:numRef>
          </c:val>
          <c:extLst>
            <c:ext xmlns:c16="http://schemas.microsoft.com/office/drawing/2014/chart" uri="{C3380CC4-5D6E-409C-BE32-E72D297353CC}">
              <c16:uniqueId val="{00000000-3575-45AB-9BC4-9D472297CCFF}"/>
            </c:ext>
          </c:extLst>
        </c:ser>
        <c:ser>
          <c:idx val="1"/>
          <c:order val="1"/>
          <c:tx>
            <c:strRef>
              <c:f>'Pivot AMEL'!$N$1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'Pivot AMEL'!$L$2:$L$10</c:f>
              <c:strCache>
                <c:ptCount val="9"/>
                <c:pt idx="0">
                  <c:v>A330</c:v>
                </c:pt>
                <c:pt idx="1">
                  <c:v>B737</c:v>
                </c:pt>
                <c:pt idx="2">
                  <c:v>A320</c:v>
                </c:pt>
                <c:pt idx="3">
                  <c:v>A330 Neo</c:v>
                </c:pt>
                <c:pt idx="4">
                  <c:v>B777</c:v>
                </c:pt>
                <c:pt idx="5">
                  <c:v>A320 Neo</c:v>
                </c:pt>
                <c:pt idx="6">
                  <c:v>CRJ</c:v>
                </c:pt>
                <c:pt idx="7">
                  <c:v>ATR</c:v>
                </c:pt>
                <c:pt idx="8">
                  <c:v>B737 Max</c:v>
                </c:pt>
              </c:strCache>
            </c:strRef>
          </c:cat>
          <c:val>
            <c:numRef>
              <c:f>'Pivot AMEL'!$N$2:$N$10</c:f>
            </c:numRef>
          </c:val>
          <c:extLst>
            <c:ext xmlns:c16="http://schemas.microsoft.com/office/drawing/2014/chart" uri="{C3380CC4-5D6E-409C-BE32-E72D297353CC}">
              <c16:uniqueId val="{00000001-3575-45AB-9BC4-9D472297CCFF}"/>
            </c:ext>
          </c:extLst>
        </c:ser>
        <c:ser>
          <c:idx val="2"/>
          <c:order val="2"/>
          <c:tx>
            <c:strRef>
              <c:f>'Pivot AMEL'!$O$1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'Pivot AMEL'!$L$2:$L$10</c:f>
              <c:strCache>
                <c:ptCount val="9"/>
                <c:pt idx="0">
                  <c:v>A330</c:v>
                </c:pt>
                <c:pt idx="1">
                  <c:v>B737</c:v>
                </c:pt>
                <c:pt idx="2">
                  <c:v>A320</c:v>
                </c:pt>
                <c:pt idx="3">
                  <c:v>A330 Neo</c:v>
                </c:pt>
                <c:pt idx="4">
                  <c:v>B777</c:v>
                </c:pt>
                <c:pt idx="5">
                  <c:v>A320 Neo</c:v>
                </c:pt>
                <c:pt idx="6">
                  <c:v>CRJ</c:v>
                </c:pt>
                <c:pt idx="7">
                  <c:v>ATR</c:v>
                </c:pt>
                <c:pt idx="8">
                  <c:v>B737 Max</c:v>
                </c:pt>
              </c:strCache>
            </c:strRef>
          </c:cat>
          <c:val>
            <c:numRef>
              <c:f>'Pivot AMEL'!$O$2:$O$10</c:f>
            </c:numRef>
          </c:val>
          <c:extLst>
            <c:ext xmlns:c16="http://schemas.microsoft.com/office/drawing/2014/chart" uri="{C3380CC4-5D6E-409C-BE32-E72D297353CC}">
              <c16:uniqueId val="{00000002-3575-45AB-9BC4-9D472297CCFF}"/>
            </c:ext>
          </c:extLst>
        </c:ser>
        <c:ser>
          <c:idx val="3"/>
          <c:order val="3"/>
          <c:tx>
            <c:strRef>
              <c:f>'Pivot AMEL'!$P$1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71-4FE7-A190-51D386949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71-4FE7-A190-51D386949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71-4FE7-A190-51D386949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71-4FE7-A190-51D386949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1-4FE7-A190-51D386949C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71-4FE7-A190-51D386949C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71-4FE7-A190-51D386949C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71-4FE7-A190-51D386949C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71-4FE7-A190-51D386949C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AMEL'!$L$2:$L$10</c:f>
              <c:strCache>
                <c:ptCount val="9"/>
                <c:pt idx="0">
                  <c:v>A330</c:v>
                </c:pt>
                <c:pt idx="1">
                  <c:v>B737</c:v>
                </c:pt>
                <c:pt idx="2">
                  <c:v>A320</c:v>
                </c:pt>
                <c:pt idx="3">
                  <c:v>A330 Neo</c:v>
                </c:pt>
                <c:pt idx="4">
                  <c:v>B777</c:v>
                </c:pt>
                <c:pt idx="5">
                  <c:v>A320 Neo</c:v>
                </c:pt>
                <c:pt idx="6">
                  <c:v>CRJ</c:v>
                </c:pt>
                <c:pt idx="7">
                  <c:v>ATR</c:v>
                </c:pt>
                <c:pt idx="8">
                  <c:v>B737 Max</c:v>
                </c:pt>
              </c:strCache>
            </c:strRef>
          </c:cat>
          <c:val>
            <c:numRef>
              <c:f>'Pivot AMEL'!$P$2:$P$10</c:f>
              <c:numCache>
                <c:formatCode>General</c:formatCode>
                <c:ptCount val="9"/>
                <c:pt idx="0">
                  <c:v>29</c:v>
                </c:pt>
                <c:pt idx="1">
                  <c:v>25</c:v>
                </c:pt>
                <c:pt idx="2">
                  <c:v>22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5-45AB-9BC4-9D472297C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Development Status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Development Status</a:t>
          </a:r>
        </a:p>
      </cx:txPr>
    </cx:title>
    <cx:plotArea>
      <cx:plotAreaRegion>
        <cx:series layoutId="funnel" uniqueId="{00000000-E832-4280-9E20-0E179FB844F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0</xdr:row>
      <xdr:rowOff>26670</xdr:rowOff>
    </xdr:from>
    <xdr:to>
      <xdr:col>18</xdr:col>
      <xdr:colOff>480060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242A2-7D3E-2E85-FC7F-00239A8A4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2</xdr:row>
      <xdr:rowOff>167640</xdr:rowOff>
    </xdr:from>
    <xdr:to>
      <xdr:col>3</xdr:col>
      <xdr:colOff>220980</xdr:colOff>
      <xdr:row>17</xdr:row>
      <xdr:rowOff>167640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60CEEF-AF7C-4BC2-9CF3-9D6169209D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580" y="548640"/>
              <a:ext cx="4695825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813012</xdr:colOff>
      <xdr:row>10</xdr:row>
      <xdr:rowOff>148590</xdr:rowOff>
    </xdr:from>
    <xdr:to>
      <xdr:col>18</xdr:col>
      <xdr:colOff>945727</xdr:colOff>
      <xdr:row>26</xdr:row>
      <xdr:rowOff>15029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06017-66FA-E4BD-F5B8-456B6781C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1171575</xdr:colOff>
      <xdr:row>0</xdr:row>
      <xdr:rowOff>95250</xdr:rowOff>
    </xdr:from>
    <xdr:ext cx="1943100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03177BC-E483-4EE1-8BEE-496345D2A0C6}"/>
            </a:ext>
          </a:extLst>
        </xdr:cNvPr>
        <xdr:cNvSpPr txBox="1"/>
      </xdr:nvSpPr>
      <xdr:spPr>
        <a:xfrm>
          <a:off x="1514475" y="95250"/>
          <a:ext cx="19431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Training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1e8f55f41ef1f7a/Desktop/LCU/1.%20Training%20Monitoring/Data%20Training%20(Bulanan)/Training%20Dinas%20TN%20Bulan%20Juli%202025.xlsx" TargetMode="External"/><Relationship Id="rId1" Type="http://schemas.openxmlformats.org/officeDocument/2006/relationships/externalLinkPath" Target="https://gmfaeroasia365.sharepoint.com/teams/CabinMaintenanceServices/LCU%20TN/TNP-4/4.%20Training%20Monitoring/Data%20Training%20(Bulanan)/Training%20Dinas%20TN%20Bulan%20Jul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Dashboard"/>
      <sheetName val="TrainingData"/>
      <sheetName val="TrainingMan"/>
      <sheetName val="TrainingReq (Ach)"/>
      <sheetName val="Training Dinas TN Bulan Juli 20"/>
    </sheetNames>
    <sheetDataSet>
      <sheetData sheetId="0" refreshError="1"/>
      <sheetData sheetId="1" refreshError="1"/>
      <sheetData sheetId="2" refreshError="1"/>
      <sheetData sheetId="3" refreshError="1">
        <row r="1">
          <cell r="F1" t="str">
            <v>Validity (Days)</v>
          </cell>
          <cell r="G1" t="str">
            <v>Key</v>
          </cell>
        </row>
        <row r="2">
          <cell r="F2" t="str">
            <v>Forever</v>
          </cell>
          <cell r="G2" t="str">
            <v>Aircraft Cabin Controller-Aircraft Exterior &amp; Interior Cleaning</v>
          </cell>
        </row>
        <row r="3">
          <cell r="F3" t="str">
            <v>Forever</v>
          </cell>
          <cell r="G3" t="str">
            <v>Aircraft Cabin Controller-Aircraft Familiarization</v>
          </cell>
        </row>
        <row r="4">
          <cell r="F4" t="str">
            <v>Forever</v>
          </cell>
          <cell r="G4" t="str">
            <v>Aircraft Cabin Controller-Basic Inspection</v>
          </cell>
        </row>
        <row r="5">
          <cell r="F5" t="str">
            <v>Forever</v>
          </cell>
          <cell r="G5" t="str">
            <v>Aircraft Cabin Controller-CASR Part 145</v>
          </cell>
        </row>
        <row r="6">
          <cell r="F6" t="str">
            <v>Forever</v>
          </cell>
          <cell r="G6" t="str">
            <v>Aircraft Cabin Controller-Dangerous Good</v>
          </cell>
        </row>
        <row r="7">
          <cell r="F7" t="str">
            <v>Forever</v>
          </cell>
          <cell r="G7" t="str">
            <v>Aircraft Cabin Controller-EASA Part 145</v>
          </cell>
        </row>
        <row r="8">
          <cell r="F8" t="str">
            <v>Forever</v>
          </cell>
          <cell r="G8" t="str">
            <v>Aircraft Cabin Controller-EASA Part M</v>
          </cell>
        </row>
        <row r="9">
          <cell r="F9" t="str">
            <v>Forever</v>
          </cell>
          <cell r="G9" t="str">
            <v>Aircraft Cabin Controller-EWIS</v>
          </cell>
        </row>
        <row r="10">
          <cell r="F10" t="str">
            <v>Forever</v>
          </cell>
          <cell r="G10" t="str">
            <v>Aircraft Cabin Controller-FAR Part 145</v>
          </cell>
        </row>
        <row r="11">
          <cell r="F11" t="str">
            <v>Forever</v>
          </cell>
          <cell r="G11" t="str">
            <v>Aircraft Cabin Controller-Fuel Tank Safety</v>
          </cell>
        </row>
        <row r="12">
          <cell r="F12" t="str">
            <v>Forever</v>
          </cell>
          <cell r="G12" t="str">
            <v>Aircraft Cabin Controller-GMF Quality System</v>
          </cell>
        </row>
        <row r="13">
          <cell r="F13" t="str">
            <v>2-Year</v>
          </cell>
          <cell r="G13" t="str">
            <v>Aircraft Cabin Controller-Human Factor</v>
          </cell>
        </row>
        <row r="14">
          <cell r="F14" t="str">
            <v>Forever</v>
          </cell>
          <cell r="G14" t="str">
            <v>Aircraft Cabin Controller-Orientation Training</v>
          </cell>
        </row>
        <row r="15">
          <cell r="F15" t="str">
            <v>2-Year</v>
          </cell>
          <cell r="G15" t="str">
            <v>Aircraft Cabin Controller-Safety Management System</v>
          </cell>
        </row>
        <row r="16">
          <cell r="F16" t="str">
            <v>Forever</v>
          </cell>
          <cell r="G16" t="str">
            <v>OJT to Aircraft Cabin Controller-Aircraft Exterior &amp; Interior Cleaning</v>
          </cell>
        </row>
        <row r="17">
          <cell r="F17" t="str">
            <v>Forever</v>
          </cell>
          <cell r="G17" t="str">
            <v>OJT to Aircraft Cabin Controller-Aircraft Familiarization</v>
          </cell>
        </row>
        <row r="18">
          <cell r="F18" t="str">
            <v>Forever</v>
          </cell>
          <cell r="G18" t="str">
            <v>OJT to Aircraft Cabin Controller-Basic Inspection</v>
          </cell>
        </row>
        <row r="19">
          <cell r="F19" t="str">
            <v>Forever</v>
          </cell>
          <cell r="G19" t="str">
            <v>OJT to Aircraft Cabin Controller-CASR Part 145</v>
          </cell>
        </row>
        <row r="20">
          <cell r="F20" t="str">
            <v>Forever</v>
          </cell>
          <cell r="G20" t="str">
            <v>OJT to Aircraft Cabin Controller-Dangerous Good</v>
          </cell>
        </row>
        <row r="21">
          <cell r="F21" t="str">
            <v>Forever</v>
          </cell>
          <cell r="G21" t="str">
            <v>OJT to Aircraft Cabin Controller-EASA Part 145</v>
          </cell>
        </row>
        <row r="22">
          <cell r="F22" t="str">
            <v>Forever</v>
          </cell>
          <cell r="G22" t="str">
            <v>OJT to Aircraft Cabin Controller-EASA Part M</v>
          </cell>
        </row>
        <row r="23">
          <cell r="F23" t="str">
            <v>Forever</v>
          </cell>
          <cell r="G23" t="str">
            <v>OJT to Aircraft Cabin Controller-EWIS</v>
          </cell>
        </row>
        <row r="24">
          <cell r="F24" t="str">
            <v>Forever</v>
          </cell>
          <cell r="G24" t="str">
            <v>OJT to Aircraft Cabin Controller-FAR Part 145</v>
          </cell>
        </row>
        <row r="25">
          <cell r="F25" t="str">
            <v>Forever</v>
          </cell>
          <cell r="G25" t="str">
            <v>OJT to Aircraft Cabin Controller-Fuel Tank Safety</v>
          </cell>
        </row>
        <row r="26">
          <cell r="F26" t="str">
            <v>Forever</v>
          </cell>
          <cell r="G26" t="str">
            <v>OJT to Aircraft Cabin Controller-GMF Quality System</v>
          </cell>
        </row>
        <row r="27">
          <cell r="F27" t="str">
            <v>2-Year</v>
          </cell>
          <cell r="G27" t="str">
            <v>OJT to Aircraft Cabin Controller-Human Factor</v>
          </cell>
        </row>
        <row r="28">
          <cell r="F28" t="str">
            <v>Forever</v>
          </cell>
          <cell r="G28" t="str">
            <v>OJT to Aircraft Cabin Controller-Orientation Training</v>
          </cell>
        </row>
        <row r="29">
          <cell r="F29" t="str">
            <v>2-Year</v>
          </cell>
          <cell r="G29" t="str">
            <v>OJT to Aircraft Cabin Controller-Safety Management System</v>
          </cell>
        </row>
        <row r="30">
          <cell r="F30" t="str">
            <v>Forever</v>
          </cell>
          <cell r="G30" t="str">
            <v>Aircraft Cabin Engineer-Basic Inspection</v>
          </cell>
        </row>
        <row r="31">
          <cell r="F31" t="str">
            <v>Forever</v>
          </cell>
          <cell r="G31" t="str">
            <v>Aircraft Cabin Engineer-Basic Supervisory Training</v>
          </cell>
        </row>
        <row r="32">
          <cell r="F32" t="str">
            <v>2-Year</v>
          </cell>
          <cell r="G32" t="str">
            <v>Aircraft Cabin Engineer-CASR Part 145</v>
          </cell>
        </row>
        <row r="33">
          <cell r="F33" t="str">
            <v>Forever</v>
          </cell>
          <cell r="G33" t="str">
            <v>Aircraft Cabin Engineer-Dangerous Good</v>
          </cell>
        </row>
        <row r="34">
          <cell r="F34" t="str">
            <v>2-Year</v>
          </cell>
          <cell r="G34" t="str">
            <v>Aircraft Cabin Engineer-EASA Part 145</v>
          </cell>
        </row>
        <row r="35">
          <cell r="F35" t="str">
            <v>2-Year</v>
          </cell>
          <cell r="G35" t="str">
            <v>Aircraft Cabin Engineer-EASA Part M</v>
          </cell>
        </row>
        <row r="36">
          <cell r="F36" t="str">
            <v>2-Year</v>
          </cell>
          <cell r="G36" t="str">
            <v>Aircraft Cabin Engineer-EWIS</v>
          </cell>
        </row>
        <row r="37">
          <cell r="F37" t="str">
            <v>2-Year</v>
          </cell>
          <cell r="G37" t="str">
            <v>Aircraft Cabin Engineer-FAR Part 145</v>
          </cell>
        </row>
        <row r="38">
          <cell r="F38" t="str">
            <v>2-Year</v>
          </cell>
          <cell r="G38" t="str">
            <v>Aircraft Cabin Engineer-Fuel Tank Safety</v>
          </cell>
        </row>
        <row r="39">
          <cell r="F39" t="str">
            <v>Forever</v>
          </cell>
          <cell r="G39" t="str">
            <v>Aircraft Cabin Engineer-Fundamental Troubleshooting</v>
          </cell>
        </row>
        <row r="40">
          <cell r="F40" t="str">
            <v>2-Year</v>
          </cell>
          <cell r="G40" t="str">
            <v>Aircraft Cabin Engineer-GMF Quality System</v>
          </cell>
        </row>
        <row r="41">
          <cell r="F41" t="str">
            <v>2-Year</v>
          </cell>
          <cell r="G41" t="str">
            <v>Aircraft Cabin Engineer-Human Factor</v>
          </cell>
        </row>
        <row r="42">
          <cell r="F42" t="str">
            <v>Forever</v>
          </cell>
          <cell r="G42" t="str">
            <v>Aircraft Cabin Engineer-Orientation Training</v>
          </cell>
        </row>
        <row r="43">
          <cell r="F43" t="str">
            <v>2-Year</v>
          </cell>
          <cell r="G43" t="str">
            <v>Aircraft Cabin Engineer-Safety Management System</v>
          </cell>
        </row>
        <row r="44">
          <cell r="F44" t="str">
            <v>Forever</v>
          </cell>
          <cell r="G44" t="str">
            <v>Aircraft Cabin Engineer-SWIFT Training</v>
          </cell>
        </row>
        <row r="45">
          <cell r="F45" t="str">
            <v>Forever</v>
          </cell>
          <cell r="G45" t="str">
            <v>OJT to Aircraft Cabin Engineer-Basic Inspection</v>
          </cell>
        </row>
        <row r="46">
          <cell r="F46" t="str">
            <v>Forever</v>
          </cell>
          <cell r="G46" t="str">
            <v>OJT to Aircraft Cabin Engineer-Basic Supervisory Training</v>
          </cell>
        </row>
        <row r="47">
          <cell r="F47" t="str">
            <v>2-Year</v>
          </cell>
          <cell r="G47" t="str">
            <v>OJT to Aircraft Cabin Engineer-CASR Part 145</v>
          </cell>
        </row>
        <row r="48">
          <cell r="F48" t="str">
            <v>Forever</v>
          </cell>
          <cell r="G48" t="str">
            <v>OJT to Aircraft Cabin Engineer-Dangerous Good</v>
          </cell>
        </row>
        <row r="49">
          <cell r="F49" t="str">
            <v>2-Year</v>
          </cell>
          <cell r="G49" t="str">
            <v>OJT to Aircraft Cabin Engineer-EASA Part 145</v>
          </cell>
        </row>
        <row r="50">
          <cell r="F50" t="str">
            <v>2-Year</v>
          </cell>
          <cell r="G50" t="str">
            <v>OJT to Aircraft Cabin Engineer-EASA Part M</v>
          </cell>
        </row>
        <row r="51">
          <cell r="F51" t="str">
            <v>2-Year</v>
          </cell>
          <cell r="G51" t="str">
            <v>OJT to Aircraft Cabin Engineer-EWIS</v>
          </cell>
        </row>
        <row r="52">
          <cell r="F52" t="str">
            <v>2-Year</v>
          </cell>
          <cell r="G52" t="str">
            <v>OJT to Aircraft Cabin Engineer-FAR Part 145</v>
          </cell>
        </row>
        <row r="53">
          <cell r="F53" t="str">
            <v>2-Year</v>
          </cell>
          <cell r="G53" t="str">
            <v>OJT to Aircraft Cabin Engineer-Fuel Tank Safety</v>
          </cell>
        </row>
        <row r="54">
          <cell r="F54" t="str">
            <v>Forever</v>
          </cell>
          <cell r="G54" t="str">
            <v>OJT to Aircraft Cabin Engineer-Fundamental Troubleshooting</v>
          </cell>
        </row>
        <row r="55">
          <cell r="F55" t="str">
            <v>2-Year</v>
          </cell>
          <cell r="G55" t="str">
            <v>OJT to Aircraft Cabin Engineer-GMF Quality System</v>
          </cell>
        </row>
        <row r="56">
          <cell r="F56" t="str">
            <v>2-Year</v>
          </cell>
          <cell r="G56" t="str">
            <v>OJT to Aircraft Cabin Engineer-Human Factor</v>
          </cell>
        </row>
        <row r="57">
          <cell r="F57" t="str">
            <v>Forever</v>
          </cell>
          <cell r="G57" t="str">
            <v>OJT to Aircraft Cabin Engineer-Orientation Training</v>
          </cell>
        </row>
        <row r="58">
          <cell r="F58" t="str">
            <v>2-Year</v>
          </cell>
          <cell r="G58" t="str">
            <v>OJT to Aircraft Cabin Engineer-Safety Management System</v>
          </cell>
        </row>
        <row r="59">
          <cell r="F59" t="str">
            <v>Forever</v>
          </cell>
          <cell r="G59" t="str">
            <v>OJT to Aircraft Cabin Engineer-SWIFT Training</v>
          </cell>
        </row>
        <row r="60">
          <cell r="F60" t="str">
            <v>Forever</v>
          </cell>
          <cell r="G60" t="str">
            <v>Aircraft Cabin Technician-ADTH</v>
          </cell>
        </row>
        <row r="61">
          <cell r="F61" t="str">
            <v>2-Year</v>
          </cell>
          <cell r="G61" t="str">
            <v>Aircraft Cabin Technician-CASR Part 145</v>
          </cell>
        </row>
        <row r="62">
          <cell r="F62" t="str">
            <v>Forever</v>
          </cell>
          <cell r="G62" t="str">
            <v>Aircraft Cabin Technician-Dangerous Good</v>
          </cell>
        </row>
        <row r="63">
          <cell r="F63" t="str">
            <v>2-Year</v>
          </cell>
          <cell r="G63" t="str">
            <v>Aircraft Cabin Technician-EASA Part 145</v>
          </cell>
        </row>
        <row r="64">
          <cell r="F64" t="str">
            <v>2-Year</v>
          </cell>
          <cell r="G64" t="str">
            <v>Aircraft Cabin Technician-EASA Part M</v>
          </cell>
        </row>
        <row r="65">
          <cell r="F65" t="str">
            <v>2-Year</v>
          </cell>
          <cell r="G65" t="str">
            <v>Aircraft Cabin Technician-EWIS</v>
          </cell>
        </row>
        <row r="66">
          <cell r="F66" t="str">
            <v>2-Year</v>
          </cell>
          <cell r="G66" t="str">
            <v>Aircraft Cabin Technician-FAR Part 145</v>
          </cell>
        </row>
        <row r="67">
          <cell r="F67" t="str">
            <v>2-Year</v>
          </cell>
          <cell r="G67" t="str">
            <v>Aircraft Cabin Technician-Fuel Tank Safety</v>
          </cell>
        </row>
        <row r="68">
          <cell r="F68" t="str">
            <v>2-Year</v>
          </cell>
          <cell r="G68" t="str">
            <v>Aircraft Cabin Technician-GMF Quality System</v>
          </cell>
        </row>
        <row r="69">
          <cell r="F69" t="str">
            <v>2-Year</v>
          </cell>
          <cell r="G69" t="str">
            <v>Aircraft Cabin Technician-Human Factor</v>
          </cell>
        </row>
        <row r="70">
          <cell r="F70" t="str">
            <v>Forever</v>
          </cell>
          <cell r="G70" t="str">
            <v>Aircraft Cabin Technician-Orientation Training</v>
          </cell>
        </row>
        <row r="71">
          <cell r="F71" t="str">
            <v>2-Year</v>
          </cell>
          <cell r="G71" t="str">
            <v>Aircraft Cabin Technician-Safety Management System</v>
          </cell>
        </row>
        <row r="72">
          <cell r="F72" t="str">
            <v>2-Year</v>
          </cell>
          <cell r="G72" t="str">
            <v>Aircraft Cabin Technician (PKWT NP)-Human Factor</v>
          </cell>
        </row>
        <row r="73">
          <cell r="F73" t="str">
            <v>2-Year</v>
          </cell>
          <cell r="G73" t="str">
            <v>Aircraft Cabin Technician (PKWT NP)-Safety Management System</v>
          </cell>
        </row>
        <row r="74">
          <cell r="F74" t="str">
            <v>Forever</v>
          </cell>
          <cell r="G74" t="str">
            <v>Aircraft Cabin Technician (PKWT NP)-GMF Quality System</v>
          </cell>
        </row>
        <row r="75">
          <cell r="F75" t="str">
            <v>Forever</v>
          </cell>
          <cell r="G75" t="str">
            <v>Aircraft Cabin Technician (PKWT NP)-CASR Part 145</v>
          </cell>
        </row>
        <row r="76">
          <cell r="F76" t="str">
            <v>Forever</v>
          </cell>
          <cell r="G76" t="str">
            <v>Aircraft Cabin Technician (PKWT NP)-Dangerous Good</v>
          </cell>
        </row>
        <row r="77">
          <cell r="F77" t="str">
            <v>Forever</v>
          </cell>
          <cell r="G77" t="str">
            <v>Aircraft Cabin Technician (PKWT NP)-EASA Part 145</v>
          </cell>
        </row>
        <row r="78">
          <cell r="F78" t="str">
            <v>Forever</v>
          </cell>
          <cell r="G78" t="str">
            <v>Aircraft Cabin Technician (PKWT NP)-EASA Part M</v>
          </cell>
        </row>
        <row r="79">
          <cell r="F79" t="str">
            <v>Forever</v>
          </cell>
          <cell r="G79" t="str">
            <v>Aircraft Cabin Technician (PKWT NP)-EWIS</v>
          </cell>
        </row>
        <row r="80">
          <cell r="F80" t="str">
            <v>Forever</v>
          </cell>
          <cell r="G80" t="str">
            <v>Aircraft Cabin Technician (PKWT NP)-FAR Part 145</v>
          </cell>
        </row>
        <row r="81">
          <cell r="F81" t="str">
            <v>Forever</v>
          </cell>
          <cell r="G81" t="str">
            <v>Aircraft Cabin Technician (PKWT NP)-Fuel Tank Safety</v>
          </cell>
        </row>
        <row r="82">
          <cell r="F82" t="str">
            <v>Forever</v>
          </cell>
          <cell r="G82" t="str">
            <v>Aircraft Maintenance Engineer-Basic Inspection</v>
          </cell>
        </row>
        <row r="83">
          <cell r="F83" t="str">
            <v>Forever</v>
          </cell>
          <cell r="G83" t="str">
            <v>Aircraft Maintenance Engineer-Basic Supervisory Training</v>
          </cell>
        </row>
        <row r="84">
          <cell r="F84" t="str">
            <v>2-Year</v>
          </cell>
          <cell r="G84" t="str">
            <v>Aircraft Maintenance Engineer-CASR Part 145</v>
          </cell>
        </row>
        <row r="85">
          <cell r="F85" t="str">
            <v>Forever</v>
          </cell>
          <cell r="G85" t="str">
            <v>Aircraft Maintenance Engineer-Certifying Staff</v>
          </cell>
        </row>
        <row r="86">
          <cell r="F86" t="str">
            <v>Forever</v>
          </cell>
          <cell r="G86" t="str">
            <v>Aircraft Maintenance Engineer-Dangerous Good</v>
          </cell>
        </row>
        <row r="87">
          <cell r="F87" t="str">
            <v>2-Year</v>
          </cell>
          <cell r="G87" t="str">
            <v>Aircraft Maintenance Engineer-EASA Part 145</v>
          </cell>
        </row>
        <row r="88">
          <cell r="F88" t="str">
            <v>2-Year</v>
          </cell>
          <cell r="G88" t="str">
            <v>Aircraft Maintenance Engineer-EASA Part M</v>
          </cell>
        </row>
        <row r="89">
          <cell r="F89" t="str">
            <v>2-Year</v>
          </cell>
          <cell r="G89" t="str">
            <v>Aircraft Maintenance Engineer-EWIS</v>
          </cell>
        </row>
        <row r="90">
          <cell r="F90" t="str">
            <v>2-Year</v>
          </cell>
          <cell r="G90" t="str">
            <v>Aircraft Maintenance Engineer-FAR Part 145</v>
          </cell>
        </row>
        <row r="91">
          <cell r="F91" t="str">
            <v>2-Year</v>
          </cell>
          <cell r="G91" t="str">
            <v>Aircraft Maintenance Engineer-Fuel Tank Safety</v>
          </cell>
        </row>
        <row r="92">
          <cell r="F92" t="str">
            <v>Forever</v>
          </cell>
          <cell r="G92" t="str">
            <v>Aircraft Maintenance Engineer-Fundamental Troubleshooting</v>
          </cell>
        </row>
        <row r="93">
          <cell r="F93" t="str">
            <v>2-Year</v>
          </cell>
          <cell r="G93" t="str">
            <v>Aircraft Maintenance Engineer-GMF Quality System</v>
          </cell>
        </row>
        <row r="94">
          <cell r="F94" t="str">
            <v>2-Year</v>
          </cell>
          <cell r="G94" t="str">
            <v>Aircraft Maintenance Engineer-Human Factor</v>
          </cell>
        </row>
        <row r="95">
          <cell r="F95" t="str">
            <v>Forever</v>
          </cell>
          <cell r="G95" t="str">
            <v>Aircraft Maintenance Engineer-Orientation Training</v>
          </cell>
        </row>
        <row r="96">
          <cell r="F96" t="str">
            <v>2-Year</v>
          </cell>
          <cell r="G96" t="str">
            <v>Aircraft Maintenance Engineer-Safety Management System</v>
          </cell>
        </row>
        <row r="97">
          <cell r="F97" t="str">
            <v>Forever</v>
          </cell>
          <cell r="G97" t="str">
            <v>Aircraft Maintenance Engineer-SWIFT Training</v>
          </cell>
        </row>
        <row r="98">
          <cell r="F98" t="str">
            <v>Forever</v>
          </cell>
          <cell r="G98" t="str">
            <v>Aircraft Maintenance Engineer-Type Rating Level III Training</v>
          </cell>
        </row>
        <row r="99">
          <cell r="F99" t="str">
            <v>Forever</v>
          </cell>
          <cell r="G99" t="str">
            <v>Aircraft Maintenance Planner-Aircraft Familiarization</v>
          </cell>
        </row>
        <row r="100">
          <cell r="F100" t="str">
            <v>Forever</v>
          </cell>
          <cell r="G100" t="str">
            <v>Aircraft Maintenance Planner-Basic Planning</v>
          </cell>
        </row>
        <row r="101">
          <cell r="F101" t="str">
            <v>2-Year</v>
          </cell>
          <cell r="G101" t="str">
            <v>Aircraft Maintenance Planner-CASR Part 145</v>
          </cell>
        </row>
        <row r="102">
          <cell r="F102" t="str">
            <v>Forever</v>
          </cell>
          <cell r="G102" t="str">
            <v>Aircraft Maintenance Planner-Dangerous Good</v>
          </cell>
        </row>
        <row r="103">
          <cell r="F103" t="str">
            <v>2-Year</v>
          </cell>
          <cell r="G103" t="str">
            <v>Aircraft Maintenance Planner-EASA Part 145</v>
          </cell>
        </row>
        <row r="104">
          <cell r="F104" t="str">
            <v>2-Year</v>
          </cell>
          <cell r="G104" t="str">
            <v>Aircraft Maintenance Planner-EASA Part M</v>
          </cell>
        </row>
        <row r="105">
          <cell r="F105" t="str">
            <v>Forever</v>
          </cell>
          <cell r="G105" t="str">
            <v>Aircraft Maintenance Planner-EWIS</v>
          </cell>
        </row>
        <row r="106">
          <cell r="F106" t="str">
            <v>2-Year</v>
          </cell>
          <cell r="G106" t="str">
            <v>Aircraft Maintenance Planner-FAR Part 145</v>
          </cell>
        </row>
        <row r="107">
          <cell r="F107" t="str">
            <v>Forever</v>
          </cell>
          <cell r="G107" t="str">
            <v>Aircraft Maintenance Planner-Fuel Tank Safety</v>
          </cell>
        </row>
        <row r="108">
          <cell r="F108" t="str">
            <v>Forever</v>
          </cell>
          <cell r="G108" t="str">
            <v>Aircraft Maintenance Planner-GMF Quality System</v>
          </cell>
        </row>
        <row r="109">
          <cell r="F109" t="str">
            <v>2-Year</v>
          </cell>
          <cell r="G109" t="str">
            <v>Aircraft Maintenance Planner-Human Factor</v>
          </cell>
        </row>
        <row r="110">
          <cell r="F110" t="str">
            <v>Forever</v>
          </cell>
          <cell r="G110" t="str">
            <v>Aircraft Maintenance Planner-Orientation Training</v>
          </cell>
        </row>
        <row r="111">
          <cell r="F111" t="str">
            <v>2-Year</v>
          </cell>
          <cell r="G111" t="str">
            <v>Aircraft Maintenance Planner-Safety Management System</v>
          </cell>
        </row>
        <row r="112">
          <cell r="F112" t="str">
            <v>Forever</v>
          </cell>
          <cell r="G112" t="str">
            <v>Aircraft Maintenance Planner-SWIFT Training</v>
          </cell>
        </row>
        <row r="113">
          <cell r="F113" t="str">
            <v>Forever</v>
          </cell>
          <cell r="G113" t="str">
            <v>Production Support Officer-Aircraft Familiarization</v>
          </cell>
        </row>
        <row r="114">
          <cell r="F114" t="str">
            <v>Forever</v>
          </cell>
          <cell r="G114" t="str">
            <v>Production Support Officer-Basic Planning</v>
          </cell>
        </row>
        <row r="115">
          <cell r="F115" t="str">
            <v>2-Year</v>
          </cell>
          <cell r="G115" t="str">
            <v>Production Support Officer-CASR Part 145</v>
          </cell>
        </row>
        <row r="116">
          <cell r="F116" t="str">
            <v>Forever</v>
          </cell>
          <cell r="G116" t="str">
            <v>Production Support Officer-Dangerous Good</v>
          </cell>
        </row>
        <row r="117">
          <cell r="F117" t="str">
            <v>2-Year</v>
          </cell>
          <cell r="G117" t="str">
            <v>Production Support Officer-EASA Part 145</v>
          </cell>
        </row>
        <row r="118">
          <cell r="F118" t="str">
            <v>2-Year</v>
          </cell>
          <cell r="G118" t="str">
            <v>Production Support Officer-EASA Part M</v>
          </cell>
        </row>
        <row r="119">
          <cell r="F119" t="str">
            <v>Forever</v>
          </cell>
          <cell r="G119" t="str">
            <v>Production Support Officer-EWIS</v>
          </cell>
        </row>
        <row r="120">
          <cell r="F120" t="str">
            <v>2-Year</v>
          </cell>
          <cell r="G120" t="str">
            <v>Production Support Officer-FAR Part 145</v>
          </cell>
        </row>
        <row r="121">
          <cell r="F121" t="str">
            <v>Forever</v>
          </cell>
          <cell r="G121" t="str">
            <v>Production Support Officer-Fuel Tank Safety</v>
          </cell>
        </row>
        <row r="122">
          <cell r="F122" t="str">
            <v>Forever</v>
          </cell>
          <cell r="G122" t="str">
            <v>Production Support Officer-GMF Quality System</v>
          </cell>
        </row>
        <row r="123">
          <cell r="F123" t="str">
            <v>2-Year</v>
          </cell>
          <cell r="G123" t="str">
            <v>Production Support Officer-Human Factor</v>
          </cell>
        </row>
        <row r="124">
          <cell r="F124" t="str">
            <v>Forever</v>
          </cell>
          <cell r="G124" t="str">
            <v>Production Support Officer-Orientation Training</v>
          </cell>
        </row>
        <row r="125">
          <cell r="F125" t="str">
            <v>2-Year</v>
          </cell>
          <cell r="G125" t="str">
            <v>Production Support Officer-Safety Management System</v>
          </cell>
        </row>
        <row r="126">
          <cell r="F126" t="str">
            <v>Forever</v>
          </cell>
          <cell r="G126" t="str">
            <v>Production Support Officer-SWIFT Training</v>
          </cell>
        </row>
        <row r="127">
          <cell r="F127" t="str">
            <v>Forever</v>
          </cell>
          <cell r="G127" t="str">
            <v>Aircraft Maintenance Planning Engineer-Aircraft Familiarization</v>
          </cell>
        </row>
        <row r="128">
          <cell r="F128" t="str">
            <v>Forever</v>
          </cell>
          <cell r="G128" t="str">
            <v>Aircraft Maintenance Planning Engineer-Basic Engineering</v>
          </cell>
        </row>
        <row r="129">
          <cell r="F129" t="str">
            <v>2-Year</v>
          </cell>
          <cell r="G129" t="str">
            <v>Aircraft Maintenance Planning Engineer-CASR Part 145</v>
          </cell>
        </row>
        <row r="130">
          <cell r="F130" t="str">
            <v>Forever</v>
          </cell>
          <cell r="G130" t="str">
            <v>Aircraft Maintenance Planning Engineer-Dangerous Good</v>
          </cell>
        </row>
        <row r="131">
          <cell r="F131" t="str">
            <v>2-Year</v>
          </cell>
          <cell r="G131" t="str">
            <v>Aircraft Maintenance Planning Engineer-EASA Part 145</v>
          </cell>
        </row>
        <row r="132">
          <cell r="F132" t="str">
            <v>2-Year</v>
          </cell>
          <cell r="G132" t="str">
            <v>Aircraft Maintenance Planning Engineer-EASA Part M</v>
          </cell>
        </row>
        <row r="133">
          <cell r="F133" t="str">
            <v>Forever</v>
          </cell>
          <cell r="G133" t="str">
            <v>Aircraft Maintenance Planning Engineer-EWIS</v>
          </cell>
        </row>
        <row r="134">
          <cell r="F134" t="str">
            <v>2-Year</v>
          </cell>
          <cell r="G134" t="str">
            <v>Aircraft Maintenance Planning Engineer-FAR Part 145</v>
          </cell>
        </row>
        <row r="135">
          <cell r="F135" t="str">
            <v>Forever</v>
          </cell>
          <cell r="G135" t="str">
            <v>Aircraft Maintenance Planning Engineer-Fuel Tank Safety</v>
          </cell>
        </row>
        <row r="136">
          <cell r="F136" t="str">
            <v>Forever</v>
          </cell>
          <cell r="G136" t="str">
            <v>Aircraft Maintenance Planning Engineer-GMF Quality System</v>
          </cell>
        </row>
        <row r="137">
          <cell r="F137" t="str">
            <v>2-Year</v>
          </cell>
          <cell r="G137" t="str">
            <v>Aircraft Maintenance Planning Engineer-Human Factor</v>
          </cell>
        </row>
        <row r="138">
          <cell r="F138" t="str">
            <v>Forever</v>
          </cell>
          <cell r="G138" t="str">
            <v>Aircraft Maintenance Planning Engineer-Orientation Training</v>
          </cell>
        </row>
        <row r="139">
          <cell r="F139" t="str">
            <v>2-Year</v>
          </cell>
          <cell r="G139" t="str">
            <v>Aircraft Maintenance Planning Engineer-Safety Management System</v>
          </cell>
        </row>
        <row r="140">
          <cell r="F140" t="str">
            <v>Forever</v>
          </cell>
          <cell r="G140" t="str">
            <v>Aircraft Maintenance Planning Engineer-SWIFT Training</v>
          </cell>
        </row>
        <row r="141">
          <cell r="F141" t="str">
            <v>Forever</v>
          </cell>
          <cell r="G141" t="str">
            <v>Aircraft Maintenance Technician-ADTH</v>
          </cell>
        </row>
        <row r="142">
          <cell r="F142" t="str">
            <v>2-Year</v>
          </cell>
          <cell r="G142" t="str">
            <v>Aircraft Maintenance Technician-CASR Part 145</v>
          </cell>
        </row>
        <row r="143">
          <cell r="F143" t="str">
            <v>Forever</v>
          </cell>
          <cell r="G143" t="str">
            <v>Aircraft Maintenance Technician-Dangerous Good</v>
          </cell>
        </row>
        <row r="144">
          <cell r="F144" t="str">
            <v>2-Year</v>
          </cell>
          <cell r="G144" t="str">
            <v>Aircraft Maintenance Technician-EASA Part 145</v>
          </cell>
        </row>
        <row r="145">
          <cell r="F145" t="str">
            <v>2-Year</v>
          </cell>
          <cell r="G145" t="str">
            <v>Aircraft Maintenance Technician-EASA Part M</v>
          </cell>
        </row>
        <row r="146">
          <cell r="F146" t="str">
            <v>2-Year</v>
          </cell>
          <cell r="G146" t="str">
            <v>Aircraft Maintenance Technician-EWIS</v>
          </cell>
        </row>
        <row r="147">
          <cell r="F147" t="str">
            <v>2-Year</v>
          </cell>
          <cell r="G147" t="str">
            <v>Aircraft Maintenance Technician-FAR Part 145</v>
          </cell>
        </row>
        <row r="148">
          <cell r="F148" t="str">
            <v>2-Year</v>
          </cell>
          <cell r="G148" t="str">
            <v>Aircraft Maintenance Technician-Fuel Tank Safety</v>
          </cell>
        </row>
        <row r="149">
          <cell r="F149" t="str">
            <v>2-Year</v>
          </cell>
          <cell r="G149" t="str">
            <v>Aircraft Maintenance Technician-GMF Quality System</v>
          </cell>
        </row>
        <row r="150">
          <cell r="F150" t="str">
            <v>2-Year</v>
          </cell>
          <cell r="G150" t="str">
            <v>Aircraft Maintenance Technician-Human Factor</v>
          </cell>
        </row>
        <row r="151">
          <cell r="F151" t="str">
            <v>Forever</v>
          </cell>
          <cell r="G151" t="str">
            <v>Aircraft Maintenance Technician-Orientation Training</v>
          </cell>
        </row>
        <row r="152">
          <cell r="F152" t="str">
            <v>2-Year</v>
          </cell>
          <cell r="G152" t="str">
            <v>Aircraft Maintenance Technician-Safety Management System</v>
          </cell>
        </row>
        <row r="153">
          <cell r="F153" t="str">
            <v>2-Year</v>
          </cell>
          <cell r="G153" t="str">
            <v>Aircraft Maintenance Technician (PKWT NP)-Human Factor</v>
          </cell>
        </row>
        <row r="154">
          <cell r="F154" t="str">
            <v>2-Year</v>
          </cell>
          <cell r="G154" t="str">
            <v>Aircraft Maintenance Technician (PKWT NP)-Safety Management System</v>
          </cell>
        </row>
        <row r="155">
          <cell r="F155" t="str">
            <v>Forever</v>
          </cell>
          <cell r="G155" t="str">
            <v>Aircraft Maintenance Technician (PKWT NP)-GMF Quality System</v>
          </cell>
        </row>
        <row r="156">
          <cell r="F156" t="str">
            <v>Forever</v>
          </cell>
          <cell r="G156" t="str">
            <v>Aircraft Maintenance Technician (PKWT NP)-CASR Part 145</v>
          </cell>
        </row>
        <row r="157">
          <cell r="F157" t="str">
            <v>Forever</v>
          </cell>
          <cell r="G157" t="str">
            <v>Aircraft Maintenance Technician (PKWT NP)-Dangerous Good</v>
          </cell>
        </row>
        <row r="158">
          <cell r="F158" t="str">
            <v>Forever</v>
          </cell>
          <cell r="G158" t="str">
            <v>Aircraft Maintenance Technician (PKWT NP)-EASA Part 145</v>
          </cell>
        </row>
        <row r="159">
          <cell r="F159" t="str">
            <v>Forever</v>
          </cell>
          <cell r="G159" t="str">
            <v>Aircraft Maintenance Technician (PKWT NP)-EASA Part M</v>
          </cell>
        </row>
        <row r="160">
          <cell r="F160" t="str">
            <v>Forever</v>
          </cell>
          <cell r="G160" t="str">
            <v>Aircraft Maintenance Technician (PKWT NP)-EWIS</v>
          </cell>
        </row>
        <row r="161">
          <cell r="F161" t="str">
            <v>Forever</v>
          </cell>
          <cell r="G161" t="str">
            <v>Aircraft Maintenance Technician (PKWT NP)-FAR Part 145</v>
          </cell>
        </row>
        <row r="162">
          <cell r="F162" t="str">
            <v>Forever</v>
          </cell>
          <cell r="G162" t="str">
            <v>Aircraft Maintenance Technician (PKWT NP)-Fuel Tank Safety</v>
          </cell>
        </row>
        <row r="163">
          <cell r="F163" t="str">
            <v>Forever</v>
          </cell>
          <cell r="G163" t="str">
            <v>Department Head-Aviation Legislation Module 10</v>
          </cell>
        </row>
        <row r="164">
          <cell r="F164" t="str">
            <v>2-Year</v>
          </cell>
          <cell r="G164" t="str">
            <v>Department Head-CASR Part 145</v>
          </cell>
        </row>
        <row r="165">
          <cell r="F165" t="str">
            <v>2-Year</v>
          </cell>
          <cell r="G165" t="str">
            <v>Department Head-EASA Part 145</v>
          </cell>
        </row>
        <row r="166">
          <cell r="F166" t="str">
            <v>2-Year</v>
          </cell>
          <cell r="G166" t="str">
            <v>Department Head-EASA Part M</v>
          </cell>
        </row>
        <row r="167">
          <cell r="F167" t="str">
            <v>2-Year</v>
          </cell>
          <cell r="G167" t="str">
            <v>Department Head-FAR Part 145</v>
          </cell>
        </row>
        <row r="168">
          <cell r="F168" t="str">
            <v>Forever</v>
          </cell>
          <cell r="G168" t="str">
            <v>Department Head-GMF Quality System</v>
          </cell>
        </row>
        <row r="169">
          <cell r="F169" t="str">
            <v>2-Year</v>
          </cell>
          <cell r="G169" t="str">
            <v>Department Head-Human Factor</v>
          </cell>
        </row>
        <row r="170">
          <cell r="F170" t="str">
            <v>Forever</v>
          </cell>
          <cell r="G170" t="str">
            <v>Department Head-Leadership Skill Training</v>
          </cell>
        </row>
        <row r="171">
          <cell r="F171" t="str">
            <v>Forever</v>
          </cell>
          <cell r="G171" t="str">
            <v>Department Head-MRO Finance</v>
          </cell>
        </row>
        <row r="172">
          <cell r="F172" t="str">
            <v>Forever</v>
          </cell>
          <cell r="G172" t="str">
            <v>Department Head-MRO Management</v>
          </cell>
        </row>
        <row r="173">
          <cell r="F173" t="str">
            <v>Forever</v>
          </cell>
          <cell r="G173" t="str">
            <v>Department Head-Orientation Training</v>
          </cell>
        </row>
        <row r="174">
          <cell r="F174" t="str">
            <v>2-Year</v>
          </cell>
          <cell r="G174" t="str">
            <v>Department Head-Safety Management System</v>
          </cell>
        </row>
        <row r="175">
          <cell r="F175" t="str">
            <v>Forever</v>
          </cell>
          <cell r="G175" t="str">
            <v>Department Head-Fuel Tank Safety</v>
          </cell>
        </row>
        <row r="176">
          <cell r="F176" t="str">
            <v>Forever</v>
          </cell>
          <cell r="G176" t="str">
            <v>Department Head-EWIS</v>
          </cell>
        </row>
        <row r="177">
          <cell r="F177" t="str">
            <v>Forever</v>
          </cell>
          <cell r="G177" t="str">
            <v>Department Head-Dangerous Good</v>
          </cell>
        </row>
        <row r="178">
          <cell r="F178" t="str">
            <v>Forever</v>
          </cell>
          <cell r="G178" t="str">
            <v>Division Head-Aviation Legislation Module 10</v>
          </cell>
        </row>
        <row r="179">
          <cell r="F179" t="str">
            <v>2-Year</v>
          </cell>
          <cell r="G179" t="str">
            <v>Division Head-CASR Part 145</v>
          </cell>
        </row>
        <row r="180">
          <cell r="F180" t="str">
            <v>2-Year</v>
          </cell>
          <cell r="G180" t="str">
            <v>Division Head-EASA Part 145</v>
          </cell>
        </row>
        <row r="181">
          <cell r="F181" t="str">
            <v>2-Year</v>
          </cell>
          <cell r="G181" t="str">
            <v>Division Head-EASA Part M</v>
          </cell>
        </row>
        <row r="182">
          <cell r="F182" t="str">
            <v>2-Year</v>
          </cell>
          <cell r="G182" t="str">
            <v>Division Head-FAR Part 145</v>
          </cell>
        </row>
        <row r="183">
          <cell r="F183" t="str">
            <v>Forever</v>
          </cell>
          <cell r="G183" t="str">
            <v>Division Head-GMF Quality System</v>
          </cell>
        </row>
        <row r="184">
          <cell r="F184" t="str">
            <v>2-Year</v>
          </cell>
          <cell r="G184" t="str">
            <v>Division Head-Human Factor</v>
          </cell>
        </row>
        <row r="185">
          <cell r="F185" t="str">
            <v>Forever</v>
          </cell>
          <cell r="G185" t="str">
            <v>Division Head-Leadership Skill Training</v>
          </cell>
        </row>
        <row r="186">
          <cell r="F186" t="str">
            <v>Forever</v>
          </cell>
          <cell r="G186" t="str">
            <v>Division Head-Orientation Training</v>
          </cell>
        </row>
        <row r="187">
          <cell r="F187" t="str">
            <v>2-Year</v>
          </cell>
          <cell r="G187" t="str">
            <v>Division Head-Safety Management System</v>
          </cell>
        </row>
        <row r="188">
          <cell r="F188" t="str">
            <v>Forever</v>
          </cell>
          <cell r="G188" t="str">
            <v>Division Head-Fuel Tank Safety</v>
          </cell>
        </row>
        <row r="189">
          <cell r="F189" t="str">
            <v>Forever</v>
          </cell>
          <cell r="G189" t="str">
            <v>Division Head-EWIS</v>
          </cell>
        </row>
        <row r="190">
          <cell r="F190" t="str">
            <v>Forever</v>
          </cell>
          <cell r="G190" t="str">
            <v>Division Head-Dangerous Good</v>
          </cell>
        </row>
        <row r="191">
          <cell r="F191" t="str">
            <v>2-Year</v>
          </cell>
          <cell r="G191" t="str">
            <v>Group Head-Human Factor</v>
          </cell>
        </row>
        <row r="192">
          <cell r="F192" t="str">
            <v>2-Year</v>
          </cell>
          <cell r="G192" t="str">
            <v>Group Head-Safety Management System</v>
          </cell>
        </row>
        <row r="193">
          <cell r="F193" t="str">
            <v>Forever</v>
          </cell>
          <cell r="G193" t="str">
            <v>Group Head-GMF Quality System</v>
          </cell>
        </row>
        <row r="194">
          <cell r="F194" t="str">
            <v>Forever</v>
          </cell>
          <cell r="G194" t="str">
            <v>Group Head-CASR Part 145</v>
          </cell>
        </row>
        <row r="195">
          <cell r="F195" t="str">
            <v>Forever</v>
          </cell>
          <cell r="G195" t="str">
            <v>Group Head-EASA Part 145</v>
          </cell>
        </row>
        <row r="196">
          <cell r="F196" t="str">
            <v>Forever</v>
          </cell>
          <cell r="G196" t="str">
            <v>Group Head-EASA Part M</v>
          </cell>
        </row>
        <row r="197">
          <cell r="F197" t="str">
            <v>Forever</v>
          </cell>
          <cell r="G197" t="str">
            <v>Group Head-FAR Part 145</v>
          </cell>
        </row>
        <row r="198">
          <cell r="F198" t="str">
            <v>Forever</v>
          </cell>
          <cell r="G198" t="str">
            <v>Group Head-Fuel Tank Safety</v>
          </cell>
        </row>
        <row r="199">
          <cell r="F199" t="str">
            <v>Forever</v>
          </cell>
          <cell r="G199" t="str">
            <v>Group Head-EWIS</v>
          </cell>
        </row>
        <row r="200">
          <cell r="F200" t="str">
            <v>Forever</v>
          </cell>
          <cell r="G200" t="str">
            <v>Group Head-Dangerous Good</v>
          </cell>
        </row>
        <row r="201">
          <cell r="F201" t="str">
            <v>Forever</v>
          </cell>
          <cell r="G201" t="str">
            <v>Senior Aircraft Cabin Controller-Basic Inspection</v>
          </cell>
        </row>
        <row r="202">
          <cell r="F202" t="str">
            <v>Forever</v>
          </cell>
          <cell r="G202" t="str">
            <v>Senior Aircraft Cabin Controller-Basic Supervisory Training</v>
          </cell>
        </row>
        <row r="203">
          <cell r="F203" t="str">
            <v>Forever</v>
          </cell>
          <cell r="G203" t="str">
            <v>Senior Aircraft Cabin Controller-CASR Part 145</v>
          </cell>
        </row>
        <row r="204">
          <cell r="F204" t="str">
            <v>Forever</v>
          </cell>
          <cell r="G204" t="str">
            <v>Senior Aircraft Cabin Controller-Dangerous Good</v>
          </cell>
        </row>
        <row r="205">
          <cell r="F205" t="str">
            <v>Forever</v>
          </cell>
          <cell r="G205" t="str">
            <v>Senior Aircraft Cabin Controller-EASA Part 145</v>
          </cell>
        </row>
        <row r="206">
          <cell r="F206" t="str">
            <v>Forever</v>
          </cell>
          <cell r="G206" t="str">
            <v>Senior Aircraft Cabin Controller-EASA Part M</v>
          </cell>
        </row>
        <row r="207">
          <cell r="F207" t="str">
            <v>Forever</v>
          </cell>
          <cell r="G207" t="str">
            <v>Senior Aircraft Cabin Controller-EWIS</v>
          </cell>
        </row>
        <row r="208">
          <cell r="F208" t="str">
            <v>Forever</v>
          </cell>
          <cell r="G208" t="str">
            <v>Senior Aircraft Cabin Controller-FAR Part 145</v>
          </cell>
        </row>
        <row r="209">
          <cell r="F209" t="str">
            <v>Forever</v>
          </cell>
          <cell r="G209" t="str">
            <v>Senior Aircraft Cabin Controller-Fuel Tank Safety</v>
          </cell>
        </row>
        <row r="210">
          <cell r="F210" t="str">
            <v>Forever</v>
          </cell>
          <cell r="G210" t="str">
            <v>Senior Aircraft Cabin Controller-GMF Quality System</v>
          </cell>
        </row>
        <row r="211">
          <cell r="F211" t="str">
            <v>2-Year</v>
          </cell>
          <cell r="G211" t="str">
            <v>Senior Aircraft Cabin Controller-Human Factor</v>
          </cell>
        </row>
        <row r="212">
          <cell r="F212" t="str">
            <v>Forever</v>
          </cell>
          <cell r="G212" t="str">
            <v>Senior Aircraft Cabin Controller-Orientation Training</v>
          </cell>
        </row>
        <row r="213">
          <cell r="F213" t="str">
            <v>Forever</v>
          </cell>
          <cell r="G213" t="str">
            <v>Senior Aircraft Cabin Controller-Project Management basic</v>
          </cell>
        </row>
        <row r="214">
          <cell r="F214" t="str">
            <v>2-Year</v>
          </cell>
          <cell r="G214" t="str">
            <v>Senior Aircraft Cabin Controller-Safety Management System</v>
          </cell>
        </row>
        <row r="215">
          <cell r="F215" t="str">
            <v>Forever</v>
          </cell>
          <cell r="G215" t="str">
            <v>Senior Aircraft Cabin Engineer-Basic Inspection</v>
          </cell>
        </row>
        <row r="216">
          <cell r="F216" t="str">
            <v>Forever</v>
          </cell>
          <cell r="G216" t="str">
            <v>Senior Aircraft Cabin Engineer-Basic Supervisory Training</v>
          </cell>
        </row>
        <row r="217">
          <cell r="F217" t="str">
            <v>2-Year</v>
          </cell>
          <cell r="G217" t="str">
            <v>Senior Aircraft Cabin Engineer-CASR Part 145</v>
          </cell>
        </row>
        <row r="218">
          <cell r="F218" t="str">
            <v>Forever</v>
          </cell>
          <cell r="G218" t="str">
            <v>Senior Aircraft Cabin Engineer-Dangerous Good</v>
          </cell>
        </row>
        <row r="219">
          <cell r="F219" t="str">
            <v>2-Year</v>
          </cell>
          <cell r="G219" t="str">
            <v>Senior Aircraft Cabin Engineer-EASA Part 145</v>
          </cell>
        </row>
        <row r="220">
          <cell r="F220" t="str">
            <v>2-Year</v>
          </cell>
          <cell r="G220" t="str">
            <v>Senior Aircraft Cabin Engineer-EASA Part M</v>
          </cell>
        </row>
        <row r="221">
          <cell r="F221" t="str">
            <v>2-Year</v>
          </cell>
          <cell r="G221" t="str">
            <v>Senior Aircraft Cabin Engineer-EWIS</v>
          </cell>
        </row>
        <row r="222">
          <cell r="F222" t="str">
            <v>2-Year</v>
          </cell>
          <cell r="G222" t="str">
            <v>Senior Aircraft Cabin Engineer-FAR Part 145</v>
          </cell>
        </row>
        <row r="223">
          <cell r="F223" t="str">
            <v>2-Year</v>
          </cell>
          <cell r="G223" t="str">
            <v>Senior Aircraft Cabin Engineer-Fuel Tank Safety</v>
          </cell>
        </row>
        <row r="224">
          <cell r="F224" t="str">
            <v>Forever</v>
          </cell>
          <cell r="G224" t="str">
            <v>Senior Aircraft Cabin Engineer-Fundamental Troubleshooting</v>
          </cell>
        </row>
        <row r="225">
          <cell r="F225" t="str">
            <v>2-Year</v>
          </cell>
          <cell r="G225" t="str">
            <v>Senior Aircraft Cabin Engineer-GMF Quality System</v>
          </cell>
        </row>
        <row r="226">
          <cell r="F226" t="str">
            <v>2-Year</v>
          </cell>
          <cell r="G226" t="str">
            <v>Senior Aircraft Cabin Engineer-Human Factor</v>
          </cell>
        </row>
        <row r="227">
          <cell r="F227" t="str">
            <v>Forever</v>
          </cell>
          <cell r="G227" t="str">
            <v>Senior Aircraft Cabin Engineer-Orientation Training</v>
          </cell>
        </row>
        <row r="228">
          <cell r="F228" t="str">
            <v>2-Year</v>
          </cell>
          <cell r="G228" t="str">
            <v>Senior Aircraft Cabin Engineer-Safety Management System</v>
          </cell>
        </row>
        <row r="229">
          <cell r="F229" t="str">
            <v>Forever</v>
          </cell>
          <cell r="G229" t="str">
            <v>Senior Aircraft Cabin Engineer-SWIFT Training</v>
          </cell>
        </row>
        <row r="230">
          <cell r="F230" t="str">
            <v>Forever</v>
          </cell>
          <cell r="G230" t="str">
            <v>Senior Aircraft Cabin Technician-Basic Inspection</v>
          </cell>
        </row>
        <row r="231">
          <cell r="F231" t="str">
            <v>2-Year</v>
          </cell>
          <cell r="G231" t="str">
            <v>Senior Aircraft Cabin Technician-CASR Part 145</v>
          </cell>
        </row>
        <row r="232">
          <cell r="F232" t="str">
            <v>Forever</v>
          </cell>
          <cell r="G232" t="str">
            <v>Senior Aircraft Cabin Technician-Dangerous Good</v>
          </cell>
        </row>
        <row r="233">
          <cell r="F233" t="str">
            <v>2-Year</v>
          </cell>
          <cell r="G233" t="str">
            <v>Senior Aircraft Cabin Technician-EASA Part 145</v>
          </cell>
        </row>
        <row r="234">
          <cell r="F234" t="str">
            <v>2-Year</v>
          </cell>
          <cell r="G234" t="str">
            <v>Senior Aircraft Cabin Technician-EASA Part M</v>
          </cell>
        </row>
        <row r="235">
          <cell r="F235" t="str">
            <v>2-Year</v>
          </cell>
          <cell r="G235" t="str">
            <v>Senior Aircraft Cabin Technician-EWIS</v>
          </cell>
        </row>
        <row r="236">
          <cell r="F236" t="str">
            <v>2-Year</v>
          </cell>
          <cell r="G236" t="str">
            <v>Senior Aircraft Cabin Technician-FAR Part 145</v>
          </cell>
        </row>
        <row r="237">
          <cell r="F237" t="str">
            <v>2-Year</v>
          </cell>
          <cell r="G237" t="str">
            <v>Senior Aircraft Cabin Technician-Fuel Tank Safety</v>
          </cell>
        </row>
        <row r="238">
          <cell r="F238" t="str">
            <v>2-Year</v>
          </cell>
          <cell r="G238" t="str">
            <v>Senior Aircraft Cabin Technician-GMF Quality System</v>
          </cell>
        </row>
        <row r="239">
          <cell r="F239" t="str">
            <v>2-Year</v>
          </cell>
          <cell r="G239" t="str">
            <v>Senior Aircraft Cabin Technician-Human Factor</v>
          </cell>
        </row>
        <row r="240">
          <cell r="F240" t="str">
            <v>Forever</v>
          </cell>
          <cell r="G240" t="str">
            <v>Senior Aircraft Cabin Technician-Orientation Training</v>
          </cell>
        </row>
        <row r="241">
          <cell r="F241" t="str">
            <v>2-Year</v>
          </cell>
          <cell r="G241" t="str">
            <v>Senior Aircraft Cabin Technician-Safety Management System</v>
          </cell>
        </row>
        <row r="242">
          <cell r="F242" t="str">
            <v>Forever</v>
          </cell>
          <cell r="G242" t="str">
            <v>Senior Aircraft Cabin Technician-SWIFT Training</v>
          </cell>
        </row>
        <row r="243">
          <cell r="F243" t="str">
            <v>Forever</v>
          </cell>
          <cell r="G243" t="str">
            <v>Trainee for Senior Aircraft Cabin Technician-Basic Inspection</v>
          </cell>
        </row>
        <row r="244">
          <cell r="F244" t="str">
            <v>2-Year</v>
          </cell>
          <cell r="G244" t="str">
            <v>Trainee for Senior Aircraft Cabin Technician-CASR Part 145</v>
          </cell>
        </row>
        <row r="245">
          <cell r="F245" t="str">
            <v>Forever</v>
          </cell>
          <cell r="G245" t="str">
            <v>Trainee for Senior Aircraft Cabin Technician-Dangerous Good</v>
          </cell>
        </row>
        <row r="246">
          <cell r="F246" t="str">
            <v>2-Year</v>
          </cell>
          <cell r="G246" t="str">
            <v>Trainee for Senior Aircraft Cabin Technician-EASA Part 145</v>
          </cell>
        </row>
        <row r="247">
          <cell r="F247" t="str">
            <v>2-Year</v>
          </cell>
          <cell r="G247" t="str">
            <v>Trainee for Senior Aircraft Cabin Technician-EASA Part M</v>
          </cell>
        </row>
        <row r="248">
          <cell r="F248" t="str">
            <v>2-Year</v>
          </cell>
          <cell r="G248" t="str">
            <v>Trainee for Senior Aircraft Cabin Technician-EWIS</v>
          </cell>
        </row>
        <row r="249">
          <cell r="F249" t="str">
            <v>2-Year</v>
          </cell>
          <cell r="G249" t="str">
            <v>Trainee for Senior Aircraft Cabin Technician-FAR Part 145</v>
          </cell>
        </row>
        <row r="250">
          <cell r="F250" t="str">
            <v>2-Year</v>
          </cell>
          <cell r="G250" t="str">
            <v>Trainee for Senior Aircraft Cabin Technician-Fuel Tank Safety</v>
          </cell>
        </row>
        <row r="251">
          <cell r="F251" t="str">
            <v>2-Year</v>
          </cell>
          <cell r="G251" t="str">
            <v>Trainee for Senior Aircraft Cabin Technician-GMF Quality System</v>
          </cell>
        </row>
        <row r="252">
          <cell r="F252" t="str">
            <v>2-Year</v>
          </cell>
          <cell r="G252" t="str">
            <v>Trainee for Senior Aircraft Cabin Technician-Human Factor</v>
          </cell>
        </row>
        <row r="253">
          <cell r="F253" t="str">
            <v>Forever</v>
          </cell>
          <cell r="G253" t="str">
            <v>Trainee for Senior Aircraft Cabin Technician-Orientation Training</v>
          </cell>
        </row>
        <row r="254">
          <cell r="F254" t="str">
            <v>2-Year</v>
          </cell>
          <cell r="G254" t="str">
            <v>Trainee for Senior Aircraft Cabin Technician-Safety Management System</v>
          </cell>
        </row>
        <row r="255">
          <cell r="F255" t="str">
            <v>Forever</v>
          </cell>
          <cell r="G255" t="str">
            <v>Trainee for Senior Aircraft Cabin Technician-SWIFT Training</v>
          </cell>
        </row>
        <row r="256">
          <cell r="F256" t="str">
            <v>Forever</v>
          </cell>
          <cell r="G256" t="str">
            <v>Senior Aircraft Maintenance Engineer-Basic Inspection</v>
          </cell>
        </row>
        <row r="257">
          <cell r="F257" t="str">
            <v>Forever</v>
          </cell>
          <cell r="G257" t="str">
            <v>Senior Aircraft Maintenance Engineer-Basic Supervisory Training</v>
          </cell>
        </row>
        <row r="258">
          <cell r="F258" t="str">
            <v>2-Year</v>
          </cell>
          <cell r="G258" t="str">
            <v>Senior Aircraft Maintenance Engineer-CASR Part 145</v>
          </cell>
        </row>
        <row r="259">
          <cell r="F259" t="str">
            <v>Forever</v>
          </cell>
          <cell r="G259" t="str">
            <v>Senior Aircraft Maintenance Engineer-Certifying Staff</v>
          </cell>
        </row>
        <row r="260">
          <cell r="F260" t="str">
            <v>Forever</v>
          </cell>
          <cell r="G260" t="str">
            <v>Senior Aircraft Maintenance Engineer-Dangerous Good</v>
          </cell>
        </row>
        <row r="261">
          <cell r="F261" t="str">
            <v>2-Year</v>
          </cell>
          <cell r="G261" t="str">
            <v>Senior Aircraft Maintenance Engineer-EASA Part 145</v>
          </cell>
        </row>
        <row r="262">
          <cell r="F262" t="str">
            <v>2-Year</v>
          </cell>
          <cell r="G262" t="str">
            <v>Senior Aircraft Maintenance Engineer-EASA Part M</v>
          </cell>
        </row>
        <row r="263">
          <cell r="F263" t="str">
            <v>2-Year</v>
          </cell>
          <cell r="G263" t="str">
            <v>Senior Aircraft Maintenance Engineer-FAR Part 145</v>
          </cell>
        </row>
        <row r="264">
          <cell r="F264" t="str">
            <v>2-Year</v>
          </cell>
          <cell r="G264" t="str">
            <v>Senior Aircraft Maintenance Engineer-Fuel Tank Safety</v>
          </cell>
        </row>
        <row r="265">
          <cell r="F265" t="str">
            <v>Forever</v>
          </cell>
          <cell r="G265" t="str">
            <v>Senior Aircraft Maintenance Engineer-Fundamental Troubleshooting</v>
          </cell>
        </row>
        <row r="266">
          <cell r="F266" t="str">
            <v>2-Year</v>
          </cell>
          <cell r="G266" t="str">
            <v>Senior Aircraft Maintenance Engineer-GMF Quality System</v>
          </cell>
        </row>
        <row r="267">
          <cell r="F267" t="str">
            <v>2-Year</v>
          </cell>
          <cell r="G267" t="str">
            <v>Senior Aircraft Maintenance Engineer-Human Factor</v>
          </cell>
        </row>
        <row r="268">
          <cell r="F268" t="str">
            <v>Forever</v>
          </cell>
          <cell r="G268" t="str">
            <v>Senior Aircraft Maintenance Engineer-Orientation Training</v>
          </cell>
        </row>
        <row r="269">
          <cell r="F269" t="str">
            <v>2-Year</v>
          </cell>
          <cell r="G269" t="str">
            <v>Senior Aircraft Maintenance Engineer-Safety Management System</v>
          </cell>
        </row>
        <row r="270">
          <cell r="F270" t="str">
            <v>Forever</v>
          </cell>
          <cell r="G270" t="str">
            <v>Senior Aircraft Maintenance Engineer-SWIFT Training</v>
          </cell>
        </row>
        <row r="271">
          <cell r="F271" t="str">
            <v>Forever</v>
          </cell>
          <cell r="G271" t="str">
            <v>Senior Aircraft Maintenance Engineer-Type Rating Level III Training</v>
          </cell>
        </row>
        <row r="272">
          <cell r="F272" t="str">
            <v>Forever</v>
          </cell>
          <cell r="G272" t="str">
            <v>Senior Aircraft Maintenance Planner-Aircraft Familiarization</v>
          </cell>
        </row>
        <row r="273">
          <cell r="F273" t="str">
            <v>Forever</v>
          </cell>
          <cell r="G273" t="str">
            <v>Senior Aircraft Maintenance Planner-Basic Planning</v>
          </cell>
        </row>
        <row r="274">
          <cell r="F274" t="str">
            <v>2-Year</v>
          </cell>
          <cell r="G274" t="str">
            <v>Senior Aircraft Maintenance Planner-CASR Part 145</v>
          </cell>
        </row>
        <row r="275">
          <cell r="F275" t="str">
            <v>Forever</v>
          </cell>
          <cell r="G275" t="str">
            <v>Senior Aircraft Maintenance Planner-Dangerous Good</v>
          </cell>
        </row>
        <row r="276">
          <cell r="F276" t="str">
            <v>2-Year</v>
          </cell>
          <cell r="G276" t="str">
            <v>Senior Aircraft Maintenance Planner-EASA Part 145</v>
          </cell>
        </row>
        <row r="277">
          <cell r="F277" t="str">
            <v>2-Year</v>
          </cell>
          <cell r="G277" t="str">
            <v>Senior Aircraft Maintenance Planner-EASA Part M</v>
          </cell>
        </row>
        <row r="278">
          <cell r="F278" t="str">
            <v>Forever</v>
          </cell>
          <cell r="G278" t="str">
            <v>Senior Aircraft Maintenance Planner-EWIS</v>
          </cell>
        </row>
        <row r="279">
          <cell r="F279" t="str">
            <v>2-Year</v>
          </cell>
          <cell r="G279" t="str">
            <v>Senior Aircraft Maintenance Planner-FAR Part 145</v>
          </cell>
        </row>
        <row r="280">
          <cell r="F280" t="str">
            <v>Forever</v>
          </cell>
          <cell r="G280" t="str">
            <v>Senior Aircraft Maintenance Planner-Fuel Tank Safety</v>
          </cell>
        </row>
        <row r="281">
          <cell r="F281" t="str">
            <v>Forever</v>
          </cell>
          <cell r="G281" t="str">
            <v>Senior Aircraft Maintenance Planner-GMF Quality System</v>
          </cell>
        </row>
        <row r="282">
          <cell r="F282" t="str">
            <v>2-Year</v>
          </cell>
          <cell r="G282" t="str">
            <v>Senior Aircraft Maintenance Planner-Human Factor</v>
          </cell>
        </row>
        <row r="283">
          <cell r="F283" t="str">
            <v>Forever</v>
          </cell>
          <cell r="G283" t="str">
            <v>Senior Aircraft Maintenance Planner-Orientation Training</v>
          </cell>
        </row>
        <row r="284">
          <cell r="F284" t="str">
            <v>Forever</v>
          </cell>
          <cell r="G284" t="str">
            <v>Senior Aircraft Maintenance Planner-Project Management basic</v>
          </cell>
        </row>
        <row r="285">
          <cell r="F285" t="str">
            <v>2-Year</v>
          </cell>
          <cell r="G285" t="str">
            <v>Senior Aircraft Maintenance Planner-Safety Management System</v>
          </cell>
        </row>
        <row r="286">
          <cell r="F286" t="str">
            <v>Forever</v>
          </cell>
          <cell r="G286" t="str">
            <v>Senior Aircraft Maintenance Planner-SWIFT Training</v>
          </cell>
        </row>
        <row r="287">
          <cell r="F287" t="str">
            <v>Forever</v>
          </cell>
          <cell r="G287" t="str">
            <v>Senior Aircraft Maintenance Planner-Training of Trainer</v>
          </cell>
        </row>
        <row r="288">
          <cell r="F288" t="str">
            <v>Forever</v>
          </cell>
          <cell r="G288" t="str">
            <v>Senior Aircraft Maintenance Planning Engineer-Aircraft Familiarization</v>
          </cell>
        </row>
        <row r="289">
          <cell r="F289" t="str">
            <v>Forever</v>
          </cell>
          <cell r="G289" t="str">
            <v>Senior Aircraft Maintenance Planning Engineer-Basic Engineering</v>
          </cell>
        </row>
        <row r="290">
          <cell r="F290" t="str">
            <v>2-Year</v>
          </cell>
          <cell r="G290" t="str">
            <v>Senior Aircraft Maintenance Planning Engineer-CASR Part 145</v>
          </cell>
        </row>
        <row r="291">
          <cell r="F291" t="str">
            <v>Forever</v>
          </cell>
          <cell r="G291" t="str">
            <v>Senior Aircraft Maintenance Planning Engineer-Dangerous Good</v>
          </cell>
        </row>
        <row r="292">
          <cell r="F292" t="str">
            <v>2-Year</v>
          </cell>
          <cell r="G292" t="str">
            <v>Senior Aircraft Maintenance Planning Engineer-EASA Part 145</v>
          </cell>
        </row>
        <row r="293">
          <cell r="F293" t="str">
            <v>2-Year</v>
          </cell>
          <cell r="G293" t="str">
            <v>Senior Aircraft Maintenance Planning Engineer-EASA Part M</v>
          </cell>
        </row>
        <row r="294">
          <cell r="F294" t="str">
            <v>Forever</v>
          </cell>
          <cell r="G294" t="str">
            <v>Senior Aircraft Maintenance Planning Engineer-EWIS</v>
          </cell>
        </row>
        <row r="295">
          <cell r="F295" t="str">
            <v>2-Year</v>
          </cell>
          <cell r="G295" t="str">
            <v>Senior Aircraft Maintenance Planning Engineer-FAR Part 145</v>
          </cell>
        </row>
        <row r="296">
          <cell r="F296" t="str">
            <v>Forever</v>
          </cell>
          <cell r="G296" t="str">
            <v>Senior Aircraft Maintenance Planning Engineer-Fuel Tank Safety</v>
          </cell>
        </row>
        <row r="297">
          <cell r="F297" t="str">
            <v>Forever</v>
          </cell>
          <cell r="G297" t="str">
            <v>Senior Aircraft Maintenance Planning Engineer-GMF Quality System</v>
          </cell>
        </row>
        <row r="298">
          <cell r="F298" t="str">
            <v>2-Year</v>
          </cell>
          <cell r="G298" t="str">
            <v>Senior Aircraft Maintenance Planning Engineer-Human Factor</v>
          </cell>
        </row>
        <row r="299">
          <cell r="F299" t="str">
            <v>Forever</v>
          </cell>
          <cell r="G299" t="str">
            <v>Senior Aircraft Maintenance Planning Engineer-Orientation Training</v>
          </cell>
        </row>
        <row r="300">
          <cell r="F300" t="str">
            <v>Forever</v>
          </cell>
          <cell r="G300" t="str">
            <v>Senior Aircraft Maintenance Planning Engineer-Project Management basic</v>
          </cell>
        </row>
        <row r="301">
          <cell r="F301" t="str">
            <v>2-Year</v>
          </cell>
          <cell r="G301" t="str">
            <v>Senior Aircraft Maintenance Planning Engineer-Safety Management System</v>
          </cell>
        </row>
        <row r="302">
          <cell r="F302" t="str">
            <v>Forever</v>
          </cell>
          <cell r="G302" t="str">
            <v>Senior Aircraft Maintenance Planning Engineer-SWIFT Training</v>
          </cell>
        </row>
        <row r="303">
          <cell r="F303" t="str">
            <v>Forever</v>
          </cell>
          <cell r="G303" t="str">
            <v>Senior Aircraft Maintenance Planning Engineer-Training of Trainer</v>
          </cell>
        </row>
        <row r="304">
          <cell r="F304" t="str">
            <v>2-Year</v>
          </cell>
          <cell r="G304" t="str">
            <v>ASSISTANT STAFF OFFICER-Human Factor</v>
          </cell>
        </row>
        <row r="305">
          <cell r="F305" t="str">
            <v>2-Year</v>
          </cell>
          <cell r="G305" t="str">
            <v>ASSISTANT STAFF OFFICER-Safety Management System</v>
          </cell>
        </row>
        <row r="306">
          <cell r="F306" t="str">
            <v>Forever</v>
          </cell>
          <cell r="G306" t="str">
            <v>ASSISTANT STAFF OFFICER-GMF Quality System</v>
          </cell>
        </row>
        <row r="307">
          <cell r="F307" t="str">
            <v>Forever</v>
          </cell>
          <cell r="G307" t="str">
            <v>ASSISTANT STAFF OFFICER-CASR Part 145</v>
          </cell>
        </row>
        <row r="308">
          <cell r="F308" t="str">
            <v>Forever</v>
          </cell>
          <cell r="G308" t="str">
            <v>ASSISTANT STAFF OFFICER-Dangerous Good</v>
          </cell>
        </row>
        <row r="309">
          <cell r="F309" t="str">
            <v>Forever</v>
          </cell>
          <cell r="G309" t="str">
            <v>ASSISTANT STAFF OFFICER-EASA Part 145</v>
          </cell>
        </row>
        <row r="310">
          <cell r="F310" t="str">
            <v>Forever</v>
          </cell>
          <cell r="G310" t="str">
            <v>ASSISTANT STAFF OFFICER-EASA Part M</v>
          </cell>
        </row>
        <row r="311">
          <cell r="F311" t="str">
            <v>Forever</v>
          </cell>
          <cell r="G311" t="str">
            <v>ASSISTANT STAFF OFFICER-EWIS</v>
          </cell>
        </row>
        <row r="312">
          <cell r="F312" t="str">
            <v>Forever</v>
          </cell>
          <cell r="G312" t="str">
            <v>ASSISTANT STAFF OFFICER-FAR Part 145</v>
          </cell>
        </row>
        <row r="313">
          <cell r="F313" t="str">
            <v>Forever</v>
          </cell>
          <cell r="G313" t="str">
            <v>ASSISTANT STAFF OFFICER-Fuel Tank Safety</v>
          </cell>
        </row>
        <row r="314">
          <cell r="F314" t="str">
            <v>Forever</v>
          </cell>
          <cell r="G314" t="str">
            <v>Senior Aircraft Maintenance Technician-ADTH</v>
          </cell>
        </row>
        <row r="315">
          <cell r="F315" t="str">
            <v>Forever</v>
          </cell>
          <cell r="G315" t="str">
            <v>Senior Aircraft Maintenance Technician-Basic Inspection</v>
          </cell>
        </row>
        <row r="316">
          <cell r="F316" t="str">
            <v>2-Year</v>
          </cell>
          <cell r="G316" t="str">
            <v>Senior Aircraft Maintenance Technician-CASR Part 145</v>
          </cell>
        </row>
        <row r="317">
          <cell r="F317" t="str">
            <v>Forever</v>
          </cell>
          <cell r="G317" t="str">
            <v>Senior Aircraft Maintenance Technician-Dangerous Good</v>
          </cell>
        </row>
        <row r="318">
          <cell r="F318" t="str">
            <v>2-Year</v>
          </cell>
          <cell r="G318" t="str">
            <v>Senior Aircraft Maintenance Technician-EASA Part 145</v>
          </cell>
        </row>
        <row r="319">
          <cell r="F319" t="str">
            <v>2-Year</v>
          </cell>
          <cell r="G319" t="str">
            <v>Senior Aircraft Maintenance Technician-EASA Part M</v>
          </cell>
        </row>
        <row r="320">
          <cell r="F320" t="str">
            <v>2-Year</v>
          </cell>
          <cell r="G320" t="str">
            <v>Senior Aircraft Maintenance Technician-EWIS</v>
          </cell>
        </row>
        <row r="321">
          <cell r="F321" t="str">
            <v>2-Year</v>
          </cell>
          <cell r="G321" t="str">
            <v>Senior Aircraft Maintenance Technician-FAR Part 145</v>
          </cell>
        </row>
        <row r="322">
          <cell r="F322" t="str">
            <v>2-Year</v>
          </cell>
          <cell r="G322" t="str">
            <v>Senior Aircraft Maintenance Technician-Fuel Tank Safety</v>
          </cell>
        </row>
        <row r="323">
          <cell r="F323" t="str">
            <v>2-Year</v>
          </cell>
          <cell r="G323" t="str">
            <v>Senior Aircraft Maintenance Technician-GMF Quality System</v>
          </cell>
        </row>
        <row r="324">
          <cell r="F324" t="str">
            <v>2-Year</v>
          </cell>
          <cell r="G324" t="str">
            <v>Senior Aircraft Maintenance Technician-Human Factor</v>
          </cell>
        </row>
        <row r="325">
          <cell r="F325" t="str">
            <v>Forever</v>
          </cell>
          <cell r="G325" t="str">
            <v>Senior Aircraft Maintenance Technician-Orientation Training</v>
          </cell>
        </row>
        <row r="326">
          <cell r="F326" t="str">
            <v>2-Year</v>
          </cell>
          <cell r="G326" t="str">
            <v>Senior Aircraft Maintenance Technician-Safety Management System</v>
          </cell>
        </row>
        <row r="327">
          <cell r="F327" t="str">
            <v>Forever</v>
          </cell>
          <cell r="G327" t="str">
            <v>Senior Aircraft Maintenance Technician-SWIFT Training</v>
          </cell>
        </row>
        <row r="328">
          <cell r="F328" t="str">
            <v>Forever</v>
          </cell>
          <cell r="G328" t="str">
            <v>Senior Aircraft Maintenance Technician-Type Rating Level III Training</v>
          </cell>
        </row>
      </sheetData>
      <sheetData sheetId="4">
        <row r="1">
          <cell r="B1" t="str">
            <v>Job Title</v>
          </cell>
          <cell r="F1" t="str">
            <v>Validity (Days)</v>
          </cell>
          <cell r="G1" t="str">
            <v>Key</v>
          </cell>
        </row>
        <row r="2">
          <cell r="F2" t="str">
            <v>Forever</v>
          </cell>
          <cell r="G2" t="str">
            <v>Aircraft Cabin Controller-Aircraft Exterior &amp; Interior Cleaning</v>
          </cell>
        </row>
        <row r="3">
          <cell r="F3" t="str">
            <v>Forever</v>
          </cell>
          <cell r="G3" t="str">
            <v>Aircraft Cabin Controller-Aircraft Familiarization</v>
          </cell>
        </row>
        <row r="4">
          <cell r="F4" t="str">
            <v>Forever</v>
          </cell>
          <cell r="G4" t="str">
            <v>Aircraft Cabin Controller-Basic Inspection</v>
          </cell>
        </row>
        <row r="5">
          <cell r="F5" t="str">
            <v>Forever</v>
          </cell>
          <cell r="G5" t="str">
            <v>Aircraft Cabin Controller-CASR Part 145</v>
          </cell>
        </row>
        <row r="6">
          <cell r="F6" t="str">
            <v>Forever</v>
          </cell>
          <cell r="G6" t="str">
            <v>Aircraft Cabin Controller-Dangerous Good</v>
          </cell>
        </row>
        <row r="7">
          <cell r="F7" t="str">
            <v>Forever</v>
          </cell>
          <cell r="G7" t="str">
            <v>Aircraft Cabin Controller-EASA Part 145</v>
          </cell>
        </row>
        <row r="8">
          <cell r="F8" t="str">
            <v>Forever</v>
          </cell>
          <cell r="G8" t="str">
            <v>Aircraft Cabin Controller-EASA Part M</v>
          </cell>
        </row>
        <row r="9">
          <cell r="F9" t="str">
            <v>Forever</v>
          </cell>
          <cell r="G9" t="str">
            <v>Aircraft Cabin Controller-EWIS</v>
          </cell>
        </row>
        <row r="10">
          <cell r="F10" t="str">
            <v>Forever</v>
          </cell>
          <cell r="G10" t="str">
            <v>Aircraft Cabin Controller-FAR Part 145</v>
          </cell>
        </row>
        <row r="11">
          <cell r="F11" t="str">
            <v>Forever</v>
          </cell>
          <cell r="G11" t="str">
            <v>Aircraft Cabin Controller-Fuel Tank Safety</v>
          </cell>
        </row>
        <row r="12">
          <cell r="F12" t="str">
            <v>Forever</v>
          </cell>
          <cell r="G12" t="str">
            <v>Aircraft Cabin Controller-GMF Quality System</v>
          </cell>
        </row>
        <row r="13">
          <cell r="F13" t="str">
            <v>2-Year</v>
          </cell>
          <cell r="G13" t="str">
            <v>Aircraft Cabin Controller-Human Factor</v>
          </cell>
        </row>
        <row r="14">
          <cell r="F14" t="str">
            <v>Forever</v>
          </cell>
          <cell r="G14" t="str">
            <v>Aircraft Cabin Controller-Orientation Training</v>
          </cell>
        </row>
        <row r="15">
          <cell r="F15" t="str">
            <v>2-Year</v>
          </cell>
          <cell r="G15" t="str">
            <v>Aircraft Cabin Controller-Safety Management System</v>
          </cell>
        </row>
        <row r="16">
          <cell r="F16" t="str">
            <v>Forever</v>
          </cell>
          <cell r="G16" t="str">
            <v>OJT to Aircraft Cabin Controller-Aircraft Exterior &amp; Interior Cleaning</v>
          </cell>
        </row>
        <row r="17">
          <cell r="F17" t="str">
            <v>Forever</v>
          </cell>
          <cell r="G17" t="str">
            <v>OJT to Aircraft Cabin Controller-Aircraft Familiarization</v>
          </cell>
        </row>
        <row r="18">
          <cell r="F18" t="str">
            <v>Forever</v>
          </cell>
          <cell r="G18" t="str">
            <v>OJT to Aircraft Cabin Controller-Basic Inspection</v>
          </cell>
        </row>
        <row r="19">
          <cell r="F19" t="str">
            <v>Forever</v>
          </cell>
          <cell r="G19" t="str">
            <v>OJT to Aircraft Cabin Controller-CASR Part 145</v>
          </cell>
        </row>
        <row r="20">
          <cell r="F20" t="str">
            <v>Forever</v>
          </cell>
          <cell r="G20" t="str">
            <v>OJT to Aircraft Cabin Controller-Dangerous Good</v>
          </cell>
        </row>
        <row r="21">
          <cell r="F21" t="str">
            <v>Forever</v>
          </cell>
          <cell r="G21" t="str">
            <v>OJT to Aircraft Cabin Controller-EASA Part 145</v>
          </cell>
        </row>
        <row r="22">
          <cell r="F22" t="str">
            <v>Forever</v>
          </cell>
          <cell r="G22" t="str">
            <v>OJT to Aircraft Cabin Controller-EASA Part M</v>
          </cell>
        </row>
        <row r="23">
          <cell r="F23" t="str">
            <v>Forever</v>
          </cell>
          <cell r="G23" t="str">
            <v>OJT to Aircraft Cabin Controller-EWIS</v>
          </cell>
        </row>
        <row r="24">
          <cell r="F24" t="str">
            <v>Forever</v>
          </cell>
          <cell r="G24" t="str">
            <v>OJT to Aircraft Cabin Controller-FAR Part 145</v>
          </cell>
        </row>
        <row r="25">
          <cell r="F25" t="str">
            <v>Forever</v>
          </cell>
          <cell r="G25" t="str">
            <v>OJT to Aircraft Cabin Controller-Fuel Tank Safety</v>
          </cell>
        </row>
        <row r="26">
          <cell r="F26" t="str">
            <v>Forever</v>
          </cell>
          <cell r="G26" t="str">
            <v>OJT to Aircraft Cabin Controller-GMF Quality System</v>
          </cell>
        </row>
        <row r="27">
          <cell r="F27" t="str">
            <v>2-Year</v>
          </cell>
          <cell r="G27" t="str">
            <v>OJT to Aircraft Cabin Controller-Human Factor</v>
          </cell>
        </row>
        <row r="28">
          <cell r="F28" t="str">
            <v>Forever</v>
          </cell>
          <cell r="G28" t="str">
            <v>OJT to Aircraft Cabin Controller-Orientation Training</v>
          </cell>
        </row>
        <row r="29">
          <cell r="F29" t="str">
            <v>2-Year</v>
          </cell>
          <cell r="G29" t="str">
            <v>OJT to Aircraft Cabin Controller-Safety Management System</v>
          </cell>
        </row>
        <row r="30">
          <cell r="F30" t="str">
            <v>Forever</v>
          </cell>
          <cell r="G30" t="str">
            <v>Aircraft Cabin Engineer-Basic Inspection</v>
          </cell>
        </row>
        <row r="31">
          <cell r="F31" t="str">
            <v>Forever</v>
          </cell>
          <cell r="G31" t="str">
            <v>Aircraft Cabin Engineer-Basic Supervisory Training</v>
          </cell>
        </row>
        <row r="32">
          <cell r="F32" t="str">
            <v>2-Year</v>
          </cell>
          <cell r="G32" t="str">
            <v>Aircraft Cabin Engineer-CASR Part 145</v>
          </cell>
        </row>
        <row r="33">
          <cell r="F33" t="str">
            <v>Forever</v>
          </cell>
          <cell r="G33" t="str">
            <v>Aircraft Cabin Engineer-Dangerous Good</v>
          </cell>
        </row>
        <row r="34">
          <cell r="F34" t="str">
            <v>2-Year</v>
          </cell>
          <cell r="G34" t="str">
            <v>Aircraft Cabin Engineer-EASA Part 145</v>
          </cell>
        </row>
        <row r="35">
          <cell r="F35" t="str">
            <v>2-Year</v>
          </cell>
          <cell r="G35" t="str">
            <v>Aircraft Cabin Engineer-EASA Part M</v>
          </cell>
        </row>
        <row r="36">
          <cell r="F36" t="str">
            <v>2-Year</v>
          </cell>
          <cell r="G36" t="str">
            <v>Aircraft Cabin Engineer-EWIS</v>
          </cell>
        </row>
        <row r="37">
          <cell r="F37" t="str">
            <v>2-Year</v>
          </cell>
          <cell r="G37" t="str">
            <v>Aircraft Cabin Engineer-FAR Part 145</v>
          </cell>
        </row>
        <row r="38">
          <cell r="F38" t="str">
            <v>2-Year</v>
          </cell>
          <cell r="G38" t="str">
            <v>Aircraft Cabin Engineer-Fuel Tank Safety</v>
          </cell>
        </row>
        <row r="39">
          <cell r="F39" t="str">
            <v>Forever</v>
          </cell>
          <cell r="G39" t="str">
            <v>Aircraft Cabin Engineer-Fundamental Troubleshooting</v>
          </cell>
        </row>
        <row r="40">
          <cell r="F40" t="str">
            <v>2-Year</v>
          </cell>
          <cell r="G40" t="str">
            <v>Aircraft Cabin Engineer-GMF Quality System</v>
          </cell>
        </row>
        <row r="41">
          <cell r="F41" t="str">
            <v>2-Year</v>
          </cell>
          <cell r="G41" t="str">
            <v>Aircraft Cabin Engineer-Human Factor</v>
          </cell>
        </row>
        <row r="42">
          <cell r="F42" t="str">
            <v>Forever</v>
          </cell>
          <cell r="G42" t="str">
            <v>Aircraft Cabin Engineer-Orientation Training</v>
          </cell>
        </row>
        <row r="43">
          <cell r="F43" t="str">
            <v>2-Year</v>
          </cell>
          <cell r="G43" t="str">
            <v>Aircraft Cabin Engineer-Safety Management System</v>
          </cell>
        </row>
        <row r="44">
          <cell r="F44" t="str">
            <v>Forever</v>
          </cell>
          <cell r="G44" t="str">
            <v>Aircraft Cabin Engineer-SWIFT Training</v>
          </cell>
        </row>
        <row r="45">
          <cell r="F45" t="str">
            <v>Forever</v>
          </cell>
          <cell r="G45" t="str">
            <v>OJT to Aircraft Cabin Engineer-Basic Inspection</v>
          </cell>
        </row>
        <row r="46">
          <cell r="F46" t="str">
            <v>Forever</v>
          </cell>
          <cell r="G46" t="str">
            <v>OJT to Aircraft Cabin Engineer-Basic Supervisory Training</v>
          </cell>
        </row>
        <row r="47">
          <cell r="F47" t="str">
            <v>2-Year</v>
          </cell>
          <cell r="G47" t="str">
            <v>OJT to Aircraft Cabin Engineer-CASR Part 145</v>
          </cell>
        </row>
        <row r="48">
          <cell r="F48" t="str">
            <v>Forever</v>
          </cell>
          <cell r="G48" t="str">
            <v>OJT to Aircraft Cabin Engineer-Dangerous Good</v>
          </cell>
        </row>
        <row r="49">
          <cell r="F49" t="str">
            <v>2-Year</v>
          </cell>
          <cell r="G49" t="str">
            <v>OJT to Aircraft Cabin Engineer-EASA Part 145</v>
          </cell>
        </row>
        <row r="50">
          <cell r="F50" t="str">
            <v>2-Year</v>
          </cell>
          <cell r="G50" t="str">
            <v>OJT to Aircraft Cabin Engineer-EASA Part M</v>
          </cell>
        </row>
        <row r="51">
          <cell r="F51" t="str">
            <v>2-Year</v>
          </cell>
          <cell r="G51" t="str">
            <v>OJT to Aircraft Cabin Engineer-EWIS</v>
          </cell>
        </row>
        <row r="52">
          <cell r="F52" t="str">
            <v>2-Year</v>
          </cell>
          <cell r="G52" t="str">
            <v>OJT to Aircraft Cabin Engineer-FAR Part 145</v>
          </cell>
        </row>
        <row r="53">
          <cell r="F53" t="str">
            <v>2-Year</v>
          </cell>
          <cell r="G53" t="str">
            <v>OJT to Aircraft Cabin Engineer-Fuel Tank Safety</v>
          </cell>
        </row>
        <row r="54">
          <cell r="F54" t="str">
            <v>Forever</v>
          </cell>
          <cell r="G54" t="str">
            <v>OJT to Aircraft Cabin Engineer-Fundamental Troubleshooting</v>
          </cell>
        </row>
        <row r="55">
          <cell r="F55" t="str">
            <v>2-Year</v>
          </cell>
          <cell r="G55" t="str">
            <v>OJT to Aircraft Cabin Engineer-GMF Quality System</v>
          </cell>
        </row>
        <row r="56">
          <cell r="F56" t="str">
            <v>2-Year</v>
          </cell>
          <cell r="G56" t="str">
            <v>OJT to Aircraft Cabin Engineer-Human Factor</v>
          </cell>
        </row>
        <row r="57">
          <cell r="F57" t="str">
            <v>Forever</v>
          </cell>
          <cell r="G57" t="str">
            <v>OJT to Aircraft Cabin Engineer-Orientation Training</v>
          </cell>
        </row>
        <row r="58">
          <cell r="F58" t="str">
            <v>2-Year</v>
          </cell>
          <cell r="G58" t="str">
            <v>OJT to Aircraft Cabin Engineer-Safety Management System</v>
          </cell>
        </row>
        <row r="59">
          <cell r="F59" t="str">
            <v>Forever</v>
          </cell>
          <cell r="G59" t="str">
            <v>OJT to Aircraft Cabin Engineer-SWIFT Training</v>
          </cell>
        </row>
        <row r="60">
          <cell r="F60" t="str">
            <v>Forever</v>
          </cell>
          <cell r="G60" t="str">
            <v>Aircraft Cabin Technician-ADTH</v>
          </cell>
        </row>
        <row r="61">
          <cell r="F61" t="str">
            <v>2-Year</v>
          </cell>
          <cell r="G61" t="str">
            <v>Aircraft Cabin Technician-CASR Part 145</v>
          </cell>
        </row>
        <row r="62">
          <cell r="F62" t="str">
            <v>Forever</v>
          </cell>
          <cell r="G62" t="str">
            <v>Aircraft Cabin Technician-Dangerous Good</v>
          </cell>
        </row>
        <row r="63">
          <cell r="F63" t="str">
            <v>2-Year</v>
          </cell>
          <cell r="G63" t="str">
            <v>Aircraft Cabin Technician-EASA Part 145</v>
          </cell>
        </row>
        <row r="64">
          <cell r="F64" t="str">
            <v>2-Year</v>
          </cell>
          <cell r="G64" t="str">
            <v>Aircraft Cabin Technician-EASA Part M</v>
          </cell>
        </row>
        <row r="65">
          <cell r="F65" t="str">
            <v>2-Year</v>
          </cell>
          <cell r="G65" t="str">
            <v>Aircraft Cabin Technician-EWIS</v>
          </cell>
        </row>
        <row r="66">
          <cell r="F66" t="str">
            <v>2-Year</v>
          </cell>
          <cell r="G66" t="str">
            <v>Aircraft Cabin Technician-FAR Part 145</v>
          </cell>
        </row>
        <row r="67">
          <cell r="F67" t="str">
            <v>2-Year</v>
          </cell>
          <cell r="G67" t="str">
            <v>Aircraft Cabin Technician-Fuel Tank Safety</v>
          </cell>
        </row>
        <row r="68">
          <cell r="F68" t="str">
            <v>2-Year</v>
          </cell>
          <cell r="G68" t="str">
            <v>Aircraft Cabin Technician-GMF Quality System</v>
          </cell>
        </row>
        <row r="69">
          <cell r="F69" t="str">
            <v>2-Year</v>
          </cell>
          <cell r="G69" t="str">
            <v>Aircraft Cabin Technician-Human Factor</v>
          </cell>
        </row>
        <row r="70">
          <cell r="F70" t="str">
            <v>Forever</v>
          </cell>
          <cell r="G70" t="str">
            <v>Aircraft Cabin Technician-Orientation Training</v>
          </cell>
        </row>
        <row r="71">
          <cell r="F71" t="str">
            <v>2-Year</v>
          </cell>
          <cell r="G71" t="str">
            <v>Aircraft Cabin Technician-Safety Management System</v>
          </cell>
        </row>
        <row r="72">
          <cell r="F72" t="str">
            <v>2-Year</v>
          </cell>
          <cell r="G72" t="str">
            <v>Aircraft Cabin Technician (PKWT NP)-Human Factor</v>
          </cell>
        </row>
        <row r="73">
          <cell r="F73" t="str">
            <v>2-Year</v>
          </cell>
          <cell r="G73" t="str">
            <v>Aircraft Cabin Technician (PKWT NP)-Safety Management System</v>
          </cell>
        </row>
        <row r="74">
          <cell r="F74" t="str">
            <v>Forever</v>
          </cell>
          <cell r="G74" t="str">
            <v>Aircraft Cabin Technician (PKWT NP)-GMF Quality System</v>
          </cell>
        </row>
        <row r="75">
          <cell r="F75" t="str">
            <v>Forever</v>
          </cell>
          <cell r="G75" t="str">
            <v>Aircraft Maintenance Engineer-Basic Inspection</v>
          </cell>
        </row>
        <row r="76">
          <cell r="F76" t="str">
            <v>Forever</v>
          </cell>
          <cell r="G76" t="str">
            <v>Aircraft Maintenance Engineer-Basic Supervisory Training</v>
          </cell>
        </row>
        <row r="77">
          <cell r="F77" t="str">
            <v>2-Year</v>
          </cell>
          <cell r="G77" t="str">
            <v>Aircraft Maintenance Engineer-CASR Part 145</v>
          </cell>
        </row>
        <row r="78">
          <cell r="F78" t="str">
            <v>Forever</v>
          </cell>
          <cell r="G78" t="str">
            <v>Aircraft Maintenance Engineer-Certifying Staff</v>
          </cell>
        </row>
        <row r="79">
          <cell r="F79" t="str">
            <v>Forever</v>
          </cell>
          <cell r="G79" t="str">
            <v>Aircraft Maintenance Engineer-Dangerous Good</v>
          </cell>
        </row>
        <row r="80">
          <cell r="F80" t="str">
            <v>2-Year</v>
          </cell>
          <cell r="G80" t="str">
            <v>Aircraft Maintenance Engineer-EASA Part 145</v>
          </cell>
        </row>
        <row r="81">
          <cell r="F81" t="str">
            <v>2-Year</v>
          </cell>
          <cell r="G81" t="str">
            <v>Aircraft Maintenance Engineer-EASA Part M</v>
          </cell>
        </row>
        <row r="82">
          <cell r="F82" t="str">
            <v>2-Year</v>
          </cell>
          <cell r="G82" t="str">
            <v>Aircraft Maintenance Engineer-EWIS</v>
          </cell>
        </row>
        <row r="83">
          <cell r="F83" t="str">
            <v>2-Year</v>
          </cell>
          <cell r="G83" t="str">
            <v>Aircraft Maintenance Engineer-FAR Part 145</v>
          </cell>
        </row>
        <row r="84">
          <cell r="F84" t="str">
            <v>2-Year</v>
          </cell>
          <cell r="G84" t="str">
            <v>Aircraft Maintenance Engineer-Fuel Tank Safety</v>
          </cell>
        </row>
        <row r="85">
          <cell r="F85" t="str">
            <v>Forever</v>
          </cell>
          <cell r="G85" t="str">
            <v>Aircraft Maintenance Engineer-Fundamental Troubleshooting</v>
          </cell>
        </row>
        <row r="86">
          <cell r="F86" t="str">
            <v>2-Year</v>
          </cell>
          <cell r="G86" t="str">
            <v>Aircraft Maintenance Engineer-GMF Quality System</v>
          </cell>
        </row>
        <row r="87">
          <cell r="F87" t="str">
            <v>2-Year</v>
          </cell>
          <cell r="G87" t="str">
            <v>Aircraft Maintenance Engineer-Human Factor</v>
          </cell>
        </row>
        <row r="88">
          <cell r="F88" t="str">
            <v>Forever</v>
          </cell>
          <cell r="G88" t="str">
            <v>Aircraft Maintenance Engineer-Orientation Training</v>
          </cell>
        </row>
        <row r="89">
          <cell r="F89" t="str">
            <v>2-Year</v>
          </cell>
          <cell r="G89" t="str">
            <v>Aircraft Maintenance Engineer-Safety Management System</v>
          </cell>
        </row>
        <row r="90">
          <cell r="F90" t="str">
            <v>Forever</v>
          </cell>
          <cell r="G90" t="str">
            <v>Aircraft Maintenance Engineer-SWIFT Training</v>
          </cell>
        </row>
        <row r="91">
          <cell r="F91" t="str">
            <v>Forever</v>
          </cell>
          <cell r="G91" t="str">
            <v>Aircraft Maintenance Engineer-Type Rating Level III Training</v>
          </cell>
        </row>
        <row r="92">
          <cell r="F92" t="str">
            <v>Forever</v>
          </cell>
          <cell r="G92" t="str">
            <v>Aircraft Maintenance Planner-Aircraft Familiarization</v>
          </cell>
        </row>
        <row r="93">
          <cell r="F93" t="str">
            <v>Forever</v>
          </cell>
          <cell r="G93" t="str">
            <v>Aircraft Maintenance Planner-Basic Planning</v>
          </cell>
        </row>
        <row r="94">
          <cell r="F94" t="str">
            <v>2-Year</v>
          </cell>
          <cell r="G94" t="str">
            <v>Aircraft Maintenance Planner-CASR Part 145</v>
          </cell>
        </row>
        <row r="95">
          <cell r="F95" t="str">
            <v>Forever</v>
          </cell>
          <cell r="G95" t="str">
            <v>Aircraft Maintenance Planner-Dangerous Good</v>
          </cell>
        </row>
        <row r="96">
          <cell r="F96" t="str">
            <v>2-Year</v>
          </cell>
          <cell r="G96" t="str">
            <v>Aircraft Maintenance Planner-EASA Part 145</v>
          </cell>
        </row>
        <row r="97">
          <cell r="F97" t="str">
            <v>2-Year</v>
          </cell>
          <cell r="G97" t="str">
            <v>Aircraft Maintenance Planner-EASA Part M</v>
          </cell>
        </row>
        <row r="98">
          <cell r="F98" t="str">
            <v>Forever</v>
          </cell>
          <cell r="G98" t="str">
            <v>Aircraft Maintenance Planner-EWIS</v>
          </cell>
        </row>
        <row r="99">
          <cell r="F99" t="str">
            <v>2-Year</v>
          </cell>
          <cell r="G99" t="str">
            <v>Aircraft Maintenance Planner-FAR Part 145</v>
          </cell>
        </row>
        <row r="100">
          <cell r="F100" t="str">
            <v>Forever</v>
          </cell>
          <cell r="G100" t="str">
            <v>Aircraft Maintenance Planner-Fuel Tank Safety</v>
          </cell>
        </row>
        <row r="101">
          <cell r="F101" t="str">
            <v>Forever</v>
          </cell>
          <cell r="G101" t="str">
            <v>Aircraft Maintenance Planner-GMF Quality System</v>
          </cell>
        </row>
        <row r="102">
          <cell r="F102" t="str">
            <v>2-Year</v>
          </cell>
          <cell r="G102" t="str">
            <v>Aircraft Maintenance Planner-Human Factor</v>
          </cell>
        </row>
        <row r="103">
          <cell r="F103" t="str">
            <v>Forever</v>
          </cell>
          <cell r="G103" t="str">
            <v>Aircraft Maintenance Planner-Orientation Training</v>
          </cell>
        </row>
        <row r="104">
          <cell r="F104" t="str">
            <v>2-Year</v>
          </cell>
          <cell r="G104" t="str">
            <v>Aircraft Maintenance Planner-Safety Management System</v>
          </cell>
        </row>
        <row r="105">
          <cell r="F105" t="str">
            <v>Forever</v>
          </cell>
          <cell r="G105" t="str">
            <v>Aircraft Maintenance Planner-SWIFT Training</v>
          </cell>
        </row>
        <row r="106">
          <cell r="F106" t="str">
            <v>Forever</v>
          </cell>
          <cell r="G106" t="str">
            <v>Production Support Officer-Aircraft Familiarization</v>
          </cell>
        </row>
        <row r="107">
          <cell r="F107" t="str">
            <v>Forever</v>
          </cell>
          <cell r="G107" t="str">
            <v>Production Support Officer-Basic Planning</v>
          </cell>
        </row>
        <row r="108">
          <cell r="F108" t="str">
            <v>2-Year</v>
          </cell>
          <cell r="G108" t="str">
            <v>Production Support Officer-CASR Part 145</v>
          </cell>
        </row>
        <row r="109">
          <cell r="F109" t="str">
            <v>Forever</v>
          </cell>
          <cell r="G109" t="str">
            <v>Production Support Officer-Dangerous Good</v>
          </cell>
        </row>
        <row r="110">
          <cell r="F110" t="str">
            <v>2-Year</v>
          </cell>
          <cell r="G110" t="str">
            <v>Production Support Officer-EASA Part 145</v>
          </cell>
        </row>
        <row r="111">
          <cell r="F111" t="str">
            <v>2-Year</v>
          </cell>
          <cell r="G111" t="str">
            <v>Production Support Officer-EASA Part M</v>
          </cell>
        </row>
        <row r="112">
          <cell r="F112" t="str">
            <v>Forever</v>
          </cell>
          <cell r="G112" t="str">
            <v>Production Support Officer-EWIS</v>
          </cell>
        </row>
        <row r="113">
          <cell r="F113" t="str">
            <v>2-Year</v>
          </cell>
          <cell r="G113" t="str">
            <v>Production Support Officer-FAR Part 145</v>
          </cell>
        </row>
        <row r="114">
          <cell r="F114" t="str">
            <v>Forever</v>
          </cell>
          <cell r="G114" t="str">
            <v>Production Support Officer-Fuel Tank Safety</v>
          </cell>
        </row>
        <row r="115">
          <cell r="F115" t="str">
            <v>Forever</v>
          </cell>
          <cell r="G115" t="str">
            <v>Production Support Officer-GMF Quality System</v>
          </cell>
        </row>
        <row r="116">
          <cell r="F116" t="str">
            <v>2-Year</v>
          </cell>
          <cell r="G116" t="str">
            <v>Production Support Officer-Human Factor</v>
          </cell>
        </row>
        <row r="117">
          <cell r="F117" t="str">
            <v>Forever</v>
          </cell>
          <cell r="G117" t="str">
            <v>Production Support Officer-Orientation Training</v>
          </cell>
        </row>
        <row r="118">
          <cell r="F118" t="str">
            <v>2-Year</v>
          </cell>
          <cell r="G118" t="str">
            <v>Production Support Officer-Safety Management System</v>
          </cell>
        </row>
        <row r="119">
          <cell r="F119" t="str">
            <v>Forever</v>
          </cell>
          <cell r="G119" t="str">
            <v>Production Support Officer-SWIFT Training</v>
          </cell>
        </row>
        <row r="120">
          <cell r="F120" t="str">
            <v>Forever</v>
          </cell>
          <cell r="G120" t="str">
            <v>Aircraft Maintenance Planning Engineer-Aircraft Familiarization</v>
          </cell>
        </row>
        <row r="121">
          <cell r="F121" t="str">
            <v>Forever</v>
          </cell>
          <cell r="G121" t="str">
            <v>Aircraft Maintenance Planning Engineer-Basic Engineering</v>
          </cell>
        </row>
        <row r="122">
          <cell r="F122" t="str">
            <v>2-Year</v>
          </cell>
          <cell r="G122" t="str">
            <v>Aircraft Maintenance Planning Engineer-CASR Part 145</v>
          </cell>
        </row>
        <row r="123">
          <cell r="F123" t="str">
            <v>Forever</v>
          </cell>
          <cell r="G123" t="str">
            <v>Aircraft Maintenance Planning Engineer-Dangerous Good</v>
          </cell>
        </row>
        <row r="124">
          <cell r="F124" t="str">
            <v>2-Year</v>
          </cell>
          <cell r="G124" t="str">
            <v>Aircraft Maintenance Planning Engineer-EASA Part 145</v>
          </cell>
        </row>
        <row r="125">
          <cell r="F125" t="str">
            <v>2-Year</v>
          </cell>
          <cell r="G125" t="str">
            <v>Aircraft Maintenance Planning Engineer-EASA Part M</v>
          </cell>
        </row>
        <row r="126">
          <cell r="F126" t="str">
            <v>Forever</v>
          </cell>
          <cell r="G126" t="str">
            <v>Aircraft Maintenance Planning Engineer-EWIS</v>
          </cell>
        </row>
        <row r="127">
          <cell r="F127" t="str">
            <v>2-Year</v>
          </cell>
          <cell r="G127" t="str">
            <v>Aircraft Maintenance Planning Engineer-FAR Part 145</v>
          </cell>
        </row>
        <row r="128">
          <cell r="F128" t="str">
            <v>Forever</v>
          </cell>
          <cell r="G128" t="str">
            <v>Aircraft Maintenance Planning Engineer-Fuel Tank Safety</v>
          </cell>
        </row>
        <row r="129">
          <cell r="F129" t="str">
            <v>Forever</v>
          </cell>
          <cell r="G129" t="str">
            <v>Aircraft Maintenance Planning Engineer-GMF Quality System</v>
          </cell>
        </row>
        <row r="130">
          <cell r="F130" t="str">
            <v>2-Year</v>
          </cell>
          <cell r="G130" t="str">
            <v>Aircraft Maintenance Planning Engineer-Human Factor</v>
          </cell>
        </row>
        <row r="131">
          <cell r="F131" t="str">
            <v>Forever</v>
          </cell>
          <cell r="G131" t="str">
            <v>Aircraft Maintenance Planning Engineer-Orientation Training</v>
          </cell>
        </row>
        <row r="132">
          <cell r="F132" t="str">
            <v>2-Year</v>
          </cell>
          <cell r="G132" t="str">
            <v>Aircraft Maintenance Planning Engineer-Safety Management System</v>
          </cell>
        </row>
        <row r="133">
          <cell r="F133" t="str">
            <v>Forever</v>
          </cell>
          <cell r="G133" t="str">
            <v>Aircraft Maintenance Planning Engineer-SWIFT Training</v>
          </cell>
        </row>
        <row r="134">
          <cell r="F134" t="str">
            <v>Forever</v>
          </cell>
          <cell r="G134" t="str">
            <v>Aircraft Maintenance Technician-ADTH</v>
          </cell>
        </row>
        <row r="135">
          <cell r="F135" t="str">
            <v>2-Year</v>
          </cell>
          <cell r="G135" t="str">
            <v>Aircraft Maintenance Technician-CASR Part 145</v>
          </cell>
        </row>
        <row r="136">
          <cell r="F136" t="str">
            <v>Forever</v>
          </cell>
          <cell r="G136" t="str">
            <v>Aircraft Maintenance Technician-Dangerous Good</v>
          </cell>
        </row>
        <row r="137">
          <cell r="F137" t="str">
            <v>2-Year</v>
          </cell>
          <cell r="G137" t="str">
            <v>Aircraft Maintenance Technician-EASA Part 145</v>
          </cell>
        </row>
        <row r="138">
          <cell r="F138" t="str">
            <v>2-Year</v>
          </cell>
          <cell r="G138" t="str">
            <v>Aircraft Maintenance Technician-EASA Part M</v>
          </cell>
        </row>
        <row r="139">
          <cell r="F139" t="str">
            <v>2-Year</v>
          </cell>
          <cell r="G139" t="str">
            <v>Aircraft Maintenance Technician-EWIS</v>
          </cell>
        </row>
        <row r="140">
          <cell r="F140" t="str">
            <v>2-Year</v>
          </cell>
          <cell r="G140" t="str">
            <v>Aircraft Maintenance Technician-FAR Part 145</v>
          </cell>
        </row>
        <row r="141">
          <cell r="F141" t="str">
            <v>2-Year</v>
          </cell>
          <cell r="G141" t="str">
            <v>Aircraft Maintenance Technician-Fuel Tank Safety</v>
          </cell>
        </row>
        <row r="142">
          <cell r="F142" t="str">
            <v>2-Year</v>
          </cell>
          <cell r="G142" t="str">
            <v>Aircraft Maintenance Technician-GMF Quality System</v>
          </cell>
        </row>
        <row r="143">
          <cell r="F143" t="str">
            <v>2-Year</v>
          </cell>
          <cell r="G143" t="str">
            <v>Aircraft Maintenance Technician-Human Factor</v>
          </cell>
        </row>
        <row r="144">
          <cell r="F144" t="str">
            <v>Forever</v>
          </cell>
          <cell r="G144" t="str">
            <v>Aircraft Maintenance Technician-Orientation Training</v>
          </cell>
        </row>
        <row r="145">
          <cell r="F145" t="str">
            <v>2-Year</v>
          </cell>
          <cell r="G145" t="str">
            <v>Aircraft Maintenance Technician-Safety Management System</v>
          </cell>
        </row>
        <row r="146">
          <cell r="F146" t="str">
            <v>2-Year</v>
          </cell>
          <cell r="G146" t="str">
            <v>Aircraft Maintenance Technician (PKWT NP)-Human Factor</v>
          </cell>
        </row>
        <row r="147">
          <cell r="F147" t="str">
            <v>2-Year</v>
          </cell>
          <cell r="G147" t="str">
            <v>Aircraft Maintenance Technician (PKWT NP)-Safety Management System</v>
          </cell>
        </row>
        <row r="148">
          <cell r="F148" t="str">
            <v>Forever</v>
          </cell>
          <cell r="G148" t="str">
            <v>Aircraft Maintenance Technician (PKWT NP)-GMF Quality System</v>
          </cell>
        </row>
        <row r="149">
          <cell r="F149" t="str">
            <v>Forever</v>
          </cell>
          <cell r="G149" t="str">
            <v>Department Head-Aviation Legislation Module 10</v>
          </cell>
        </row>
        <row r="150">
          <cell r="F150" t="str">
            <v>2-Year</v>
          </cell>
          <cell r="G150" t="str">
            <v>Department Head-CASR Part 145</v>
          </cell>
        </row>
        <row r="151">
          <cell r="F151" t="str">
            <v>2-Year</v>
          </cell>
          <cell r="G151" t="str">
            <v>Department Head-EASA Part 145</v>
          </cell>
        </row>
        <row r="152">
          <cell r="F152" t="str">
            <v>2-Year</v>
          </cell>
          <cell r="G152" t="str">
            <v>Department Head-EASA Part M</v>
          </cell>
        </row>
        <row r="153">
          <cell r="F153" t="str">
            <v>2-Year</v>
          </cell>
          <cell r="G153" t="str">
            <v>Department Head-FAR Part 145</v>
          </cell>
        </row>
        <row r="154">
          <cell r="F154" t="str">
            <v>Forever</v>
          </cell>
          <cell r="G154" t="str">
            <v>Department Head-GMF Quality System</v>
          </cell>
        </row>
        <row r="155">
          <cell r="F155" t="str">
            <v>2-Year</v>
          </cell>
          <cell r="G155" t="str">
            <v>Department Head-Human Factor</v>
          </cell>
        </row>
        <row r="156">
          <cell r="F156" t="str">
            <v>Forever</v>
          </cell>
          <cell r="G156" t="str">
            <v>Department Head-Leadership Skill Training</v>
          </cell>
        </row>
        <row r="157">
          <cell r="F157" t="str">
            <v>Forever</v>
          </cell>
          <cell r="G157" t="str">
            <v>Department Head-MRO Finance</v>
          </cell>
        </row>
        <row r="158">
          <cell r="F158" t="str">
            <v>Forever</v>
          </cell>
          <cell r="G158" t="str">
            <v>Department Head-MRO Management</v>
          </cell>
        </row>
        <row r="159">
          <cell r="F159" t="str">
            <v>Forever</v>
          </cell>
          <cell r="G159" t="str">
            <v>Department Head-Orientation Training</v>
          </cell>
        </row>
        <row r="160">
          <cell r="F160" t="str">
            <v>2-Year</v>
          </cell>
          <cell r="G160" t="str">
            <v>Department Head-Safety Management System</v>
          </cell>
        </row>
        <row r="161">
          <cell r="F161" t="str">
            <v>Forever</v>
          </cell>
          <cell r="G161" t="str">
            <v>Division Head-Aviation Legislation Module 10</v>
          </cell>
        </row>
        <row r="162">
          <cell r="F162" t="str">
            <v>2-Year</v>
          </cell>
          <cell r="G162" t="str">
            <v>Division Head-CASR Part 145</v>
          </cell>
        </row>
        <row r="163">
          <cell r="F163" t="str">
            <v>2-Year</v>
          </cell>
          <cell r="G163" t="str">
            <v>Division Head-EASA Part 145</v>
          </cell>
        </row>
        <row r="164">
          <cell r="F164" t="str">
            <v>2-Year</v>
          </cell>
          <cell r="G164" t="str">
            <v>Division Head-EASA Part M</v>
          </cell>
        </row>
        <row r="165">
          <cell r="F165" t="str">
            <v>2-Year</v>
          </cell>
          <cell r="G165" t="str">
            <v>Division Head-FAR Part 145</v>
          </cell>
        </row>
        <row r="166">
          <cell r="F166" t="str">
            <v>Forever</v>
          </cell>
          <cell r="G166" t="str">
            <v>Division Head-GMF Quality System</v>
          </cell>
        </row>
        <row r="167">
          <cell r="F167" t="str">
            <v>2-Year</v>
          </cell>
          <cell r="G167" t="str">
            <v>Division Head-Human Factor</v>
          </cell>
        </row>
        <row r="168">
          <cell r="F168" t="str">
            <v>Forever</v>
          </cell>
          <cell r="G168" t="str">
            <v>Division Head-Leadership Skill Training</v>
          </cell>
        </row>
        <row r="169">
          <cell r="F169" t="str">
            <v>Forever</v>
          </cell>
          <cell r="G169" t="str">
            <v>Division Head-Orientation Training</v>
          </cell>
        </row>
        <row r="170">
          <cell r="F170" t="str">
            <v>2-Year</v>
          </cell>
          <cell r="G170" t="str">
            <v>Division Head-Safety Management System</v>
          </cell>
        </row>
        <row r="171">
          <cell r="F171" t="str">
            <v>2-Year</v>
          </cell>
          <cell r="G171" t="str">
            <v>Group Head-Human Factor</v>
          </cell>
        </row>
        <row r="172">
          <cell r="F172" t="str">
            <v>2-Year</v>
          </cell>
          <cell r="G172" t="str">
            <v>Group Head-Safety Management System</v>
          </cell>
        </row>
        <row r="173">
          <cell r="F173" t="str">
            <v>Forever</v>
          </cell>
          <cell r="G173" t="str">
            <v>Senior Aircraft Cabin Controller-Basic Inspection</v>
          </cell>
        </row>
        <row r="174">
          <cell r="F174" t="str">
            <v>Forever</v>
          </cell>
          <cell r="G174" t="str">
            <v>Senior Aircraft Cabin Controller-Basic Supervisory Training</v>
          </cell>
        </row>
        <row r="175">
          <cell r="F175" t="str">
            <v>Forever</v>
          </cell>
          <cell r="G175" t="str">
            <v>Senior Aircraft Cabin Controller-CASR Part 145</v>
          </cell>
        </row>
        <row r="176">
          <cell r="F176" t="str">
            <v>Forever</v>
          </cell>
          <cell r="G176" t="str">
            <v>Senior Aircraft Cabin Controller-Dangerous Good</v>
          </cell>
        </row>
        <row r="177">
          <cell r="F177" t="str">
            <v>Forever</v>
          </cell>
          <cell r="G177" t="str">
            <v>Senior Aircraft Cabin Controller-EASA Part 145</v>
          </cell>
        </row>
        <row r="178">
          <cell r="F178" t="str">
            <v>Forever</v>
          </cell>
          <cell r="G178" t="str">
            <v>Senior Aircraft Cabin Controller-EASA Part M</v>
          </cell>
        </row>
        <row r="179">
          <cell r="F179" t="str">
            <v>Forever</v>
          </cell>
          <cell r="G179" t="str">
            <v>Senior Aircraft Cabin Controller-EWIS</v>
          </cell>
        </row>
        <row r="180">
          <cell r="F180" t="str">
            <v>Forever</v>
          </cell>
          <cell r="G180" t="str">
            <v>Senior Aircraft Cabin Controller-FAR Part 145</v>
          </cell>
        </row>
        <row r="181">
          <cell r="F181" t="str">
            <v>Forever</v>
          </cell>
          <cell r="G181" t="str">
            <v>Senior Aircraft Cabin Controller-Fuel Tank Safety</v>
          </cell>
        </row>
        <row r="182">
          <cell r="F182" t="str">
            <v>Forever</v>
          </cell>
          <cell r="G182" t="str">
            <v>Senior Aircraft Cabin Controller-GMF Quality System</v>
          </cell>
        </row>
        <row r="183">
          <cell r="F183" t="str">
            <v>2-Year</v>
          </cell>
          <cell r="G183" t="str">
            <v>Senior Aircraft Cabin Controller-Human Factor</v>
          </cell>
        </row>
        <row r="184">
          <cell r="F184" t="str">
            <v>Forever</v>
          </cell>
          <cell r="G184" t="str">
            <v>Senior Aircraft Cabin Controller-Orientation Training</v>
          </cell>
        </row>
        <row r="185">
          <cell r="F185" t="str">
            <v>Forever</v>
          </cell>
          <cell r="G185" t="str">
            <v>Senior Aircraft Cabin Controller-Project Management basic</v>
          </cell>
        </row>
        <row r="186">
          <cell r="F186" t="str">
            <v>2-Year</v>
          </cell>
          <cell r="G186" t="str">
            <v>Senior Aircraft Cabin Controller-Safety Management System</v>
          </cell>
        </row>
        <row r="187">
          <cell r="F187" t="str">
            <v>Forever</v>
          </cell>
          <cell r="G187" t="str">
            <v>Senior Aircraft Cabin Engineer-Basic Inspection</v>
          </cell>
        </row>
        <row r="188">
          <cell r="F188" t="str">
            <v>Forever</v>
          </cell>
          <cell r="G188" t="str">
            <v>Senior Aircraft Cabin Engineer-Basic Supervisory Training</v>
          </cell>
        </row>
        <row r="189">
          <cell r="F189" t="str">
            <v>2-Year</v>
          </cell>
          <cell r="G189" t="str">
            <v>Senior Aircraft Cabin Engineer-CASR Part 145</v>
          </cell>
        </row>
        <row r="190">
          <cell r="F190" t="str">
            <v>Forever</v>
          </cell>
          <cell r="G190" t="str">
            <v>Senior Aircraft Cabin Engineer-Dangerous Good</v>
          </cell>
        </row>
        <row r="191">
          <cell r="F191" t="str">
            <v>2-Year</v>
          </cell>
          <cell r="G191" t="str">
            <v>Senior Aircraft Cabin Engineer-EASA Part 145</v>
          </cell>
        </row>
        <row r="192">
          <cell r="F192" t="str">
            <v>2-Year</v>
          </cell>
          <cell r="G192" t="str">
            <v>Senior Aircraft Cabin Engineer-EASA Part M</v>
          </cell>
        </row>
        <row r="193">
          <cell r="F193" t="str">
            <v>2-Year</v>
          </cell>
          <cell r="G193" t="str">
            <v>Senior Aircraft Cabin Engineer-EWIS</v>
          </cell>
        </row>
        <row r="194">
          <cell r="F194" t="str">
            <v>2-Year</v>
          </cell>
          <cell r="G194" t="str">
            <v>Senior Aircraft Cabin Engineer-FAR Part 145</v>
          </cell>
        </row>
        <row r="195">
          <cell r="F195" t="str">
            <v>2-Year</v>
          </cell>
          <cell r="G195" t="str">
            <v>Senior Aircraft Cabin Engineer-Fuel Tank Safety</v>
          </cell>
        </row>
        <row r="196">
          <cell r="F196" t="str">
            <v>Forever</v>
          </cell>
          <cell r="G196" t="str">
            <v>Senior Aircraft Cabin Engineer-Fundamental Troubleshooting</v>
          </cell>
        </row>
        <row r="197">
          <cell r="F197" t="str">
            <v>2-Year</v>
          </cell>
          <cell r="G197" t="str">
            <v>Senior Aircraft Cabin Engineer-GMF Quality System</v>
          </cell>
        </row>
        <row r="198">
          <cell r="F198" t="str">
            <v>2-Year</v>
          </cell>
          <cell r="G198" t="str">
            <v>Senior Aircraft Cabin Engineer-Human Factor</v>
          </cell>
        </row>
        <row r="199">
          <cell r="F199" t="str">
            <v>Forever</v>
          </cell>
          <cell r="G199" t="str">
            <v>Senior Aircraft Cabin Engineer-Orientation Training</v>
          </cell>
        </row>
        <row r="200">
          <cell r="F200" t="str">
            <v>2-Year</v>
          </cell>
          <cell r="G200" t="str">
            <v>Senior Aircraft Cabin Engineer-Safety Management System</v>
          </cell>
        </row>
        <row r="201">
          <cell r="F201" t="str">
            <v>Forever</v>
          </cell>
          <cell r="G201" t="str">
            <v>Senior Aircraft Cabin Engineer-SWIFT Training</v>
          </cell>
        </row>
        <row r="202">
          <cell r="F202" t="str">
            <v>Forever</v>
          </cell>
          <cell r="G202" t="str">
            <v>Senior Aircraft Cabin Technician-Basic Inspection</v>
          </cell>
        </row>
        <row r="203">
          <cell r="F203" t="str">
            <v>2-Year</v>
          </cell>
          <cell r="G203" t="str">
            <v>Senior Aircraft Cabin Technician-CASR Part 145</v>
          </cell>
        </row>
        <row r="204">
          <cell r="F204" t="str">
            <v>Forever</v>
          </cell>
          <cell r="G204" t="str">
            <v>Senior Aircraft Cabin Technician-Dangerous Good</v>
          </cell>
        </row>
        <row r="205">
          <cell r="F205" t="str">
            <v>2-Year</v>
          </cell>
          <cell r="G205" t="str">
            <v>Senior Aircraft Cabin Technician-EASA Part 145</v>
          </cell>
        </row>
        <row r="206">
          <cell r="F206" t="str">
            <v>2-Year</v>
          </cell>
          <cell r="G206" t="str">
            <v>Senior Aircraft Cabin Technician-EASA Part M</v>
          </cell>
        </row>
        <row r="207">
          <cell r="F207" t="str">
            <v>2-Year</v>
          </cell>
          <cell r="G207" t="str">
            <v>Senior Aircraft Cabin Technician-EWIS</v>
          </cell>
        </row>
        <row r="208">
          <cell r="F208" t="str">
            <v>2-Year</v>
          </cell>
          <cell r="G208" t="str">
            <v>Senior Aircraft Cabin Technician-FAR Part 145</v>
          </cell>
        </row>
        <row r="209">
          <cell r="F209" t="str">
            <v>2-Year</v>
          </cell>
          <cell r="G209" t="str">
            <v>Senior Aircraft Cabin Technician-Fuel Tank Safety</v>
          </cell>
        </row>
        <row r="210">
          <cell r="F210" t="str">
            <v>2-Year</v>
          </cell>
          <cell r="G210" t="str">
            <v>Senior Aircraft Cabin Technician-GMF Quality System</v>
          </cell>
        </row>
        <row r="211">
          <cell r="F211" t="str">
            <v>2-Year</v>
          </cell>
          <cell r="G211" t="str">
            <v>Senior Aircraft Cabin Technician-Human Factor</v>
          </cell>
        </row>
        <row r="212">
          <cell r="F212" t="str">
            <v>Forever</v>
          </cell>
          <cell r="G212" t="str">
            <v>Senior Aircraft Cabin Technician-Orientation Training</v>
          </cell>
        </row>
        <row r="213">
          <cell r="F213" t="str">
            <v>2-Year</v>
          </cell>
          <cell r="G213" t="str">
            <v>Senior Aircraft Cabin Technician-Safety Management System</v>
          </cell>
        </row>
        <row r="214">
          <cell r="F214" t="str">
            <v>Forever</v>
          </cell>
          <cell r="G214" t="str">
            <v>Senior Aircraft Cabin Technician-SWIFT Training</v>
          </cell>
        </row>
        <row r="215">
          <cell r="F215" t="str">
            <v>Forever</v>
          </cell>
          <cell r="G215" t="str">
            <v>Trainee for Senior Aircraft Cabin Technician-Basic Inspection</v>
          </cell>
        </row>
        <row r="216">
          <cell r="F216" t="str">
            <v>2-Year</v>
          </cell>
          <cell r="G216" t="str">
            <v>Trainee for Senior Aircraft Cabin Technician-CASR Part 145</v>
          </cell>
        </row>
        <row r="217">
          <cell r="F217" t="str">
            <v>Forever</v>
          </cell>
          <cell r="G217" t="str">
            <v>Trainee for Senior Aircraft Cabin Technician-Dangerous Good</v>
          </cell>
        </row>
        <row r="218">
          <cell r="F218" t="str">
            <v>2-Year</v>
          </cell>
          <cell r="G218" t="str">
            <v>Trainee for Senior Aircraft Cabin Technician-EASA Part 145</v>
          </cell>
        </row>
        <row r="219">
          <cell r="F219" t="str">
            <v>2-Year</v>
          </cell>
          <cell r="G219" t="str">
            <v>Trainee for Senior Aircraft Cabin Technician-EASA Part M</v>
          </cell>
        </row>
        <row r="220">
          <cell r="F220" t="str">
            <v>2-Year</v>
          </cell>
          <cell r="G220" t="str">
            <v>Trainee for Senior Aircraft Cabin Technician-EWIS</v>
          </cell>
        </row>
        <row r="221">
          <cell r="F221" t="str">
            <v>2-Year</v>
          </cell>
          <cell r="G221" t="str">
            <v>Trainee for Senior Aircraft Cabin Technician-FAR Part 145</v>
          </cell>
        </row>
        <row r="222">
          <cell r="F222" t="str">
            <v>2-Year</v>
          </cell>
          <cell r="G222" t="str">
            <v>Trainee for Senior Aircraft Cabin Technician-Fuel Tank Safety</v>
          </cell>
        </row>
        <row r="223">
          <cell r="F223" t="str">
            <v>2-Year</v>
          </cell>
          <cell r="G223" t="str">
            <v>Trainee for Senior Aircraft Cabin Technician-GMF Quality System</v>
          </cell>
        </row>
        <row r="224">
          <cell r="F224" t="str">
            <v>2-Year</v>
          </cell>
          <cell r="G224" t="str">
            <v>Trainee for Senior Aircraft Cabin Technician-Human Factor</v>
          </cell>
        </row>
        <row r="225">
          <cell r="F225" t="str">
            <v>Forever</v>
          </cell>
          <cell r="G225" t="str">
            <v>Trainee for Senior Aircraft Cabin Technician-Orientation Training</v>
          </cell>
        </row>
        <row r="226">
          <cell r="F226" t="str">
            <v>2-Year</v>
          </cell>
          <cell r="G226" t="str">
            <v>Trainee for Senior Aircraft Cabin Technician-Safety Management System</v>
          </cell>
        </row>
        <row r="227">
          <cell r="F227" t="str">
            <v>Forever</v>
          </cell>
          <cell r="G227" t="str">
            <v>Trainee for Senior Aircraft Cabin Technician-SWIFT Training</v>
          </cell>
        </row>
        <row r="228">
          <cell r="F228" t="str">
            <v>Forever</v>
          </cell>
          <cell r="G228" t="str">
            <v>Senior Aircraft Maintenance Engineer-Basic Inspection</v>
          </cell>
        </row>
        <row r="229">
          <cell r="F229" t="str">
            <v>Forever</v>
          </cell>
          <cell r="G229" t="str">
            <v>Senior Aircraft Maintenance Engineer-Basic Supervisory Training</v>
          </cell>
        </row>
        <row r="230">
          <cell r="F230" t="str">
            <v>2-Year</v>
          </cell>
          <cell r="G230" t="str">
            <v>Senior Aircraft Maintenance Engineer-CASR Part 145</v>
          </cell>
        </row>
        <row r="231">
          <cell r="F231" t="str">
            <v>Forever</v>
          </cell>
          <cell r="G231" t="str">
            <v>Senior Aircraft Maintenance Engineer-Certifying Staff</v>
          </cell>
        </row>
        <row r="232">
          <cell r="F232" t="str">
            <v>Forever</v>
          </cell>
          <cell r="G232" t="str">
            <v>Senior Aircraft Maintenance Engineer-Dangerous Good</v>
          </cell>
        </row>
        <row r="233">
          <cell r="F233" t="str">
            <v>2-Year</v>
          </cell>
          <cell r="G233" t="str">
            <v>Senior Aircraft Maintenance Engineer-EASA Part 145</v>
          </cell>
        </row>
        <row r="234">
          <cell r="F234" t="str">
            <v>2-Year</v>
          </cell>
          <cell r="G234" t="str">
            <v>Senior Aircraft Maintenance Engineer-EASA Part M</v>
          </cell>
        </row>
        <row r="235">
          <cell r="F235" t="str">
            <v>2-Year</v>
          </cell>
          <cell r="G235" t="str">
            <v>Senior Aircraft Maintenance Engineer-FAR Part 145</v>
          </cell>
        </row>
        <row r="236">
          <cell r="F236" t="str">
            <v>2-Year</v>
          </cell>
          <cell r="G236" t="str">
            <v>Senior Aircraft Maintenance Engineer-Fuel Tank Safety</v>
          </cell>
        </row>
        <row r="237">
          <cell r="F237" t="str">
            <v>Forever</v>
          </cell>
          <cell r="G237" t="str">
            <v>Senior Aircraft Maintenance Engineer-Fundamental Troubleshooting</v>
          </cell>
        </row>
        <row r="238">
          <cell r="F238" t="str">
            <v>2-Year</v>
          </cell>
          <cell r="G238" t="str">
            <v>Senior Aircraft Maintenance Engineer-GMF Quality System</v>
          </cell>
        </row>
        <row r="239">
          <cell r="F239" t="str">
            <v>2-Year</v>
          </cell>
          <cell r="G239" t="str">
            <v>Senior Aircraft Maintenance Engineer-Human Factor</v>
          </cell>
        </row>
        <row r="240">
          <cell r="F240" t="str">
            <v>Forever</v>
          </cell>
          <cell r="G240" t="str">
            <v>Senior Aircraft Maintenance Engineer-Orientation Training</v>
          </cell>
        </row>
        <row r="241">
          <cell r="F241" t="str">
            <v>2-Year</v>
          </cell>
          <cell r="G241" t="str">
            <v>Senior Aircraft Maintenance Engineer-Safety Management System</v>
          </cell>
        </row>
        <row r="242">
          <cell r="F242" t="str">
            <v>Forever</v>
          </cell>
          <cell r="G242" t="str">
            <v>Senior Aircraft Maintenance Engineer-SWIFT Training</v>
          </cell>
        </row>
        <row r="243">
          <cell r="F243" t="str">
            <v>Forever</v>
          </cell>
          <cell r="G243" t="str">
            <v>Senior Aircraft Maintenance Engineer-Type Rating Level III Training</v>
          </cell>
        </row>
        <row r="244">
          <cell r="F244" t="str">
            <v>Forever</v>
          </cell>
          <cell r="G244" t="str">
            <v>Senior Aircraft Maintenance Planner-Aircraft Familiarization</v>
          </cell>
        </row>
        <row r="245">
          <cell r="F245" t="str">
            <v>Forever</v>
          </cell>
          <cell r="G245" t="str">
            <v>Senior Aircraft Maintenance Planner-Basic Planning</v>
          </cell>
        </row>
        <row r="246">
          <cell r="F246" t="str">
            <v>2-Year</v>
          </cell>
          <cell r="G246" t="str">
            <v>Senior Aircraft Maintenance Planner-CASR Part 145</v>
          </cell>
        </row>
        <row r="247">
          <cell r="F247" t="str">
            <v>Forever</v>
          </cell>
          <cell r="G247" t="str">
            <v>Senior Aircraft Maintenance Planner-Dangerous Good</v>
          </cell>
        </row>
        <row r="248">
          <cell r="F248" t="str">
            <v>2-Year</v>
          </cell>
          <cell r="G248" t="str">
            <v>Senior Aircraft Maintenance Planner-EASA Part 145</v>
          </cell>
        </row>
        <row r="249">
          <cell r="F249" t="str">
            <v>2-Year</v>
          </cell>
          <cell r="G249" t="str">
            <v>Senior Aircraft Maintenance Planner-EASA Part M</v>
          </cell>
        </row>
        <row r="250">
          <cell r="F250" t="str">
            <v>Forever</v>
          </cell>
          <cell r="G250" t="str">
            <v>Senior Aircraft Maintenance Planner-EWIS</v>
          </cell>
        </row>
        <row r="251">
          <cell r="F251" t="str">
            <v>2-Year</v>
          </cell>
          <cell r="G251" t="str">
            <v>Senior Aircraft Maintenance Planner-FAR Part 145</v>
          </cell>
        </row>
        <row r="252">
          <cell r="F252" t="str">
            <v>Forever</v>
          </cell>
          <cell r="G252" t="str">
            <v>Senior Aircraft Maintenance Planner-Fuel Tank Safety</v>
          </cell>
        </row>
        <row r="253">
          <cell r="F253" t="str">
            <v>Forever</v>
          </cell>
          <cell r="G253" t="str">
            <v>Senior Aircraft Maintenance Planner-GMF Quality System</v>
          </cell>
        </row>
        <row r="254">
          <cell r="F254" t="str">
            <v>2-Year</v>
          </cell>
          <cell r="G254" t="str">
            <v>Senior Aircraft Maintenance Planner-Human Factor</v>
          </cell>
        </row>
        <row r="255">
          <cell r="F255" t="str">
            <v>Forever</v>
          </cell>
          <cell r="G255" t="str">
            <v>Senior Aircraft Maintenance Planner-Orientation Training</v>
          </cell>
        </row>
        <row r="256">
          <cell r="F256" t="str">
            <v>Forever</v>
          </cell>
          <cell r="G256" t="str">
            <v>Senior Aircraft Maintenance Planner-Project Management basic</v>
          </cell>
        </row>
        <row r="257">
          <cell r="F257" t="str">
            <v>2-Year</v>
          </cell>
          <cell r="G257" t="str">
            <v>Senior Aircraft Maintenance Planner-Safety Management System</v>
          </cell>
        </row>
        <row r="258">
          <cell r="F258" t="str">
            <v>Forever</v>
          </cell>
          <cell r="G258" t="str">
            <v>Senior Aircraft Maintenance Planner-SWIFT Training</v>
          </cell>
        </row>
        <row r="259">
          <cell r="F259" t="str">
            <v>Forever</v>
          </cell>
          <cell r="G259" t="str">
            <v>Senior Aircraft Maintenance Planner-Training of Trainer</v>
          </cell>
        </row>
        <row r="260">
          <cell r="F260" t="str">
            <v>Forever</v>
          </cell>
          <cell r="G260" t="str">
            <v>Senior Aircraft Maintenance Planning Engineer-Aircraft Familiarization</v>
          </cell>
        </row>
        <row r="261">
          <cell r="F261" t="str">
            <v>Forever</v>
          </cell>
          <cell r="G261" t="str">
            <v>Senior Aircraft Maintenance Planning Engineer-Basic Engineering</v>
          </cell>
        </row>
        <row r="262">
          <cell r="F262" t="str">
            <v>2-Year</v>
          </cell>
          <cell r="G262" t="str">
            <v>Senior Aircraft Maintenance Planning Engineer-CASR Part 145</v>
          </cell>
        </row>
        <row r="263">
          <cell r="F263" t="str">
            <v>Forever</v>
          </cell>
          <cell r="G263" t="str">
            <v>Senior Aircraft Maintenance Planning Engineer-Dangerous Good</v>
          </cell>
        </row>
        <row r="264">
          <cell r="F264" t="str">
            <v>2-Year</v>
          </cell>
          <cell r="G264" t="str">
            <v>Senior Aircraft Maintenance Planning Engineer-EASA Part 145</v>
          </cell>
        </row>
        <row r="265">
          <cell r="F265" t="str">
            <v>2-Year</v>
          </cell>
          <cell r="G265" t="str">
            <v>Senior Aircraft Maintenance Planning Engineer-EASA Part M</v>
          </cell>
        </row>
        <row r="266">
          <cell r="F266" t="str">
            <v>Forever</v>
          </cell>
          <cell r="G266" t="str">
            <v>Senior Aircraft Maintenance Planning Engineer-EWIS</v>
          </cell>
        </row>
        <row r="267">
          <cell r="F267" t="str">
            <v>2-Year</v>
          </cell>
          <cell r="G267" t="str">
            <v>Senior Aircraft Maintenance Planning Engineer-FAR Part 145</v>
          </cell>
        </row>
        <row r="268">
          <cell r="F268" t="str">
            <v>Forever</v>
          </cell>
          <cell r="G268" t="str">
            <v>Senior Aircraft Maintenance Planning Engineer-Fuel Tank Safety</v>
          </cell>
        </row>
        <row r="269">
          <cell r="F269" t="str">
            <v>Forever</v>
          </cell>
          <cell r="G269" t="str">
            <v>Senior Aircraft Maintenance Planning Engineer-GMF Quality System</v>
          </cell>
        </row>
        <row r="270">
          <cell r="F270" t="str">
            <v>2-Year</v>
          </cell>
          <cell r="G270" t="str">
            <v>Senior Aircraft Maintenance Planning Engineer-Human Factor</v>
          </cell>
        </row>
        <row r="271">
          <cell r="F271" t="str">
            <v>Forever</v>
          </cell>
          <cell r="G271" t="str">
            <v>Senior Aircraft Maintenance Planning Engineer-Orientation Training</v>
          </cell>
        </row>
        <row r="272">
          <cell r="F272" t="str">
            <v>Forever</v>
          </cell>
          <cell r="G272" t="str">
            <v>Senior Aircraft Maintenance Planning Engineer-Project Management basic</v>
          </cell>
        </row>
        <row r="273">
          <cell r="F273" t="str">
            <v>2-Year</v>
          </cell>
          <cell r="G273" t="str">
            <v>Senior Aircraft Maintenance Planning Engineer-Safety Management System</v>
          </cell>
        </row>
        <row r="274">
          <cell r="F274" t="str">
            <v>Forever</v>
          </cell>
          <cell r="G274" t="str">
            <v>Senior Aircraft Maintenance Planning Engineer-SWIFT Training</v>
          </cell>
        </row>
        <row r="275">
          <cell r="F275" t="str">
            <v>Forever</v>
          </cell>
          <cell r="G275" t="str">
            <v>Senior Aircraft Maintenance Planning Engineer-Training of Trainer</v>
          </cell>
        </row>
        <row r="276">
          <cell r="F276" t="str">
            <v>2-Year</v>
          </cell>
          <cell r="G276" t="str">
            <v>ASSISTANT STAFF OFFICER-Human Factor</v>
          </cell>
        </row>
        <row r="277">
          <cell r="F277" t="str">
            <v>2-Year</v>
          </cell>
          <cell r="G277" t="str">
            <v>ASSISTANT STAFF OFFICER-Safety Management System</v>
          </cell>
        </row>
        <row r="278">
          <cell r="F278" t="str">
            <v>Forever</v>
          </cell>
          <cell r="G278" t="str">
            <v>ASSISTANT STAFF OFFICER-GMF Quality System</v>
          </cell>
        </row>
        <row r="279">
          <cell r="F279" t="str">
            <v>Forever</v>
          </cell>
          <cell r="G279" t="str">
            <v>Senior Aircraft Maintenance Technician-ADTH</v>
          </cell>
        </row>
        <row r="280">
          <cell r="F280" t="str">
            <v>Forever</v>
          </cell>
          <cell r="G280" t="str">
            <v>Senior Aircraft Maintenance Technician-Basic Inspection</v>
          </cell>
        </row>
        <row r="281">
          <cell r="F281" t="str">
            <v>2-Year</v>
          </cell>
          <cell r="G281" t="str">
            <v>Senior Aircraft Maintenance Technician-CASR Part 145</v>
          </cell>
        </row>
        <row r="282">
          <cell r="F282" t="str">
            <v>Forever</v>
          </cell>
          <cell r="G282" t="str">
            <v>Senior Aircraft Maintenance Technician-Dangerous Good</v>
          </cell>
        </row>
        <row r="283">
          <cell r="F283" t="str">
            <v>2-Year</v>
          </cell>
          <cell r="G283" t="str">
            <v>Senior Aircraft Maintenance Technician-EASA Part 145</v>
          </cell>
        </row>
        <row r="284">
          <cell r="F284" t="str">
            <v>2-Year</v>
          </cell>
          <cell r="G284" t="str">
            <v>Senior Aircraft Maintenance Technician-EASA Part M</v>
          </cell>
        </row>
        <row r="285">
          <cell r="F285" t="str">
            <v>2-Year</v>
          </cell>
          <cell r="G285" t="str">
            <v>Senior Aircraft Maintenance Technician-EWIS</v>
          </cell>
        </row>
        <row r="286">
          <cell r="F286" t="str">
            <v>2-Year</v>
          </cell>
          <cell r="G286" t="str">
            <v>Senior Aircraft Maintenance Technician-FAR Part 145</v>
          </cell>
        </row>
        <row r="287">
          <cell r="F287" t="str">
            <v>2-Year</v>
          </cell>
          <cell r="G287" t="str">
            <v>Senior Aircraft Maintenance Technician-Fuel Tank Safety</v>
          </cell>
        </row>
        <row r="288">
          <cell r="F288" t="str">
            <v>2-Year</v>
          </cell>
          <cell r="G288" t="str">
            <v>Senior Aircraft Maintenance Technician-GMF Quality System</v>
          </cell>
        </row>
        <row r="289">
          <cell r="F289" t="str">
            <v>2-Year</v>
          </cell>
          <cell r="G289" t="str">
            <v>Senior Aircraft Maintenance Technician-Human Factor</v>
          </cell>
        </row>
        <row r="290">
          <cell r="F290" t="str">
            <v>Forever</v>
          </cell>
          <cell r="G290" t="str">
            <v>Senior Aircraft Maintenance Technician-Orientation Training</v>
          </cell>
        </row>
        <row r="291">
          <cell r="F291" t="str">
            <v>2-Year</v>
          </cell>
          <cell r="G291" t="str">
            <v>Senior Aircraft Maintenance Technician-Safety Management System</v>
          </cell>
        </row>
        <row r="292">
          <cell r="F292" t="str">
            <v>Forever</v>
          </cell>
          <cell r="G292" t="str">
            <v>Senior Aircraft Maintenance Technician-SWIFT Training</v>
          </cell>
        </row>
        <row r="293">
          <cell r="F293" t="str">
            <v>Forever</v>
          </cell>
          <cell r="G293" t="str">
            <v>Senior Aircraft Maintenance Technician-Type Rating Level III Training</v>
          </cell>
        </row>
      </sheetData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0.654264351855" createdVersion="8" refreshedVersion="8" minRefreshableVersion="3" recordCount="209" xr:uid="{592DE52C-2417-454E-A545-B2D75314FF40}">
  <cacheSource type="worksheet">
    <worksheetSource name="Table13"/>
  </cacheSource>
  <cacheFields count="88">
    <cacheField name="No" numFmtId="0">
      <sharedItems containsSemiMixedTypes="0" containsString="0" containsNumber="1" containsInteger="1" minValue="1" maxValue="209"/>
    </cacheField>
    <cacheField name="Emp ID" numFmtId="0">
      <sharedItems containsSemiMixedTypes="0" containsString="0" containsNumber="1" containsInteger="1" minValue="526956" maxValue="783660"/>
    </cacheField>
    <cacheField name="Name" numFmtId="0">
      <sharedItems count="210">
        <s v="DIAHYANI PUTRI"/>
        <s v="YULIA IRAWATI"/>
        <s v="ARYO BAGUS SAMUDRO"/>
        <s v="JERRY HAIKAL PAPUDI"/>
        <s v="ANDRI PRASETYO"/>
        <s v="SURYA ANUGRAH"/>
        <s v="PANGERAN RAIHAN RANGKUTI"/>
        <s v="WAHYU P BUDIMAN "/>
        <s v="HERDANI INDERA PERMANA"/>
        <s v="FAHRUR "/>
        <s v="GIANJAR D.ABIYOGA"/>
        <s v="ADITIA KUSUMA WIBAWA "/>
        <s v="ARFIN SENO HASTIAN"/>
        <s v="AGUNG PRAYOGI"/>
        <s v="DAFFA HAUZAN"/>
        <s v="OSSA FAUZI  "/>
        <s v="RIZAL AZIS "/>
        <s v="YOSEP APISENA"/>
        <s v="RAHMAT NURPALAH"/>
        <s v="AHMAD SOFYAN HARIRI"/>
        <s v="MOHAMMAD FAIZ"/>
        <s v="ILHAM NUGRAHA"/>
        <s v="ARIF FIKRY ABDUL MUBAROK"/>
        <s v="SYAFRIZAL D A M "/>
        <s v="YOGI CATUR "/>
        <s v="YONAZ HAND"/>
        <s v="ANWAR MURSALIM"/>
        <s v="DENNIS MUNTAHARICNA"/>
        <s v="MUSAWWIR "/>
        <s v="BAGUS DWI KUSWANTO SAPUTRA"/>
        <s v="MUHAMMAD UMAR DHONI SAPUTRO"/>
        <s v="A. RIFKY GESURI"/>
        <s v="MOHAMMED IKROM ASYSYAKUUR"/>
        <s v="AHMAD WILDAN NASHRULLOH"/>
        <s v="PEGGY ASRUL SANI"/>
        <s v="EKO WASYANTO "/>
        <s v="NURWANDI"/>
        <s v="NUR KHOLIS"/>
        <s v="HENDRI"/>
        <s v="MARNO WIBOWO"/>
        <s v="AFRIZAL ANDI"/>
        <s v="YANA SUPRIATNA"/>
        <s v="DHIRGANTARA FAJRINIO"/>
        <s v="M FIKRI ADRIAN"/>
        <s v="JAMALLULLAEL NILAI BASTANTA BONANI PASOGIT"/>
        <s v="GENTA PRAMUDITA "/>
        <s v="ENGGAR DWI KUNCORO"/>
        <s v="ADNAN KURNIAWAN"/>
        <s v="RAHMAT RISKI "/>
        <s v="SYAFIK SIHAB N H"/>
        <s v="ALFIAN DWI PRIAMBODO"/>
        <s v="BAGUSTIANTO A."/>
        <s v="ANGGER WINTA PRASETIA"/>
        <s v="TRI PRASETIA UTAMA"/>
        <s v="RADEN RUDIANSYAH"/>
        <s v="JULI SISWANTO"/>
        <s v="RENDI SATRIA PURNAMA"/>
        <s v="FAHMI ANUGRAH DWI PUTRA"/>
        <s v="DANAN TRIAWAN"/>
        <s v="ADAM FIRMANSYAH"/>
        <s v="DIMAS DWIGALIH "/>
        <s v="MUHAMAD MAULUDDIN"/>
        <s v="RAKHA VIVALDI NOVALLINO"/>
        <s v="ARIFIN "/>
        <s v="DIAN PRADIPTA"/>
        <s v="RICKY PRASETYO"/>
        <s v="RISKY SAPUTRA ARMAN"/>
        <s v="MEILINDA SURYANI"/>
        <s v="RIZKY FAUZI "/>
        <s v="FAJRIN SARSONO"/>
        <s v="TENGKU PERKASA S"/>
        <s v="MAREDA NURDIANSYAH"/>
        <s v="ADI BUDIONO"/>
        <s v="GALIH PRASETYO RAMADHAN"/>
        <s v="AGUS WIDIYANTO "/>
        <s v="FIAN AL JUPRI SINAGA"/>
        <s v="MARZUKI"/>
        <s v="BOBY SYAPUTRA"/>
        <s v="TAUFIQ HIDAYAT "/>
        <s v="ARYA PUTRA RAMADHANY"/>
        <s v="NURMIDA LISNANI"/>
        <s v="DINO DWI F "/>
        <s v="AHMAD ABDUL ROZAK"/>
        <s v="DONI KURNIAWAN "/>
        <s v="M. HERMANTO "/>
        <s v="ALFIAN DARMAWAN"/>
        <s v="GANDHI ARRAFI "/>
        <s v="ISYOGO WAHYU NUGROHO"/>
        <s v="SAIFUL WALID "/>
        <s v="ACHMAD FAHRUL AMRY"/>
        <s v="MUH. FADHIL SYAHPUTRA ARIFIN"/>
        <s v="ASO ANDI MARODHANI"/>
        <s v="DENY ADITYAWARDANA"/>
        <s v="RICO APRIANA"/>
        <s v="YAN CHRIS HANDOKO"/>
        <s v="WAHYU SETIAWAN"/>
        <s v="TATANG"/>
        <s v="FADEL MUHAMMAD "/>
        <s v="RESTU AGUNG"/>
        <s v="BAYU HANDOYO"/>
        <s v="FEBI FERDIANSYAH "/>
        <s v="RAHMAT RIYADI "/>
        <s v="DIMAS SURYO PERSODO"/>
        <s v="RENDRA ARDIANA"/>
        <s v="AMRIZAL GUSFANI"/>
        <s v="DINANDA AGIL PRAKOSO"/>
        <s v="SATRIA WIJAYANTO  "/>
        <s v="NOOR CAHYA"/>
        <s v="M CHUSNUL ADIB "/>
        <s v="OKTA HATAMI ADITAMA"/>
        <s v="ACHMADI"/>
        <s v="ANDI KURNIAWAN"/>
        <s v="FIRMANSYAH"/>
        <s v="REZA NENDRA "/>
        <s v="DIMAS ANGGORO"/>
        <s v="M. REZA SAPUTRA "/>
        <s v="MOH JUSRAN ALI"/>
        <s v="DENNY SETYO ANUGERAH"/>
        <s v="M. ASIS"/>
        <s v="AGUNG SLAMET RIYADI"/>
        <s v="DIMAS HANI "/>
        <s v="IMAM HENDRANOTO"/>
        <s v="TIRTA SWARGA "/>
        <s v="ILHAM KUSUMA REDYANSYAH"/>
        <s v="RONY ERYA WARDANA"/>
        <s v="FIQRI RAKA FADILLAH"/>
        <s v="MUHAMMAD LUTHFI WIDIANTO"/>
        <s v="DAVID S. "/>
        <s v="RIZA NUGRAHA"/>
        <s v="MUHAMMAD ABDURRACHMAN"/>
        <s v="GALUH FUADY"/>
        <s v="ARDO FAJAR RISTANU"/>
        <s v="AHYA SUHENDRA"/>
        <s v="FIRMAN PURNOMO"/>
        <s v="MUH FIRMANSYAH "/>
        <s v="JULISTIYO INDRA PRATAMA "/>
        <s v="RAHIM DARMANSYAH"/>
        <s v="KURNIA SANDI"/>
        <s v="DICKY NURBAIDILLAH"/>
        <s v="MUHAMAD LUTHFI"/>
        <s v="ABDUL LATIEF KUSUMA"/>
        <s v="MUHAMMAD ANGGIRAN FATAHILLAH"/>
        <s v="RIDARROHMAN"/>
        <s v="ADYTHIA PRATAMA"/>
        <s v="GERRY KENINA SINUKABAN"/>
        <s v="PAJAR ARDHIANTO"/>
        <s v="ARIS WIBOWO"/>
        <s v="AMSARI"/>
        <s v="HARI SETYADI"/>
        <s v="BRIAN DHANIEL"/>
        <s v="YANSEN MARPAUNG"/>
        <s v="RIAN ADI NUGROHO "/>
        <s v="PONDRA ADI SETIAWAN"/>
        <s v="RIDO FEBRI PRATAMA"/>
        <s v="ROZI BAMBANG SETIAWAN"/>
        <s v="WAHYU RACHMAD WILDAN"/>
        <s v="AHMAD ZIHNI"/>
        <s v="SURYA WAHYUDHA "/>
        <s v="REKA LESTARI "/>
        <s v="WILDAN GUNAWAN"/>
        <s v="MUHAMMAD RIZKI ARBI"/>
        <s v="DENI IRAWAN"/>
        <s v="ARLINGGA PRAVITASARI"/>
        <s v="BAKHTIAR AHADIN NUR MUHAMMAD"/>
        <s v="RIZAL YOPI PANAMA"/>
        <s v="IVAN NURVALAH"/>
        <s v="DANANG RIZKI MOHAMED"/>
        <s v="MUHAMMAD ERWANSYAH"/>
        <s v="ROMAN BANGSACARA"/>
        <s v="WAHYU PRATAMA"/>
        <s v="MOUDY AZURA VIANDA"/>
        <s v="DIMAS YUDISTIRA"/>
        <s v="NOVITA SARI"/>
        <s v="NITA AYU SYLVIA"/>
        <s v="DEKA BAGUS SETYO SAPUTRO"/>
        <s v="MOHAMMAD IQBAL ARDHALEPA TURINO"/>
        <s v="RIZKI RIYAN PRAKOSO"/>
        <s v="TRISNA LIDYA ARIFIN"/>
        <s v="ANDIKA ROBY WIYANDA"/>
        <s v="MOHAMAD DAFA ARMANTA"/>
        <s v="ACHMAD RYAN PERDANA"/>
        <s v="MUSI UTAMA MUHAM"/>
        <s v="NURYADI"/>
        <s v="MUHAMMAD FIRDAUS "/>
        <s v="DWI SETYAWAN"/>
        <s v="PENDI PRANDANA"/>
        <s v="PUTRI LIYAN CHIWA"/>
        <s v="ADI FADHLI"/>
        <s v="MUHAMMAD RAYHAN ZHAFRANDO"/>
        <s v="MUHAMAD HOLIL"/>
        <s v="AGUS TRI MULYONO"/>
        <s v="AUFA HIBATULLAH DIMAS PRAMBUDI"/>
        <s v="MUHAMAD NORTON"/>
        <s v="DURI WIDOYANTI"/>
        <s v="ANDI SURYA WIJAYA"/>
        <s v="MUHAMMAD RINALDI HIDAYAT"/>
        <s v="JAVIER BENYAMIN CASSANOVA TALAKUA"/>
        <s v="DWIKI FAHREZA ANDREANTO"/>
        <s v="MUHAMAD DUSTIRANSA TAQWA"/>
        <s v="RINDA SAFANA LINGGI"/>
        <s v="RUDY DWI WANTORO"/>
        <s v="MUHAMMAD ALNURZI ULFAH"/>
        <s v="AJI SATRIO RAMADHAN"/>
        <s v="NOVAL DWI KURNIANTO"/>
        <s v="YONASTIO DANAR WIDHIADI"/>
        <s v="ALFIAN BRANANTYO"/>
        <s v="EGAR CAHYA PANGESTU"/>
        <s v="MU'AMMAR RIZKY SANFARDIZAL"/>
        <s v="BAGUS SUHARTO"/>
        <s v="RAMINDAR" u="1"/>
      </sharedItems>
    </cacheField>
    <cacheField name="Job Title" numFmtId="0">
      <sharedItems count="38">
        <s v="Group Head"/>
        <s v="SECRETARY"/>
        <s v="Division Head"/>
        <s v="AIRCRAFT CABIN ENGINEER"/>
        <s v="MANAGER CABIN ON DUTY"/>
        <s v="SENIOR AIRCRAFT MAINTENANCE TECHNICIAN"/>
        <s v="Department Head"/>
        <s v="SENIOR AIRCRAFT CABIN TECHNICIAN"/>
        <s v="Aircraft Cabin Technician (PKWT NP)"/>
        <s v="AIRCRAFT MAINTENANCE TECHNICIAN"/>
        <s v="SENIOR AIRCRAFT CABIN ENGINEER"/>
        <s v="AIRCRAFT MAINTENANCE ENGINEER"/>
        <s v="AIRCRAFT CABIN TECHNICIAN"/>
        <s v="AIRCRAFT MAINTENANCE TECHNICIAN (PKWT NP)"/>
        <s v="AIRCRAFT CABIN CONTROLLER"/>
        <s v="SENIOR AIRCRAFT CABIN CONTROLLER"/>
        <s v="SENIOR AIRCRAFT MAINTENANCE PLANNING ENGINEER"/>
        <s v="SENIOR AIRCRAFT MAINTENANCE PLANNER"/>
        <s v="AIRCRAFT MAINTENANCE PLANNER"/>
        <s v="ASSISTANT STAFF OFFICER"/>
        <s v="AIRCRAFT MAINTENANCE PLANNING ENGINEER"/>
        <s v="OJT TO AIRCRAFT CABIN ENGINEER"/>
        <s v="PRODUCTION SUPPORT OFFICER" u="1"/>
        <s v="CABIN LINE SERVICES GROUP HEAD" u="1"/>
        <s v="CABIN LINE MAINTENANCE DIVISION HEAD" u="1"/>
        <s v="CABIN LINE MAINTENANCE CREW A DEPARTMENT HEAD" u="1"/>
        <s v="TRAINEE FOR SENIOR AIRCRAFT CABIN TECHNICIAN" u="1"/>
        <s v="CABIN LINE MAINTENANCE CREW B DEPARTMENT HEAD" u="1"/>
        <s v="CABIN LINE MAINTENANCE CREW C DEPARTMENT HEAD" u="1"/>
        <s v="CABIN LINE MAINTENANCE CREW D DEPARTMENT HEAD" u="1"/>
        <s v="CABIN LINE MAINTENANCE CREW E DEPARTMENT HEAD" u="1"/>
        <s v="CABIN LINE MAINTENANCE HANGAR DEPARTMENT HEAD" u="1"/>
        <s v="AIRCRAFT CLEANING DEPARTMENT HEAD" u="1"/>
        <s v="CABIN PLANNING &amp; OPERATIONAL SUPPORT DIVISION HEAD" u="1"/>
        <s v="OJT TO AIRCRAFT CABIN CONTROLLER" u="1"/>
        <s v="CABIN APPEARANCE CONTROL DEPARTMENT HEAD" u="1"/>
        <s v="PRODUCTION ENGINEERING SUPPORT CABIN DEPARTMENT HEAD" u="1"/>
        <s v="LEARNING CENTER UNIT DEPARTMENT HEAD" u="1"/>
      </sharedItems>
    </cacheField>
    <cacheField name="Group" numFmtId="0">
      <sharedItems containsBlank="1"/>
    </cacheField>
    <cacheField name="Unit" numFmtId="0">
      <sharedItems containsBlank="1"/>
    </cacheField>
    <cacheField name="New Unit" numFmtId="0">
      <sharedItems count="14">
        <s v="JKTTN"/>
        <s v="JKTTNL"/>
        <s v="JKTTNL-1"/>
        <s v="JKTTNP"/>
        <s v="JKTTNL-5"/>
        <s v="JKTTNL-4"/>
        <s v="JKTTNL-2"/>
        <s v="JKTTNL-3"/>
        <s v="JKTTNL-6"/>
        <s v="JKTTNL-7"/>
        <s v="JKTTNP-1"/>
        <s v="JKTTNP-2"/>
        <s v="JKTTNP-3"/>
        <s v="JKTTNP-4"/>
      </sharedItems>
    </cacheField>
    <cacheField name="Human Factor" numFmtId="15">
      <sharedItems containsNonDate="0" containsDate="1" containsString="0" containsBlank="1" minDate="2026-08-05T00:00:00" maxDate="2028-07-28T00:00:00"/>
    </cacheField>
    <cacheField name="HF Status" numFmtId="15">
      <sharedItems/>
    </cacheField>
    <cacheField name="Safety Management System" numFmtId="15">
      <sharedItems containsNonDate="0" containsDate="1" containsString="0" containsBlank="1" minDate="2026-08-05T00:00:00" maxDate="2028-07-28T00:00:00"/>
    </cacheField>
    <cacheField name="SMS Status" numFmtId="15">
      <sharedItems/>
    </cacheField>
    <cacheField name="GMF Quality System" numFmtId="15">
      <sharedItems containsNonDate="0" containsDate="1" containsString="0" containsBlank="1" minDate="2017-08-24T00:00:00" maxDate="2028-07-16T00:00:00"/>
    </cacheField>
    <cacheField name="QS Status" numFmtId="15">
      <sharedItems/>
    </cacheField>
    <cacheField name="CASR Part 145" numFmtId="15">
      <sharedItems containsNonDate="0" containsDate="1" containsString="0" containsBlank="1" minDate="2023-01-09T00:00:00" maxDate="2028-08-07T00:00:00"/>
    </cacheField>
    <cacheField name="CASR Status" numFmtId="15">
      <sharedItems containsBlank="1"/>
    </cacheField>
    <cacheField name="FAR Part 145" numFmtId="15">
      <sharedItems containsNonDate="0" containsDate="1" containsString="0" containsBlank="1" minDate="2023-01-09T00:00:00" maxDate="2028-08-07T00:00:00"/>
    </cacheField>
    <cacheField name="FAR Status" numFmtId="15">
      <sharedItems containsBlank="1"/>
    </cacheField>
    <cacheField name="EASA Part 145" numFmtId="15">
      <sharedItems containsNonDate="0" containsDate="1" containsString="0" containsBlank="1" minDate="2023-01-09T00:00:00" maxDate="2028-08-07T00:00:00"/>
    </cacheField>
    <cacheField name="EASA Status" numFmtId="15">
      <sharedItems containsBlank="1"/>
    </cacheField>
    <cacheField name="EASA Part M" numFmtId="15">
      <sharedItems containsNonDate="0" containsDate="1" containsString="0" containsBlank="1" minDate="2016-03-21T00:00:00" maxDate="2028-08-08T00:00:00"/>
    </cacheField>
    <cacheField name="Part M Status" numFmtId="15">
      <sharedItems containsBlank="1"/>
    </cacheField>
    <cacheField name="Fuel Tank Safety" numFmtId="15">
      <sharedItems containsNonDate="0" containsDate="1" containsString="0" containsBlank="1" minDate="2015-12-14T00:00:00" maxDate="2028-07-24T00:00:00"/>
    </cacheField>
    <cacheField name="FTS Status" numFmtId="15">
      <sharedItems containsBlank="1"/>
    </cacheField>
    <cacheField name="EWIS" numFmtId="15">
      <sharedItems containsNonDate="0" containsDate="1" containsString="0" containsBlank="1" minDate="2014-12-09T00:00:00" maxDate="2028-07-16T00:00:00"/>
    </cacheField>
    <cacheField name="EWIS Status" numFmtId="15">
      <sharedItems containsBlank="1"/>
    </cacheField>
    <cacheField name="Dangerous Good" numFmtId="15">
      <sharedItems containsNonDate="0" containsDate="1" containsString="0" containsBlank="1" minDate="2015-01-15T00:00:00" maxDate="2028-06-12T00:00:00"/>
    </cacheField>
    <cacheField name="DG Status" numFmtId="15">
      <sharedItems containsBlank="1"/>
    </cacheField>
    <cacheField name="ADTH" numFmtId="15">
      <sharedItems containsNonDate="0" containsDate="1" containsString="0" containsBlank="1" minDate="2000-07-19T00:00:00" maxDate="2027-01-11T00:00:00"/>
    </cacheField>
    <cacheField name="Basic Inspection" numFmtId="15">
      <sharedItems containsNonDate="0" containsDate="1" containsString="0" containsBlank="1" minDate="2005-06-10T00:00:00" maxDate="2026-09-26T00:00:00"/>
    </cacheField>
    <cacheField name="Basic Supervisory Training" numFmtId="15">
      <sharedItems containsNonDate="0" containsDate="1" containsString="0" containsBlank="1" minDate="2013-02-21T00:00:00" maxDate="2026-06-09T00:00:00"/>
    </cacheField>
    <cacheField name="Certifying Staff" numFmtId="15">
      <sharedItems containsNonDate="0" containsDate="1" containsString="0" containsBlank="1" minDate="2004-10-27T00:00:00" maxDate="2026-02-17T00:00:00"/>
    </cacheField>
    <cacheField name="Fundamental Troubleshooting" numFmtId="15">
      <sharedItems containsNonDate="0" containsDate="1" containsString="0" containsBlank="1" minDate="2006-06-23T00:00:00" maxDate="2026-05-12T00:00:00"/>
    </cacheField>
    <cacheField name="Training of Trainer" numFmtId="15">
      <sharedItems containsNonDate="0" containsDate="1" containsString="0" containsBlank="1" minDate="2013-04-16T00:00:00" maxDate="2026-06-25T00:00:00"/>
    </cacheField>
    <cacheField name="Basic Planning" numFmtId="15">
      <sharedItems containsDate="1" containsBlank="1" containsMixedTypes="1" minDate="2011-04-11T00:00:00" maxDate="2024-06-12T00:00:00"/>
    </cacheField>
    <cacheField name="Basic Engineering" numFmtId="15">
      <sharedItems containsDate="1" containsBlank="1" containsMixedTypes="1" minDate="2015-03-23T00:00:00" maxDate="2026-05-05T00:00:00"/>
    </cacheField>
    <cacheField name="Aircraft Familiarization" numFmtId="15">
      <sharedItems containsNonDate="0" containsDate="1" containsString="0" containsBlank="1" minDate="2016-03-29T00:00:00" maxDate="2028-07-16T00:00:00"/>
    </cacheField>
    <cacheField name="GMF Logistic Business" numFmtId="0">
      <sharedItems containsNonDate="0" containsString="0" containsBlank="1"/>
    </cacheField>
    <cacheField name="Warehouse Management" numFmtId="0">
      <sharedItems containsNonDate="0" containsString="0" containsBlank="1"/>
    </cacheField>
    <cacheField name="Material Handling" numFmtId="0">
      <sharedItems containsNonDate="0" containsString="0" containsBlank="1"/>
    </cacheField>
    <cacheField name="Aircraft Exterior &amp; Interior Cleaning" numFmtId="15">
      <sharedItems containsBlank="1"/>
    </cacheField>
    <cacheField name="GSE Type Rating" numFmtId="0">
      <sharedItems containsBlank="1"/>
    </cacheField>
    <cacheField name="Aviation Legislation Module 10" numFmtId="0">
      <sharedItems containsNonDate="0" containsDate="1" containsString="0" containsBlank="1" minDate="2023-12-08T00:00:00" maxDate="2028-07-17T00:00:00"/>
    </cacheField>
    <cacheField name="Leadership Skill Training" numFmtId="15">
      <sharedItems containsNonDate="0" containsDate="1" containsString="0" containsBlank="1" minDate="2016-01-22T00:00:00" maxDate="2026-12-11T00:00:00"/>
    </cacheField>
    <cacheField name="MRO Management" numFmtId="15">
      <sharedItems containsNonDate="0" containsDate="1" containsString="0" containsBlank="1" minDate="2016-10-26T00:00:00" maxDate="2026-02-22T00:00:00"/>
    </cacheField>
    <cacheField name="MRO Finance" numFmtId="15">
      <sharedItems containsNonDate="0" containsDate="1" containsString="0" containsBlank="1" minDate="2017-04-17T00:00:00" maxDate="2026-09-26T00:00:00"/>
    </cacheField>
    <cacheField name="Project Management basic" numFmtId="15">
      <sharedItems containsDate="1" containsBlank="1" containsMixedTypes="1" minDate="2023-02-22T00:00:00" maxDate="2026-03-07T00:00:00"/>
    </cacheField>
    <cacheField name="OLP" numFmtId="15">
      <sharedItems containsNonDate="0" containsDate="1" containsString="0" containsBlank="1" minDate="2022-05-24T00:00:00" maxDate="2024-06-25T00:00:00"/>
    </cacheField>
    <cacheField name="Office Administration" numFmtId="0">
      <sharedItems containsNonDate="0" containsString="0" containsBlank="1"/>
    </cacheField>
    <cacheField name="Basic Accounting Module" numFmtId="0">
      <sharedItems containsNonDate="0" containsString="0" containsBlank="1"/>
    </cacheField>
    <cacheField name="Service Excelent" numFmtId="0">
      <sharedItems containsNonDate="0" containsString="0" containsBlank="1"/>
    </cacheField>
    <cacheField name="Management for Secretary" numFmtId="0">
      <sharedItems containsNonDate="0" containsString="0" containsBlank="1"/>
    </cacheField>
    <cacheField name="RII" numFmtId="0">
      <sharedItems containsBlank="1"/>
    </cacheField>
    <cacheField name="Lead Auditor Course" numFmtId="0">
      <sharedItems containsBlank="1"/>
    </cacheField>
    <cacheField name="SWIFT Training" numFmtId="15">
      <sharedItems containsNonDate="0" containsDate="1" containsString="0" containsBlank="1" minDate="2023-06-07T00:00:00" maxDate="2027-03-20T00:00:00"/>
    </cacheField>
    <cacheField name="IFE" numFmtId="15">
      <sharedItems containsBlank="1"/>
    </cacheField>
    <cacheField name="Orientation Training" numFmtId="15">
      <sharedItems containsDate="1" containsBlank="1" containsMixedTypes="1" minDate="2014-01-07T00:00:00" maxDate="2026-04-17T00:00:00"/>
    </cacheField>
    <cacheField name="BCT" numFmtId="15">
      <sharedItems containsNonDate="0" containsDate="1" containsString="0" containsBlank="1" minDate="2013-08-27T00:00:00" maxDate="2015-01-30T00:00:00"/>
    </cacheField>
    <cacheField name="BAM" numFmtId="15">
      <sharedItems containsNonDate="0" containsDate="1" containsString="0" containsBlank="1" minDate="2008-09-10T00:00:00" maxDate="2023-10-03T00:00:00"/>
    </cacheField>
    <cacheField name="BATK" numFmtId="15">
      <sharedItems containsNonDate="0" containsDate="1" containsString="0" containsBlank="1" minDate="2011-01-17T00:00:00" maxDate="2025-09-30T00:00:00"/>
    </cacheField>
    <cacheField name="GAK" numFmtId="15">
      <sharedItems containsNonDate="0" containsDate="1" containsString="0" containsBlank="1" minDate="2018-11-21T00:00:00" maxDate="2026-01-20T00:00:00"/>
    </cacheField>
    <cacheField name="Type Rating Level III Training" numFmtId="15">
      <sharedItems containsDate="1" containsBlank="1" containsMixedTypes="1" minDate="2005-09-12T00:00:00" maxDate="2026-02-26T00:00:00" count="71">
        <m/>
        <d v="2024-09-23T00:00:00"/>
        <d v="2017-05-22T00:00:00"/>
        <d v="2021-12-15T00:00:00"/>
        <d v="2024-08-22T00:00:00"/>
        <d v="2020-11-30T00:00:00"/>
        <d v="2021-09-28T00:00:00"/>
        <d v="2021-03-08T00:00:00"/>
        <d v="2017-10-11T00:00:00"/>
        <d v="2017-10-09T00:00:00"/>
        <d v="2022-09-26T00:00:00"/>
        <d v="2024-02-15T00:00:00"/>
        <d v="2024-05-02T00:00:00"/>
        <d v="2022-08-15T00:00:00"/>
        <d v="2020-11-16T00:00:00"/>
        <d v="2024-08-27T00:00:00"/>
        <d v="2017-08-21T00:00:00"/>
        <d v="2022-01-12T00:00:00"/>
        <d v="2017-11-20T00:00:00"/>
        <d v="2016-02-17T00:00:00"/>
        <d v="2020-08-10T00:00:00"/>
        <d v="2023-10-16T00:00:00"/>
        <d v="2022-06-13T00:00:00"/>
        <d v="2022-07-11T00:00:00"/>
        <d v="2020-10-21T00:00:00"/>
        <d v="2023-08-21T00:00:00"/>
        <d v="2017-09-27T00:00:00"/>
        <d v="2024-09-13T00:00:00"/>
        <d v="2018-07-09T00:00:00"/>
        <d v="2017-04-17T00:00:00"/>
        <d v="2016-01-18T00:00:00"/>
        <d v="2022-11-02T00:00:00"/>
        <d v="2022-10-10T00:00:00"/>
        <d v="2016-04-11T00:00:00"/>
        <d v="2025-06-19T00:00:00"/>
        <d v="2023-02-13T00:00:00"/>
        <d v="2021-10-04T00:00:00"/>
        <d v="2023-08-07T00:00:00"/>
        <d v="2016-11-23T00:00:00"/>
        <d v="2017-07-24T00:00:00"/>
        <d v="2021-03-29T00:00:00"/>
        <d v="2026-01-19T00:00:00"/>
        <d v="2021-09-20T00:00:00"/>
        <d v="2016-06-01T00:00:00"/>
        <d v="2011-05-11T00:00:00"/>
        <d v="2016-10-19T00:00:00"/>
        <d v="2016-08-24T00:00:00"/>
        <d v="2021-12-03T00:00:00"/>
        <d v="2024-11-18T00:00:00"/>
        <d v="2023-02-08T00:00:00"/>
        <d v="2020-10-14T00:00:00"/>
        <d v="2018-10-15T00:00:00"/>
        <d v="2019-07-23T00:00:00"/>
        <d v="2017-10-16T00:00:00"/>
        <d v="2021-04-21T00:00:00"/>
        <d v="2022-07-18T00:00:00"/>
        <d v="2017-07-17T00:00:00"/>
        <d v="2019-03-27T00:00:00"/>
        <d v="2024-12-10T00:00:00"/>
        <d v="2023-02-27T00:00:00"/>
        <d v="2019-11-27T00:00:00"/>
        <d v="2019-01-08T00:00:00"/>
        <d v="2021-04-26T00:00:00"/>
        <d v="2021-11-12T00:00:00"/>
        <d v="2021-02-08T00:00:00"/>
        <d v="2017-01-15T00:00:00"/>
        <d v="2026-02-25T00:00:00"/>
        <d v="2023-05-29T00:00:00"/>
        <d v="2005-09-12T00:00:00"/>
        <d v="2017-03-22T00:00:00"/>
        <s v="Fam (29 Mar 2016)"/>
      </sharedItems>
    </cacheField>
    <cacheField name="1" numFmtId="15">
      <sharedItems containsBlank="1" count="7">
        <m/>
        <s v="A330"/>
        <s v="A320"/>
        <s v="B737"/>
        <s v="B777"/>
        <s v="ATR"/>
        <s v="CRJ"/>
      </sharedItems>
    </cacheField>
    <cacheField name="2" numFmtId="0">
      <sharedItems containsBlank="1" count="10">
        <m/>
        <s v="CRJ"/>
        <s v="A330 Neo"/>
        <s v="A320 Neo"/>
        <s v="ATR"/>
        <s v="B777"/>
        <s v="B737"/>
        <s v="A330"/>
        <s v="A320"/>
        <s v="B737 Max"/>
      </sharedItems>
    </cacheField>
    <cacheField name="3" numFmtId="0">
      <sharedItems containsBlank="1" count="6">
        <m/>
        <s v="B737 MAX"/>
        <s v="A320 Neo"/>
        <s v="CRJ"/>
        <s v="A330 NEO"/>
        <s v="A330 Neo, A320 Neo"/>
      </sharedItems>
    </cacheField>
    <cacheField name="Simplified Technical English" numFmtId="15">
      <sharedItems containsDate="1" containsBlank="1" containsMixedTypes="1" minDate="2026-06-25T00:00:00" maxDate="2026-06-26T00:00:00"/>
    </cacheField>
    <cacheField name="Radio Telephony" numFmtId="15">
      <sharedItems containsDate="1" containsBlank="1" containsMixedTypes="1" minDate="2026-04-17T00:00:00" maxDate="2026-04-18T00:00:00"/>
    </cacheField>
    <cacheField name="B737 BCF" numFmtId="15">
      <sharedItems containsBlank="1"/>
    </cacheField>
    <cacheField name="Mandatory for Supporting" numFmtId="15">
      <sharedItems containsNonDate="0" containsDate="1" containsString="0" containsBlank="1" minDate="2023-03-01T00:00:00" maxDate="2028-04-30T00:00:00"/>
    </cacheField>
    <cacheField name="Req Training" numFmtId="0">
      <sharedItems containsSemiMixedTypes="0" containsString="0" containsNumber="1" containsInteger="1" minValue="2" maxValue="17"/>
    </cacheField>
    <cacheField name="Completed Training" numFmtId="0">
      <sharedItems containsSemiMixedTypes="0" containsString="0" containsNumber="1" containsInteger="1" minValue="2" maxValue="17"/>
    </cacheField>
    <cacheField name="Achievement" numFmtId="10">
      <sharedItems containsSemiMixedTypes="0" containsString="0" containsNumber="1" minValue="0" maxValue="4.2" count="39">
        <n v="1"/>
        <n v="0.93333333333333335"/>
        <n v="0.92307692307692313"/>
        <n v="0.8666666666666667"/>
        <n v="0.9285714285714286"/>
        <n v="0.8571428571428571"/>
        <n v="0.88888888888888884"/>
        <n v="0.8"/>
        <n v="0.84615384615384615"/>
        <n v="0.76923076923076927"/>
        <n v="0.53846153846153844"/>
        <n v="0.69230769230769229"/>
        <n v="0.61538461538461542"/>
        <n v="0.13333333333333333"/>
        <n v="0.9375" u="1"/>
        <n v="0.7857142857142857" u="1"/>
        <n v="0.30769230769230771" u="1"/>
        <n v="0" u="1"/>
        <n v="0.91666666666666663" u="1"/>
        <n v="0.73333333333333328" u="1"/>
        <n v="0.94117647058823528" u="1"/>
        <n v="0.66666666666666663" u="1"/>
        <n v="0.75" u="1"/>
        <n v="0.92" u="1"/>
        <n v="0.86363636363636365" u="1"/>
        <n v="0.95454545454545459" u="1"/>
        <n v="0.96" u="1"/>
        <n v="0.95833333333333337" u="1"/>
        <n v="0.96153846153846156" u="1"/>
        <n v="0.90909090909090906" u="1"/>
        <n v="0.875" u="1"/>
        <n v="0.84" u="1"/>
        <n v="0.88" u="1"/>
        <n v="0.82352941176470584" u="1"/>
        <n v="0.91304347826086951" u="1"/>
        <n v="0.95652173913043481" u="1"/>
        <n v="4.2" u="1"/>
        <n v="2.8333333333333335" u="1"/>
        <n v="0.4" u="1"/>
      </sharedItems>
    </cacheField>
    <cacheField name="Training Achivement" numFmtId="0">
      <sharedItems containsBlank="1"/>
    </cacheField>
    <cacheField name="Employee Category" numFmtId="0">
      <sharedItems containsBlank="1"/>
    </cacheField>
    <cacheField name="General Lic." numFmtId="0">
      <sharedItems containsBlank="1"/>
    </cacheField>
    <cacheField name="AMEL 1" numFmtId="15">
      <sharedItems containsBlank="1" count="7">
        <m/>
        <s v="A330"/>
        <s v="A320"/>
        <s v="B737"/>
        <s v="B777"/>
        <s v="ATR"/>
        <s v="CRJ"/>
      </sharedItems>
    </cacheField>
    <cacheField name="AMEL 2" numFmtId="0">
      <sharedItems containsBlank="1" count="10">
        <m/>
        <s v="CRJ"/>
        <s v="A330 Neo"/>
        <s v="A320 Neo"/>
        <s v="ATR"/>
        <s v="B737"/>
        <s v="B777"/>
        <s v="A320"/>
        <s v="B737 Max"/>
        <s v="A330"/>
      </sharedItems>
    </cacheField>
    <cacheField name="AMEL 3" numFmtId="0">
      <sharedItems containsBlank="1" count="3">
        <m/>
        <s v="CRJ"/>
        <s v="A330 Neo, A320 Neo"/>
      </sharedItems>
    </cacheField>
    <cacheField name="AMEL No" numFmtId="0">
      <sharedItems containsBlank="1" containsMixedTypes="1" containsNumber="1" containsInteger="1" minValue="11708" maxValue="17371" count="85">
        <m/>
        <s v="10104"/>
        <s v="6685"/>
        <s v="7163"/>
        <s v="15347"/>
        <s v="10480"/>
        <s v="15473"/>
        <s v="8149"/>
        <s v="8527"/>
        <s v="10095"/>
        <n v="14175"/>
        <n v="12097"/>
        <s v="12024"/>
        <s v="15448"/>
        <s v="14243"/>
        <s v="8712"/>
        <s v="14343"/>
        <n v="17371"/>
        <s v="6716"/>
        <s v="8400"/>
        <s v="10996"/>
        <n v="12390"/>
        <s v="12928"/>
        <n v="12225"/>
        <s v="15162"/>
        <n v="13884"/>
        <s v="10414"/>
        <s v="10290"/>
        <s v="8256"/>
        <s v="8389"/>
        <s v="8402"/>
        <s v="14698"/>
        <s v="11760"/>
        <s v="8537"/>
        <n v="12091"/>
        <s v="11765"/>
        <s v="11814"/>
        <s v="15485"/>
        <s v="10467"/>
        <s v="15402"/>
        <s v="15335"/>
        <s v="15557"/>
        <s v="8194"/>
        <s v="9745"/>
        <s v="7153"/>
        <s v="12077"/>
        <s v="12078"/>
        <n v="12254"/>
        <s v="15472"/>
        <s v="14941"/>
        <s v="7154"/>
        <s v="15169"/>
        <s v="10416"/>
        <s v="15516"/>
        <s v="15884"/>
        <s v="8399"/>
        <s v="8544"/>
        <s v="10358"/>
        <s v="5886"/>
        <s v="12048"/>
        <s v="11710"/>
        <s v="15175"/>
        <s v="6672"/>
        <n v="11708"/>
        <s v="10873"/>
        <n v="16486"/>
        <s v="15359"/>
        <s v="15625"/>
        <s v="12034"/>
        <s v="8392"/>
        <s v="15349"/>
        <s v="8831"/>
        <s v="10836"/>
        <s v="10165"/>
        <s v="15463"/>
        <s v="15644"/>
        <s v="8709"/>
        <s v="5470"/>
        <s v="14929"/>
        <s v="8546"/>
        <s v="8541"/>
        <s v="8832"/>
        <s v="15280"/>
        <s v="5887"/>
        <s v="10630"/>
      </sharedItems>
    </cacheField>
    <cacheField name="AMEL Qty" numFmtId="0">
      <sharedItems containsString="0" containsBlank="1" containsNumber="1" containsInteger="1" minValue="1" maxValue="3"/>
    </cacheField>
    <cacheField name="CS No" numFmtId="0">
      <sharedItems containsBlank="1" containsMixedTypes="1" containsNumber="1" containsInteger="1" minValue="13742" maxValue="13802"/>
    </cacheField>
    <cacheField name="Stamp No" numFmtId="0">
      <sharedItems containsBlank="1" count="126">
        <m/>
        <s v="I.A10104"/>
        <s v="I.A6685"/>
        <s v="I.A7163"/>
        <s v="M.583742_x0009_"/>
        <s v="I.E15347"/>
        <s v="I.A10480"/>
        <s v="I.E15473"/>
        <s v="I.A8149"/>
        <s v="I.A8527"/>
        <s v="M.580790"/>
        <s v="I.E10095"/>
        <s v="M.584197"/>
        <s v="M.581601"/>
        <s v="M.581602D1"/>
        <s v="I.E14175"/>
        <s v="M.580786"/>
        <s v="M.581619"/>
        <s v="I.E15448"/>
        <s v="M.582679"/>
        <s v="M.582544"/>
        <s v="M.528874"/>
        <s v="I.A8712"/>
        <s v="I.A14343"/>
        <s v="M.582134"/>
        <s v="I.A6716"/>
        <s v="I.E8400"/>
        <s v="M.584249"/>
        <s v="I.E10996"/>
        <s v="M.581612"/>
        <s v="I.A12928"/>
        <s v="I.E12225"/>
        <s v="M.581567"/>
        <s v="I.E15162"/>
        <s v="I.A13884"/>
        <s v="M.581711"/>
        <s v="M.582594"/>
        <s v="M.582115"/>
        <s v="I.A8256"/>
        <s v="I.A8389"/>
        <s v="I.E8402"/>
        <s v="M.584250"/>
        <s v="I.A14698"/>
        <s v="I.A11760"/>
        <s v="I.E8537"/>
        <s v="M.582043"/>
        <s v="M.580787"/>
        <s v="I.A11765"/>
        <s v="I.A11814"/>
        <s v="I.E15485"/>
        <s v="M.583733"/>
        <s v="M.533496"/>
        <s v="I.A15402"/>
        <s v="I.A15335"/>
        <s v="M.584035"/>
        <s v="M.582687"/>
        <s v="M.582684"/>
        <s v="M.533478"/>
        <s v="I.A8194"/>
        <s v="I.A9745"/>
        <s v="I.A7153"/>
        <s v="M.584253"/>
        <s v="I.A12077"/>
        <s v="I.A12078"/>
        <s v="I.E12254"/>
        <s v="I.A15472"/>
        <s v="I.E14941"/>
        <s v="I.A7154"/>
        <s v="I.A15169"/>
        <s v="I.A10416"/>
        <s v="I.E15516"/>
        <s v="I.E15884"/>
        <s v="I.E8399"/>
        <s v="I.E8544"/>
        <s v="M.584318"/>
        <s v="M.584312"/>
        <s v="I.E10358"/>
        <s v="M.580792"/>
        <s v="I.A12048"/>
        <s v="M.581479"/>
        <s v="M.581604"/>
        <s v="I.A11710"/>
        <s v="M.581610"/>
        <s v="I.A15175"/>
        <s v="M.583731"/>
        <s v="M.583738"/>
        <s v="M.583734"/>
        <s v="I.A6672"/>
        <s v="I.A11708"/>
        <s v="I.A10873"/>
        <s v="M.582232"/>
        <s v="I.A15359"/>
        <s v="M.582602"/>
        <s v="I.A15625"/>
        <s v="M.583743"/>
        <s v="I.A8392"/>
        <s v="I.A15349"/>
        <s v="I.A8831"/>
        <s v="I.A10836"/>
        <s v="I.A10165"/>
        <s v="M.584036"/>
        <s v="M.584034"/>
        <s v="M.583620"/>
        <s v="I.A15463"/>
        <s v="I.A15644"/>
        <s v="I.E8709"/>
        <s v="I.E5470 D1"/>
        <s v="I.A14929"/>
        <s v="M.526956"/>
        <s v="M.527238"/>
        <s v="M.582161D1"/>
        <s v="M.581219"/>
        <s v="M.533503"/>
        <s v="M.581312"/>
        <s v="M.582600"/>
        <s v="M.581663"/>
        <s v="I.E8541"/>
        <s v="I.A8832"/>
        <s v="I.A15280"/>
        <s v="I.A5887"/>
        <s v="I.A10630"/>
        <s v="M.581603" u="1"/>
        <s v="M.583741" u="1"/>
        <s v="M.525070" u="1"/>
        <s v="M.583737" u="1"/>
        <s v="M.580635" u="1"/>
      </sharedItems>
    </cacheField>
    <cacheField name="AMEL Validity" numFmtId="0">
      <sharedItems containsNonDate="0" containsDate="1" containsString="0" containsBlank="1" minDate="2025-10-15T00:00:00" maxDate="2029-07-19T00:00:00"/>
    </cacheField>
    <cacheField name="AMEL Status" numFmtId="15">
      <sharedItems/>
    </cacheField>
    <cacheField name="CS Validity" numFmtId="0">
      <sharedItems containsBlank="1"/>
    </cacheField>
    <cacheField name="Stamp Validity" numFmtId="0">
      <sharedItems containsNonDate="0" containsDate="1" containsString="0" containsBlank="1" minDate="2026-07-05T00:00:00" maxDate="2057-09-03T00:00:00"/>
    </cacheField>
    <cacheField name="Stamp Status" numFmtId="15">
      <sharedItems/>
    </cacheField>
    <cacheField name="Eligibility ACE" numFmtId="0">
      <sharedItems/>
    </cacheField>
    <cacheField name="Eligibility SA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n v="1"/>
    <n v="533380"/>
    <x v="0"/>
    <x v="0"/>
    <s v="p401"/>
    <s v="JKTTLF"/>
    <x v="0"/>
    <d v="2028-06-21T00:00:00"/>
    <s v="Valid"/>
    <d v="2028-06-21T00:00:00"/>
    <s v="Valid"/>
    <d v="2022-05-11T00:00:00"/>
    <s v="Valid"/>
    <m/>
    <s v="Valid"/>
    <m/>
    <s v="Valid"/>
    <m/>
    <s v="Valid"/>
    <d v="2016-03-21T00:00:00"/>
    <s v="Valid"/>
    <d v="2015-12-14T00:00:00"/>
    <s v="Valid"/>
    <m/>
    <s v="Valid"/>
    <d v="2015-12-29T00:00:00"/>
    <s v="Valid"/>
    <m/>
    <m/>
    <m/>
    <m/>
    <m/>
    <m/>
    <m/>
    <m/>
    <m/>
    <m/>
    <m/>
    <m/>
    <m/>
    <m/>
    <m/>
    <d v="2018-04-13T00:00:00"/>
    <m/>
    <d v="2023-05-27T00:00:00"/>
    <m/>
    <m/>
    <m/>
    <m/>
    <m/>
    <m/>
    <s v="2012-09-20"/>
    <s v="2012-04-04"/>
    <m/>
    <m/>
    <s v="2024-12-31"/>
    <m/>
    <m/>
    <d v="2011-07-11T00:00:00"/>
    <m/>
    <x v="0"/>
    <x v="0"/>
    <x v="0"/>
    <x v="0"/>
    <m/>
    <m/>
    <m/>
    <m/>
    <n v="2"/>
    <n v="2"/>
    <x v="0"/>
    <s v="75.00%"/>
    <s v="INDIRECT"/>
    <m/>
    <x v="0"/>
    <x v="0"/>
    <x v="0"/>
    <x v="0"/>
    <m/>
    <m/>
    <x v="0"/>
    <m/>
    <s v="Not Trained"/>
    <s v=" null"/>
    <m/>
    <s v="Valid"/>
    <s v="Not eligible"/>
    <s v="Not eligible"/>
  </r>
  <r>
    <n v="2"/>
    <n v="783543"/>
    <x v="1"/>
    <x v="1"/>
    <m/>
    <m/>
    <x v="0"/>
    <d v="2027-09-25T00:00:00"/>
    <s v="Valid"/>
    <d v="2027-09-25T00:00:00"/>
    <s v="Valid"/>
    <d v="2027-09-25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04T00:00:00"/>
    <m/>
    <m/>
    <m/>
    <d v="2026-01-19T00:00:00"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3"/>
    <n v="532995"/>
    <x v="2"/>
    <x v="2"/>
    <m/>
    <m/>
    <x v="1"/>
    <d v="2026-09-23T00:00:00"/>
    <s v="Expiring"/>
    <d v="2026-09-23T00:00:00"/>
    <s v="Expiring"/>
    <d v="2018-09-27T00:00:00"/>
    <s v="Valid"/>
    <d v="2027-02-25T00:00:00"/>
    <s v="Valid"/>
    <d v="2027-02-25T00:00:00"/>
    <s v="Valid"/>
    <d v="2027-02-25T00:00:00"/>
    <s v="Valid"/>
    <d v="2027-02-25T00:00:00"/>
    <s v="Valid"/>
    <d v="2020-10-08T00:00:00"/>
    <s v="Valid"/>
    <d v="2014-12-09T00:00:00"/>
    <s v="Valid"/>
    <d v="2016-08-29T00:00:00"/>
    <s v="Valid"/>
    <m/>
    <m/>
    <d v="2025-03-12T00:00:00"/>
    <m/>
    <m/>
    <d v="2023-10-18T00:00:00"/>
    <d v="2011-04-11T00:00:00"/>
    <m/>
    <m/>
    <m/>
    <m/>
    <m/>
    <m/>
    <m/>
    <d v="2023-12-08T00:00:00"/>
    <d v="2016-09-07T00:00:00"/>
    <d v="2016-10-26T00:00:00"/>
    <d v="2017-04-17T00:00:00"/>
    <m/>
    <d v="2024-06-24T00:00:00"/>
    <m/>
    <m/>
    <m/>
    <m/>
    <m/>
    <m/>
    <m/>
    <m/>
    <d v="2024-05-15T00:00:00"/>
    <m/>
    <m/>
    <d v="2011-01-17T00:00:00"/>
    <m/>
    <x v="0"/>
    <x v="0"/>
    <x v="0"/>
    <x v="0"/>
    <m/>
    <m/>
    <m/>
    <m/>
    <n v="12"/>
    <n v="12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4"/>
    <n v="581071"/>
    <x v="3"/>
    <x v="3"/>
    <s v="p414"/>
    <s v="JKTTLF-1"/>
    <x v="2"/>
    <d v="2027-05-07T00:00:00"/>
    <s v="Valid"/>
    <d v="2027-05-07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3-12-21T00:00:00"/>
    <s v="Valid"/>
    <d v="2016-03-16T00:00:00"/>
    <d v="2018-11-25T00:00:00"/>
    <d v="2022-03-04T00:00:00"/>
    <d v="2022-02-28T00:00:00"/>
    <d v="2025-01-26T00:00:00"/>
    <m/>
    <m/>
    <m/>
    <m/>
    <m/>
    <m/>
    <m/>
    <m/>
    <m/>
    <m/>
    <m/>
    <m/>
    <m/>
    <m/>
    <m/>
    <m/>
    <m/>
    <m/>
    <m/>
    <m/>
    <m/>
    <d v="2026-02-21T00:00:00"/>
    <m/>
    <s v="2024-04-03"/>
    <m/>
    <d v="2014-12-18T00:00:00"/>
    <m/>
    <m/>
    <x v="1"/>
    <x v="1"/>
    <x v="1"/>
    <x v="0"/>
    <m/>
    <m/>
    <m/>
    <m/>
    <n v="15"/>
    <n v="15"/>
    <x v="0"/>
    <s v="100.00%"/>
    <s v="DIRECT"/>
    <m/>
    <x v="1"/>
    <x v="1"/>
    <x v="0"/>
    <x v="1"/>
    <m/>
    <m/>
    <x v="1"/>
    <d v="2029-03-19T00:00:00"/>
    <s v="Valid"/>
    <s v="A null"/>
    <d v="2049-11-29T00:00:00"/>
    <s v="Not Trained"/>
    <s v="Eligible"/>
    <s v="Eligible"/>
  </r>
  <r>
    <n v="5"/>
    <n v="532717"/>
    <x v="4"/>
    <x v="4"/>
    <s v="p407"/>
    <s v="JKTTLF-1"/>
    <x v="3"/>
    <d v="2027-05-21T00:00:00"/>
    <s v="Valid"/>
    <d v="2027-05-21T00:00:00"/>
    <s v="Valid"/>
    <d v="2027-05-26T00:00:00"/>
    <s v="Valid"/>
    <d v="2026-07-02T00:00:00"/>
    <s v="Valid"/>
    <d v="2026-07-07T00:00:00"/>
    <s v="Valid"/>
    <d v="2026-07-07T00:00:00"/>
    <s v="Valid"/>
    <d v="2026-07-07T00:00:00"/>
    <s v="Valid"/>
    <d v="2027-05-26T00:00:00"/>
    <s v="Valid"/>
    <d v="2026-07-07T00:00:00"/>
    <s v="Valid"/>
    <d v="2024-04-04T00:00:00"/>
    <s v="Valid"/>
    <d v="2011-05-13T00:00:00"/>
    <d v="2016-12-23T00:00:00"/>
    <d v="2017-09-23T00:00:00"/>
    <d v="2018-02-03T00:00:00"/>
    <d v="2020-02-28T00:00:00"/>
    <d v="2019-05-17T00:00:00"/>
    <m/>
    <m/>
    <m/>
    <m/>
    <m/>
    <m/>
    <m/>
    <m/>
    <d v="2026-06-08T00:00:00"/>
    <m/>
    <m/>
    <m/>
    <m/>
    <m/>
    <m/>
    <m/>
    <m/>
    <m/>
    <m/>
    <m/>
    <d v="2026-10-16T00:00:00"/>
    <s v="2019-12-12"/>
    <s v="2024-12-30"/>
    <m/>
    <d v="2008-09-10T00:00:00"/>
    <m/>
    <m/>
    <x v="2"/>
    <x v="1"/>
    <x v="2"/>
    <x v="0"/>
    <s v="2010-07-01"/>
    <m/>
    <m/>
    <m/>
    <n v="9"/>
    <n v="9"/>
    <x v="0"/>
    <s v="100.00%"/>
    <s v="DIRECT"/>
    <s v="A1 A4"/>
    <x v="1"/>
    <x v="2"/>
    <x v="0"/>
    <x v="2"/>
    <m/>
    <m/>
    <x v="2"/>
    <d v="2026-08-19T00:00:00"/>
    <s v="Expiring"/>
    <s v="A null"/>
    <d v="2046-08-20T00:00:00"/>
    <s v="Valid"/>
    <s v="Eligible"/>
    <s v="Eligible"/>
  </r>
  <r>
    <n v="6"/>
    <n v="533492"/>
    <x v="5"/>
    <x v="3"/>
    <s v="p414"/>
    <s v="JKTTLF-1"/>
    <x v="2"/>
    <d v="2027-07-13T00:00:00"/>
    <s v="Valid"/>
    <d v="2027-07-13T00:00:00"/>
    <s v="Valid"/>
    <d v="2027-03-24T00:00:00"/>
    <s v="Valid"/>
    <d v="2027-09-06T00:00:00"/>
    <s v="Valid"/>
    <d v="2027-09-06T00:00:00"/>
    <s v="Valid"/>
    <d v="2027-09-06T00:00:00"/>
    <s v="Valid"/>
    <d v="2027-09-06T00:00:00"/>
    <s v="Valid"/>
    <d v="2026-12-20T00:00:00"/>
    <s v="Valid"/>
    <d v="2027-03-05T00:00:00"/>
    <s v="Valid"/>
    <d v="2023-09-22T00:00:00"/>
    <s v="Valid"/>
    <d v="2011-11-09T00:00:00"/>
    <d v="2018-12-19T00:00:00"/>
    <d v="2019-06-07T00:00:00"/>
    <d v="2024-08-02T00:00:00"/>
    <d v="2024-02-16T00:00:00"/>
    <d v="2023-06-20T00:00:00"/>
    <m/>
    <m/>
    <m/>
    <m/>
    <m/>
    <m/>
    <m/>
    <m/>
    <m/>
    <m/>
    <m/>
    <m/>
    <m/>
    <m/>
    <m/>
    <m/>
    <m/>
    <m/>
    <m/>
    <m/>
    <d v="2026-10-23T00:00:00"/>
    <s v="2011-12-16"/>
    <s v="2024-12-30"/>
    <m/>
    <m/>
    <m/>
    <m/>
    <x v="3"/>
    <x v="2"/>
    <x v="3"/>
    <x v="0"/>
    <m/>
    <m/>
    <m/>
    <m/>
    <n v="15"/>
    <n v="15"/>
    <x v="0"/>
    <s v="100.00%"/>
    <s v="DIRECT"/>
    <s v="A1 A4"/>
    <x v="2"/>
    <x v="3"/>
    <x v="0"/>
    <x v="3"/>
    <n v="2"/>
    <m/>
    <x v="3"/>
    <d v="2028-03-01T00:00:00"/>
    <s v="Valid"/>
    <s v="A null"/>
    <d v="2047-07-12T00:00:00"/>
    <s v="Valid"/>
    <s v="Eligible"/>
    <s v="Eligible"/>
  </r>
  <r>
    <n v="7"/>
    <n v="583742"/>
    <x v="6"/>
    <x v="5"/>
    <s v="p422"/>
    <s v="JKTTLF-1"/>
    <x v="2"/>
    <d v="2028-01-14T00:00:00"/>
    <s v="Valid"/>
    <d v="2028-01-14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7-09-15T00:00:00"/>
    <s v="Valid"/>
    <d v="2027-07-07T00:00:00"/>
    <s v="Valid"/>
    <d v="2024-01-13T00:00:00"/>
    <s v="Valid"/>
    <d v="2024-06-09T00:00:00"/>
    <m/>
    <d v="2025-02-14T00:00:00"/>
    <m/>
    <d v="2026-02-23T00:00:00"/>
    <m/>
    <m/>
    <m/>
    <m/>
    <m/>
    <m/>
    <m/>
    <m/>
    <m/>
    <m/>
    <m/>
    <m/>
    <m/>
    <m/>
    <m/>
    <m/>
    <m/>
    <m/>
    <m/>
    <m/>
    <m/>
    <d v="2026-02-15T00:00:00"/>
    <s v="2022-11-09"/>
    <d v="2025-07-02T00:00:00"/>
    <m/>
    <d v="2017-09-18T00:00:00"/>
    <m/>
    <m/>
    <x v="4"/>
    <x v="2"/>
    <x v="0"/>
    <x v="0"/>
    <m/>
    <m/>
    <m/>
    <m/>
    <n v="15"/>
    <n v="14"/>
    <x v="1"/>
    <s v="92.31%"/>
    <s v="DIRECT"/>
    <s v="A1 A4"/>
    <x v="0"/>
    <x v="0"/>
    <x v="0"/>
    <x v="0"/>
    <m/>
    <m/>
    <x v="4"/>
    <m/>
    <s v="Not Trained"/>
    <s v="A null"/>
    <d v="2056-01-04T00:00:00"/>
    <s v="Valid"/>
    <s v="Not eligible"/>
    <s v="Not eligible"/>
  </r>
  <r>
    <n v="8"/>
    <n v="582541"/>
    <x v="7"/>
    <x v="5"/>
    <s v="p422"/>
    <s v="JKTTLF-1"/>
    <x v="4"/>
    <d v="2028-02-11T00:00:00"/>
    <s v="Valid"/>
    <d v="2028-02-11T00:00:00"/>
    <s v="Valid"/>
    <d v="2028-04-02T00:00:00"/>
    <s v="Valid"/>
    <d v="2028-04-02T00:00:00"/>
    <s v="Valid"/>
    <d v="2028-04-02T00:00:00"/>
    <s v="Valid"/>
    <d v="2028-04-02T00:00:00"/>
    <s v="Valid"/>
    <d v="2028-04-02T00:00:00"/>
    <s v="Valid"/>
    <d v="2028-04-02T00:00:00"/>
    <s v="Valid"/>
    <d v="2028-04-02T00:00:00"/>
    <s v="Valid"/>
    <d v="2024-04-15T00:00:00"/>
    <s v="Valid"/>
    <d v="2022-02-26T00:00:00"/>
    <d v="2025-02-28T00:00:00"/>
    <d v="2021-09-17T00:00:00"/>
    <d v="2023-05-12T00:00:00"/>
    <d v="2022-09-30T00:00:00"/>
    <d v="2023-08-01T00:00:00"/>
    <m/>
    <m/>
    <m/>
    <m/>
    <m/>
    <m/>
    <m/>
    <m/>
    <m/>
    <m/>
    <m/>
    <m/>
    <d v="2026-02-23T00:00:00"/>
    <m/>
    <m/>
    <m/>
    <m/>
    <m/>
    <m/>
    <m/>
    <d v="2026-08-21T00:00:00"/>
    <s v="2017-10-26"/>
    <s v="2017-10-11"/>
    <m/>
    <m/>
    <m/>
    <m/>
    <x v="5"/>
    <x v="2"/>
    <x v="3"/>
    <x v="0"/>
    <m/>
    <m/>
    <m/>
    <m/>
    <n v="15"/>
    <n v="15"/>
    <x v="0"/>
    <s v="100.00%"/>
    <s v="DIRECT"/>
    <s v="C1 C2 C4"/>
    <x v="2"/>
    <x v="3"/>
    <x v="0"/>
    <x v="4"/>
    <m/>
    <m/>
    <x v="5"/>
    <d v="2028-11-21T00:00:00"/>
    <s v="Valid"/>
    <s v="A null"/>
    <d v="2053-11-07T00:00:00"/>
    <s v="Valid"/>
    <s v="Eligible"/>
    <s v="Eligible"/>
  </r>
  <r>
    <n v="9"/>
    <n v="581765"/>
    <x v="8"/>
    <x v="3"/>
    <s v="p414"/>
    <s v="JKTTLF-1"/>
    <x v="2"/>
    <d v="2028-04-08T00:00:00"/>
    <s v="Valid"/>
    <d v="2028-04-08T00:00:00"/>
    <s v="Valid"/>
    <d v="2028-02-12T00:00:00"/>
    <s v="Valid"/>
    <d v="2028-02-12T00:00:00"/>
    <s v="Valid"/>
    <d v="2028-02-12T00:00:00"/>
    <s v="Valid"/>
    <d v="2028-02-12T00:00:00"/>
    <s v="Valid"/>
    <d v="2028-02-12T00:00:00"/>
    <s v="Valid"/>
    <d v="2028-02-12T00:00:00"/>
    <s v="Valid"/>
    <d v="2028-02-12T00:00:00"/>
    <s v="Valid"/>
    <d v="2024-04-08T00:00:00"/>
    <s v="Valid"/>
    <d v="2019-04-24T00:00:00"/>
    <d v="2020-05-18T00:00:00"/>
    <d v="2022-08-06T00:00:00"/>
    <d v="2024-03-04T00:00:00"/>
    <d v="2024-02-09T00:00:00"/>
    <d v="2023-03-21T00:00:00"/>
    <m/>
    <m/>
    <m/>
    <m/>
    <m/>
    <m/>
    <m/>
    <m/>
    <m/>
    <m/>
    <m/>
    <m/>
    <m/>
    <m/>
    <m/>
    <m/>
    <m/>
    <m/>
    <m/>
    <m/>
    <d v="2026-03-15T00:00:00"/>
    <s v="2022-09-16"/>
    <s v="2018-04-11"/>
    <m/>
    <m/>
    <m/>
    <m/>
    <x v="6"/>
    <x v="1"/>
    <x v="2"/>
    <x v="0"/>
    <m/>
    <m/>
    <m/>
    <m/>
    <n v="15"/>
    <n v="15"/>
    <x v="0"/>
    <s v="100.00%"/>
    <s v="DIRECT"/>
    <s v="A1 A3 A4"/>
    <x v="1"/>
    <x v="2"/>
    <x v="0"/>
    <x v="5"/>
    <m/>
    <m/>
    <x v="6"/>
    <d v="2028-12-10T00:00:00"/>
    <s v="Valid"/>
    <s v="A null"/>
    <d v="2050-08-02T00:00:00"/>
    <s v="Valid"/>
    <s v="Eligible"/>
    <s v="Eligible"/>
  </r>
  <r>
    <n v="10"/>
    <n v="582542"/>
    <x v="9"/>
    <x v="5"/>
    <s v="p422"/>
    <s v="JKTTLF-1"/>
    <x v="2"/>
    <d v="2028-04-15T00:00:00"/>
    <s v="Valid"/>
    <d v="2028-04-15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4-06-08T00:00:00"/>
    <s v="Valid"/>
    <d v="2019-10-04T00:00:00"/>
    <d v="2024-09-13T00:00:00"/>
    <d v="2022-01-28T00:00:00"/>
    <d v="2023-06-19T00:00:00"/>
    <d v="2022-03-24T00:00:00"/>
    <d v="2024-04-30T00:00:00"/>
    <m/>
    <m/>
    <m/>
    <m/>
    <m/>
    <m/>
    <m/>
    <m/>
    <m/>
    <m/>
    <m/>
    <m/>
    <m/>
    <m/>
    <m/>
    <m/>
    <m/>
    <m/>
    <m/>
    <m/>
    <d v="2025-12-06T00:00:00"/>
    <s v="2022-03-10"/>
    <s v="2017-10-11"/>
    <m/>
    <m/>
    <m/>
    <m/>
    <x v="7"/>
    <x v="3"/>
    <x v="0"/>
    <x v="0"/>
    <m/>
    <s v="2023-10-27"/>
    <m/>
    <m/>
    <n v="15"/>
    <n v="15"/>
    <x v="0"/>
    <s v="100.00%"/>
    <s v="DIRECT"/>
    <s v="C1 C2 C4"/>
    <x v="3"/>
    <x v="0"/>
    <x v="0"/>
    <x v="6"/>
    <m/>
    <n v="13763"/>
    <x v="7"/>
    <d v="2029-02-04T00:00:00"/>
    <s v="Valid"/>
    <s v="A null"/>
    <d v="2053-01-07T00:00:00"/>
    <s v="Valid"/>
    <s v="Eligible"/>
    <s v="Not eligible"/>
  </r>
  <r>
    <n v="11"/>
    <n v="533498"/>
    <x v="10"/>
    <x v="6"/>
    <s v="p404"/>
    <s v="JKTTLF-1"/>
    <x v="2"/>
    <d v="2028-07-22T00:00:00"/>
    <s v="Valid"/>
    <d v="2028-07-22T00:00:00"/>
    <s v="Valid"/>
    <d v="2026-12-12T00:00:00"/>
    <s v="Valid"/>
    <d v="2026-12-12T00:00:00"/>
    <s v="Valid"/>
    <d v="2026-10-10T00:00:00"/>
    <s v="Expiring"/>
    <d v="2026-12-12T00:00:00"/>
    <s v="Valid"/>
    <d v="2026-10-10T00:00:00"/>
    <s v="Expiring"/>
    <d v="2027-07-30T00:00:00"/>
    <s v="Valid"/>
    <d v="2027-07-30T00:00:00"/>
    <s v="Valid"/>
    <d v="2021-09-04T00:00:00"/>
    <s v="Valid"/>
    <d v="2011-11-04T00:00:00"/>
    <d v="2016-05-27T00:00:00"/>
    <d v="2017-04-12T00:00:00"/>
    <d v="2021-11-29T00:00:00"/>
    <d v="2021-02-03T00:00:00"/>
    <d v="2022-08-09T00:00:00"/>
    <m/>
    <m/>
    <m/>
    <m/>
    <m/>
    <m/>
    <m/>
    <m/>
    <d v="2025-08-13T00:00:00"/>
    <d v="2026-12-10T00:00:00"/>
    <d v="2026-02-21T00:00:00"/>
    <d v="2026-09-25T00:00:00"/>
    <m/>
    <m/>
    <m/>
    <m/>
    <m/>
    <m/>
    <m/>
    <m/>
    <m/>
    <s v="2011-12-16"/>
    <s v="2024-04-03"/>
    <m/>
    <m/>
    <m/>
    <m/>
    <x v="8"/>
    <x v="4"/>
    <x v="0"/>
    <x v="0"/>
    <m/>
    <m/>
    <m/>
    <m/>
    <n v="14"/>
    <n v="14"/>
    <x v="0"/>
    <s v="100.00%"/>
    <s v="INDIRECT"/>
    <s v="A1 A4"/>
    <x v="4"/>
    <x v="0"/>
    <x v="0"/>
    <x v="7"/>
    <m/>
    <m/>
    <x v="8"/>
    <d v="2026-09-29T00:00:00"/>
    <s v="Expiring"/>
    <s v="A null"/>
    <d v="2046-08-10T00:00:00"/>
    <s v="Valid"/>
    <s v="Eligible"/>
    <s v="Not eligible"/>
  </r>
  <r>
    <n v="12"/>
    <n v="533457"/>
    <x v="11"/>
    <x v="3"/>
    <s v="p414"/>
    <s v="JKTTLF-1"/>
    <x v="2"/>
    <d v="2028-07-26T00:00:00"/>
    <s v="Valid"/>
    <d v="2028-07-26T00:00:00"/>
    <s v="Valid"/>
    <d v="2026-10-16T00:00:00"/>
    <s v="Expiring"/>
    <d v="2026-10-16T00:00:00"/>
    <s v="Expiring"/>
    <d v="2026-10-16T00:00:00"/>
    <s v="Expiring"/>
    <d v="2026-10-16T00:00:00"/>
    <s v="Expiring"/>
    <d v="2027-07-29T00:00:00"/>
    <s v="Valid"/>
    <d v="2026-10-16T00:00:00"/>
    <s v="Expiring"/>
    <d v="2026-10-16T00:00:00"/>
    <s v="Expiring"/>
    <d v="2021-06-19T00:00:00"/>
    <s v="Valid"/>
    <d v="2011-10-27T00:00:00"/>
    <d v="2019-07-07T00:00:00"/>
    <d v="2017-10-22T00:00:00"/>
    <d v="2024-11-24T00:00:00"/>
    <d v="2024-10-20T00:00:00"/>
    <d v="2022-06-21T00:00:00"/>
    <m/>
    <m/>
    <m/>
    <m/>
    <m/>
    <m/>
    <m/>
    <m/>
    <m/>
    <m/>
    <m/>
    <m/>
    <m/>
    <m/>
    <m/>
    <m/>
    <m/>
    <m/>
    <m/>
    <m/>
    <d v="2025-09-21T00:00:00"/>
    <s v="2012-01-11"/>
    <s v="2024-12-30"/>
    <m/>
    <m/>
    <m/>
    <m/>
    <x v="9"/>
    <x v="4"/>
    <x v="0"/>
    <x v="0"/>
    <m/>
    <m/>
    <m/>
    <m/>
    <n v="15"/>
    <n v="15"/>
    <x v="0"/>
    <s v="100.00%"/>
    <s v="DIRECT"/>
    <s v="A1 A4"/>
    <x v="4"/>
    <x v="0"/>
    <x v="0"/>
    <x v="8"/>
    <n v="1"/>
    <m/>
    <x v="9"/>
    <d v="2026-09-29T00:00:00"/>
    <s v="Expiring"/>
    <s v="A null"/>
    <d v="2047-04-07T00:00:00"/>
    <s v="Valid"/>
    <s v="Eligible"/>
    <s v="Not eligible"/>
  </r>
  <r>
    <n v="13"/>
    <n v="580790"/>
    <x v="12"/>
    <x v="7"/>
    <s v="p423"/>
    <s v="JKTTLF-1"/>
    <x v="5"/>
    <d v="2027-09-10T00:00:00"/>
    <s v="Valid"/>
    <d v="2027-09-10T00:00:00"/>
    <s v="Valid"/>
    <d v="2028-02-27T00:00:00"/>
    <s v="Valid"/>
    <d v="2028-02-10T00:00:00"/>
    <s v="Valid"/>
    <d v="2028-02-10T00:00:00"/>
    <s v="Valid"/>
    <d v="2028-02-10T00:00:00"/>
    <s v="Valid"/>
    <d v="2028-02-10T00:00:00"/>
    <s v="Valid"/>
    <d v="2028-02-27T00:00:00"/>
    <s v="Valid"/>
    <d v="2027-01-17T00:00:00"/>
    <s v="Valid"/>
    <d v="2024-06-06T00:00:00"/>
    <s v="Valid"/>
    <d v="2019-07-14T00:00:00"/>
    <d v="2020-10-26T00:00:00"/>
    <m/>
    <m/>
    <d v="2022-11-10T00:00:00"/>
    <m/>
    <m/>
    <m/>
    <m/>
    <m/>
    <m/>
    <m/>
    <m/>
    <m/>
    <m/>
    <m/>
    <m/>
    <m/>
    <m/>
    <m/>
    <m/>
    <m/>
    <m/>
    <m/>
    <m/>
    <m/>
    <d v="2026-01-17T00:00:00"/>
    <s v="2020-03-18"/>
    <s v="2013-08-26"/>
    <d v="2013-08-27T00:00:00"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10"/>
    <m/>
    <s v="Not Trained"/>
    <s v="A null"/>
    <d v="2048-05-27T00:00:00"/>
    <s v="Valid"/>
    <s v="Not eligible"/>
    <s v="Not eligible"/>
  </r>
  <r>
    <n v="14"/>
    <n v="580950"/>
    <x v="13"/>
    <x v="5"/>
    <s v="p422"/>
    <s v="JKTTLF-1"/>
    <x v="2"/>
    <d v="2026-12-19T00:00:00"/>
    <s v="Valid"/>
    <d v="2026-12-19T00:00:00"/>
    <s v="Valid"/>
    <d v="2028-05-11T00:00:00"/>
    <s v="Valid"/>
    <d v="2028-05-11T00:00:00"/>
    <s v="Valid"/>
    <d v="2028-05-11T00:00:00"/>
    <s v="Valid"/>
    <d v="2028-05-11T00:00:00"/>
    <s v="Valid"/>
    <d v="2028-05-11T00:00:00"/>
    <s v="Valid"/>
    <d v="2028-05-11T00:00:00"/>
    <s v="Valid"/>
    <d v="2028-05-11T00:00:00"/>
    <s v="Valid"/>
    <d v="2024-05-15T00:00:00"/>
    <s v="Valid"/>
    <d v="2018-07-04T00:00:00"/>
    <d v="2018-11-25T00:00:00"/>
    <d v="2017-08-10T00:00:00"/>
    <d v="2019-08-01T00:00:00"/>
    <d v="2022-03-24T00:00:00"/>
    <m/>
    <m/>
    <m/>
    <m/>
    <m/>
    <m/>
    <m/>
    <m/>
    <m/>
    <m/>
    <m/>
    <m/>
    <m/>
    <m/>
    <m/>
    <m/>
    <m/>
    <m/>
    <m/>
    <m/>
    <m/>
    <d v="2026-01-24T00:00:00"/>
    <s v="2022-08-31"/>
    <s v="2024-12-30"/>
    <m/>
    <d v="2014-12-18T00:00:00"/>
    <m/>
    <m/>
    <x v="10"/>
    <x v="3"/>
    <x v="4"/>
    <x v="0"/>
    <m/>
    <m/>
    <m/>
    <m/>
    <n v="15"/>
    <n v="15"/>
    <x v="0"/>
    <s v="100.00%"/>
    <s v="DIRECT"/>
    <s v="C1 C2 C4"/>
    <x v="3"/>
    <x v="4"/>
    <x v="0"/>
    <x v="9"/>
    <m/>
    <m/>
    <x v="11"/>
    <d v="2029-03-19T00:00:00"/>
    <s v="Valid"/>
    <s v="A null"/>
    <d v="2048-11-10T00:00:00"/>
    <s v="Valid"/>
    <s v="Eligible"/>
    <s v="Eligible"/>
  </r>
  <r>
    <n v="15"/>
    <n v="584197"/>
    <x v="14"/>
    <x v="7"/>
    <s v="p422"/>
    <s v="JKTTLF-1"/>
    <x v="2"/>
    <d v="2027-01-22T00:00:00"/>
    <s v="Valid"/>
    <d v="2027-01-30T00:00:00"/>
    <s v="Valid"/>
    <d v="2027-01-14T00:00:00"/>
    <s v="Valid"/>
    <d v="2027-01-09T00:00:00"/>
    <s v="Valid"/>
    <d v="2027-01-09T00:00:00"/>
    <s v="Valid"/>
    <d v="2027-01-09T00:00:00"/>
    <s v="Valid"/>
    <d v="2027-01-10T00:00:00"/>
    <s v="Valid"/>
    <d v="2027-01-17T00:00:00"/>
    <s v="Valid"/>
    <d v="2027-04-24T00:00:00"/>
    <s v="Valid"/>
    <d v="2027-06-30T00:00:00"/>
    <s v="Valid"/>
    <d v="2026-12-20T00:00:00"/>
    <m/>
    <m/>
    <m/>
    <m/>
    <m/>
    <m/>
    <m/>
    <m/>
    <m/>
    <m/>
    <m/>
    <m/>
    <m/>
    <m/>
    <m/>
    <m/>
    <m/>
    <m/>
    <m/>
    <m/>
    <m/>
    <m/>
    <m/>
    <m/>
    <m/>
    <d v="2025-06-10T00:00:00"/>
    <m/>
    <s v="2025-01-08"/>
    <m/>
    <m/>
    <m/>
    <m/>
    <x v="0"/>
    <x v="0"/>
    <x v="0"/>
    <x v="0"/>
    <m/>
    <m/>
    <m/>
    <m/>
    <n v="13"/>
    <n v="12"/>
    <x v="2"/>
    <s v="69.23%"/>
    <s v="DIRECT"/>
    <s v="C1 C2 C4"/>
    <x v="0"/>
    <x v="0"/>
    <x v="0"/>
    <x v="0"/>
    <m/>
    <m/>
    <x v="12"/>
    <m/>
    <s v="Not Trained"/>
    <s v="A null"/>
    <m/>
    <s v="Valid"/>
    <s v="Not eligible"/>
    <s v="Not eligible"/>
  </r>
  <r>
    <n v="16"/>
    <n v="581601"/>
    <x v="15"/>
    <x v="7"/>
    <s v="p428"/>
    <s v="JKTTLF-1"/>
    <x v="4"/>
    <d v="2027-02-06T00:00:00"/>
    <s v="Valid"/>
    <d v="2027-02-06T00:00:00"/>
    <s v="Valid"/>
    <d v="2026-12-23T00:00:00"/>
    <s v="Valid"/>
    <d v="2026-12-23T00:00:00"/>
    <s v="Valid"/>
    <d v="2026-12-23T00:00:00"/>
    <s v="Valid"/>
    <d v="2026-12-23T00:00:00"/>
    <s v="Valid"/>
    <d v="2026-12-23T00:00:00"/>
    <s v="Valid"/>
    <d v="2026-12-23T00:00:00"/>
    <s v="Valid"/>
    <d v="2026-12-23T00:00:00"/>
    <s v="Valid"/>
    <d v="2023-01-11T00:00:00"/>
    <s v="Valid"/>
    <d v="2018-07-22T00:00:00"/>
    <m/>
    <m/>
    <m/>
    <d v="2026-02-23T00:00:00"/>
    <m/>
    <m/>
    <m/>
    <m/>
    <m/>
    <m/>
    <m/>
    <m/>
    <m/>
    <m/>
    <m/>
    <m/>
    <m/>
    <m/>
    <m/>
    <m/>
    <m/>
    <m/>
    <m/>
    <m/>
    <m/>
    <d v="2024-03-20T00:00:00"/>
    <s v="2019-12-12"/>
    <s v="2016-02-12"/>
    <d v="2015-01-29T00:00:00"/>
    <m/>
    <m/>
    <m/>
    <x v="0"/>
    <x v="0"/>
    <x v="0"/>
    <x v="0"/>
    <m/>
    <m/>
    <m/>
    <m/>
    <n v="13"/>
    <n v="12"/>
    <x v="2"/>
    <s v="100.00%"/>
    <s v="DIRECT"/>
    <m/>
    <x v="0"/>
    <x v="0"/>
    <x v="0"/>
    <x v="0"/>
    <m/>
    <m/>
    <x v="13"/>
    <m/>
    <s v="Not Trained"/>
    <s v="A null"/>
    <d v="2048-01-30T00:00:00"/>
    <s v="Not Trained"/>
    <s v="Not eligible"/>
    <s v="Not eligible"/>
  </r>
  <r>
    <n v="17"/>
    <n v="581602"/>
    <x v="16"/>
    <x v="7"/>
    <s v="p423"/>
    <s v="JKTTLF-1"/>
    <x v="2"/>
    <d v="2027-05-07T00:00:00"/>
    <s v="Valid"/>
    <d v="2027-05-07T00:00:00"/>
    <s v="Valid"/>
    <d v="2027-06-30T00:00:00"/>
    <s v="Valid"/>
    <d v="2027-06-30T00:00:00"/>
    <s v="Valid"/>
    <d v="2027-06-30T00:00:00"/>
    <s v="Valid"/>
    <d v="2027-06-30T00:00:00"/>
    <s v="Valid"/>
    <d v="2027-06-30T00:00:00"/>
    <s v="Valid"/>
    <d v="2027-06-30T00:00:00"/>
    <s v="Valid"/>
    <d v="2027-06-30T00:00:00"/>
    <s v="Valid"/>
    <d v="2023-07-13T00:00:00"/>
    <s v="Valid"/>
    <d v="2018-07-22T00:00:00"/>
    <d v="2020-04-13T00:00:00"/>
    <m/>
    <m/>
    <d v="2023-04-13T00:00:00"/>
    <m/>
    <m/>
    <m/>
    <m/>
    <m/>
    <m/>
    <m/>
    <m/>
    <m/>
    <m/>
    <m/>
    <m/>
    <m/>
    <m/>
    <m/>
    <m/>
    <m/>
    <m/>
    <m/>
    <m/>
    <m/>
    <d v="2026-03-27T00:00:00"/>
    <m/>
    <s v="2016-02-12"/>
    <d v="2015-01-29T00:00:00"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14"/>
    <m/>
    <s v="Not Trained"/>
    <s v="A null"/>
    <d v="2048-02-24T00:00:00"/>
    <s v="Valid"/>
    <s v="Not eligible"/>
    <s v="Not eligible"/>
  </r>
  <r>
    <n v="18"/>
    <n v="581603"/>
    <x v="17"/>
    <x v="7"/>
    <s v="p423"/>
    <s v="JKTTLF-1"/>
    <x v="2"/>
    <d v="2026-12-04T00:00:00"/>
    <s v="Valid"/>
    <d v="2026-12-04T00:00:00"/>
    <s v="Valid"/>
    <d v="2026-12-25T00:00:00"/>
    <s v="Valid"/>
    <d v="2026-12-25T00:00:00"/>
    <s v="Valid"/>
    <d v="2026-12-25T00:00:00"/>
    <s v="Valid"/>
    <d v="2026-12-25T00:00:00"/>
    <s v="Valid"/>
    <d v="2027-01-04T00:00:00"/>
    <s v="Valid"/>
    <d v="2026-12-30T00:00:00"/>
    <s v="Valid"/>
    <d v="2026-12-30T00:00:00"/>
    <s v="Valid"/>
    <d v="2023-04-12T00:00:00"/>
    <s v="Valid"/>
    <d v="2019-08-11T00:00:00"/>
    <d v="2025-03-04T00:00:00"/>
    <d v="2026-02-09T00:00:00"/>
    <m/>
    <d v="2022-06-08T00:00:00"/>
    <m/>
    <m/>
    <m/>
    <m/>
    <m/>
    <m/>
    <m/>
    <m/>
    <m/>
    <m/>
    <m/>
    <m/>
    <m/>
    <m/>
    <m/>
    <m/>
    <m/>
    <m/>
    <m/>
    <m/>
    <m/>
    <d v="2026-08-21T00:00:00"/>
    <s v="2019-12-12"/>
    <s v="2016-02-12"/>
    <d v="2015-01-29T00:00:00"/>
    <m/>
    <m/>
    <m/>
    <x v="11"/>
    <x v="1"/>
    <x v="0"/>
    <x v="0"/>
    <m/>
    <m/>
    <m/>
    <m/>
    <n v="13"/>
    <n v="13"/>
    <x v="0"/>
    <s v="100.00%"/>
    <s v="DIRECT"/>
    <s v="C1 C2 C4"/>
    <x v="1"/>
    <x v="0"/>
    <x v="0"/>
    <x v="10"/>
    <n v="1"/>
    <m/>
    <x v="15"/>
    <m/>
    <s v="Not Trained"/>
    <s v="A null"/>
    <d v="2050-12-10T00:00:00"/>
    <s v="Valid"/>
    <s v="Eligible"/>
    <s v="Not eligible"/>
  </r>
  <r>
    <n v="19"/>
    <n v="782740"/>
    <x v="18"/>
    <x v="8"/>
    <s v="p428"/>
    <s v="JKTTLF-1"/>
    <x v="2"/>
    <d v="2027-04-10T00:00:00"/>
    <s v="Valid"/>
    <d v="2027-06-12T00:00:00"/>
    <s v="Valid"/>
    <d v="2023-03-01T00:00:00"/>
    <s v="Valid"/>
    <d v="2025-11-07T00:00:00"/>
    <m/>
    <d v="2025-11-07T00:00:00"/>
    <m/>
    <d v="2025-11-07T00:00:00"/>
    <m/>
    <d v="2025-11-07T00:00:00"/>
    <m/>
    <m/>
    <m/>
    <m/>
    <m/>
    <m/>
    <m/>
    <d v="2025-05-24T00:00:00"/>
    <m/>
    <m/>
    <m/>
    <m/>
    <m/>
    <m/>
    <m/>
    <m/>
    <m/>
    <m/>
    <m/>
    <m/>
    <m/>
    <m/>
    <m/>
    <m/>
    <m/>
    <m/>
    <m/>
    <m/>
    <m/>
    <m/>
    <m/>
    <m/>
    <m/>
    <d v="2023-07-12T00:00:00"/>
    <m/>
    <d v="2025-06-11T00:00:00"/>
    <m/>
    <m/>
    <m/>
    <m/>
    <x v="0"/>
    <x v="0"/>
    <x v="0"/>
    <x v="0"/>
    <m/>
    <m/>
    <m/>
    <d v="2023-03-01T00:00:00"/>
    <n v="3"/>
    <n v="3"/>
    <x v="0"/>
    <s v="45.45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20"/>
    <n v="782741"/>
    <x v="19"/>
    <x v="8"/>
    <s v="p428"/>
    <s v="JKTTLF-1"/>
    <x v="2"/>
    <d v="2027-04-10T00:00:00"/>
    <s v="Valid"/>
    <d v="2027-05-13T00:00:00"/>
    <s v="Valid"/>
    <d v="2023-03-01T00:00:00"/>
    <s v="Valid"/>
    <m/>
    <m/>
    <m/>
    <m/>
    <m/>
    <m/>
    <m/>
    <m/>
    <m/>
    <m/>
    <m/>
    <m/>
    <m/>
    <m/>
    <d v="2025-06-09T00:00:00"/>
    <m/>
    <m/>
    <m/>
    <m/>
    <m/>
    <m/>
    <m/>
    <m/>
    <m/>
    <m/>
    <m/>
    <m/>
    <m/>
    <m/>
    <m/>
    <m/>
    <m/>
    <m/>
    <m/>
    <m/>
    <m/>
    <m/>
    <m/>
    <m/>
    <m/>
    <d v="2023-07-26T00:00:00"/>
    <m/>
    <d v="2025-07-17T00:00:00"/>
    <m/>
    <m/>
    <m/>
    <m/>
    <x v="0"/>
    <x v="0"/>
    <x v="0"/>
    <x v="0"/>
    <m/>
    <m/>
    <m/>
    <d v="2023-03-01T00:00:00"/>
    <n v="3"/>
    <n v="3"/>
    <x v="0"/>
    <s v="9.09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21"/>
    <n v="783021"/>
    <x v="20"/>
    <x v="8"/>
    <s v="p428"/>
    <s v="JKTTLF-1"/>
    <x v="2"/>
    <d v="2027-09-09T00:00:00"/>
    <s v="Valid"/>
    <d v="2027-08-13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3-08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22"/>
    <n v="580786"/>
    <x v="21"/>
    <x v="7"/>
    <s v="p423"/>
    <s v="JKTTLF-2"/>
    <x v="6"/>
    <d v="2027-06-09T00:00:00"/>
    <s v="Valid"/>
    <d v="2027-06-09T00:00:00"/>
    <s v="Valid"/>
    <d v="2026-10-23T00:00:00"/>
    <s v="Expiring"/>
    <d v="2027-08-02T00:00:00"/>
    <s v="Valid"/>
    <d v="2027-08-02T00:00:00"/>
    <s v="Valid"/>
    <d v="2027-08-02T00:00:00"/>
    <s v="Valid"/>
    <d v="2027-08-02T00:00:00"/>
    <s v="Valid"/>
    <d v="2026-12-27T00:00:00"/>
    <s v="Valid"/>
    <d v="2027-08-02T00:00:00"/>
    <s v="Valid"/>
    <d v="2022-05-28T00:00:00"/>
    <s v="Valid"/>
    <d v="2020-02-28T00:00:00"/>
    <d v="2020-11-30T00:00:00"/>
    <d v="2026-03-06T00:00:00"/>
    <m/>
    <m/>
    <m/>
    <m/>
    <m/>
    <m/>
    <m/>
    <m/>
    <m/>
    <m/>
    <m/>
    <m/>
    <m/>
    <m/>
    <m/>
    <m/>
    <m/>
    <m/>
    <m/>
    <m/>
    <m/>
    <m/>
    <m/>
    <d v="2025-08-25T00:00:00"/>
    <s v="2020-03-18"/>
    <s v="2014-08-29"/>
    <d v="2013-08-27T00:00:00"/>
    <m/>
    <m/>
    <m/>
    <x v="12"/>
    <x v="1"/>
    <x v="0"/>
    <x v="0"/>
    <m/>
    <m/>
    <m/>
    <m/>
    <n v="13"/>
    <n v="13"/>
    <x v="0"/>
    <s v="92.31%"/>
    <s v="DIRECT"/>
    <s v="C1 C2 C4"/>
    <x v="1"/>
    <x v="0"/>
    <x v="0"/>
    <x v="11"/>
    <n v="1"/>
    <m/>
    <x v="16"/>
    <m/>
    <s v="Not Trained"/>
    <s v="A null"/>
    <d v="2047-11-11T00:00:00"/>
    <s v="Not Trained"/>
    <s v="Eligible"/>
    <s v="Not eligible"/>
  </r>
  <r>
    <n v="23"/>
    <n v="581619"/>
    <x v="22"/>
    <x v="5"/>
    <s v="p422"/>
    <s v="JKTTLF-2"/>
    <x v="6"/>
    <d v="2027-05-07T00:00:00"/>
    <s v="Valid"/>
    <d v="2027-05-07T00:00:00"/>
    <s v="Valid"/>
    <d v="2027-06-09T00:00:00"/>
    <s v="Valid"/>
    <d v="2027-08-07T00:00:00"/>
    <s v="Valid"/>
    <d v="2027-08-07T00:00:00"/>
    <s v="Valid"/>
    <d v="2027-06-13T00:00:00"/>
    <s v="Valid"/>
    <d v="2027-08-07T00:00:00"/>
    <s v="Valid"/>
    <d v="2027-06-13T00:00:00"/>
    <s v="Valid"/>
    <d v="2027-08-07T00:00:00"/>
    <s v="Valid"/>
    <d v="2023-03-19T00:00:00"/>
    <s v="Valid"/>
    <d v="2019-10-04T00:00:00"/>
    <d v="2025-05-26T00:00:00"/>
    <d v="2024-02-16T00:00:00"/>
    <m/>
    <m/>
    <m/>
    <m/>
    <m/>
    <m/>
    <m/>
    <m/>
    <m/>
    <m/>
    <m/>
    <m/>
    <m/>
    <m/>
    <m/>
    <m/>
    <m/>
    <m/>
    <m/>
    <m/>
    <m/>
    <m/>
    <m/>
    <d v="2025-12-08T00:00:00"/>
    <s v="2019-12-12"/>
    <s v="2016-02-12"/>
    <d v="2015-01-29T00:00:00"/>
    <m/>
    <m/>
    <m/>
    <x v="13"/>
    <x v="1"/>
    <x v="0"/>
    <x v="0"/>
    <m/>
    <s v="2023-06-28"/>
    <m/>
    <m/>
    <n v="15"/>
    <n v="15"/>
    <x v="0"/>
    <s v="84.62%"/>
    <s v="DIRECT"/>
    <s v="A1 A4"/>
    <x v="1"/>
    <x v="0"/>
    <x v="0"/>
    <x v="12"/>
    <m/>
    <m/>
    <x v="17"/>
    <d v="2027-10-23T00:00:00"/>
    <s v="Valid"/>
    <s v="A null"/>
    <d v="2051-10-12T00:00:00"/>
    <s v="Valid"/>
    <s v="Eligible"/>
    <s v="Not eligible"/>
  </r>
  <r>
    <n v="24"/>
    <n v="582686"/>
    <x v="23"/>
    <x v="5"/>
    <s v="p422"/>
    <s v="JKTTLF-2"/>
    <x v="6"/>
    <d v="2027-06-11T00:00:00"/>
    <s v="Valid"/>
    <d v="2027-06-11T00:00:00"/>
    <s v="Valid"/>
    <d v="2027-08-06T00:00:00"/>
    <s v="Valid"/>
    <d v="2028-02-05T00:00:00"/>
    <s v="Valid"/>
    <d v="2028-02-05T00:00:00"/>
    <s v="Valid"/>
    <d v="2028-02-05T00:00:00"/>
    <s v="Valid"/>
    <d v="2028-02-05T00:00:00"/>
    <s v="Valid"/>
    <d v="2027-03-26T00:00:00"/>
    <s v="Valid"/>
    <d v="2027-03-26T00:00:00"/>
    <s v="Valid"/>
    <d v="2022-12-20T00:00:00"/>
    <s v="Valid"/>
    <d v="2021-03-22T00:00:00"/>
    <d v="2024-05-17T00:00:00"/>
    <d v="2021-12-17T00:00:00"/>
    <d v="2023-03-30T00:00:00"/>
    <d v="2018-07-06T00:00:00"/>
    <m/>
    <m/>
    <m/>
    <m/>
    <m/>
    <m/>
    <m/>
    <m/>
    <m/>
    <m/>
    <m/>
    <m/>
    <m/>
    <m/>
    <m/>
    <m/>
    <m/>
    <m/>
    <m/>
    <m/>
    <m/>
    <d v="2026-06-17T00:00:00"/>
    <s v="2022-01-19"/>
    <s v="2018-04-11"/>
    <m/>
    <m/>
    <m/>
    <m/>
    <x v="14"/>
    <x v="4"/>
    <x v="0"/>
    <x v="0"/>
    <m/>
    <s v="2025-01-10"/>
    <m/>
    <m/>
    <n v="15"/>
    <n v="15"/>
    <x v="0"/>
    <s v="69.23%"/>
    <s v="DIRECT"/>
    <s v="C1 C2 C4"/>
    <x v="4"/>
    <x v="0"/>
    <x v="0"/>
    <x v="13"/>
    <m/>
    <m/>
    <x v="18"/>
    <d v="2029-01-25T00:00:00"/>
    <s v="Valid"/>
    <s v="A null"/>
    <d v="2053-04-15T00:00:00"/>
    <s v="Valid"/>
    <s v="Eligible"/>
    <s v="Not eligible"/>
  </r>
  <r>
    <n v="25"/>
    <n v="582679"/>
    <x v="24"/>
    <x v="5"/>
    <s v="p427"/>
    <s v="JKTTLF-2"/>
    <x v="2"/>
    <d v="2027-06-25T00:00:00"/>
    <s v="Valid"/>
    <d v="2027-06-25T00:00:00"/>
    <s v="Valid"/>
    <d v="2026-12-16T00:00:00"/>
    <s v="Valid"/>
    <d v="2027-08-14T00:00:00"/>
    <s v="Valid"/>
    <d v="2026-12-16T00:00:00"/>
    <s v="Valid"/>
    <d v="2027-08-14T00:00:00"/>
    <s v="Valid"/>
    <d v="2027-08-14T00:00:00"/>
    <s v="Valid"/>
    <d v="2026-12-16T00:00:00"/>
    <s v="Valid"/>
    <d v="2026-12-16T00:00:00"/>
    <s v="Valid"/>
    <d v="2022-05-29T00:00:00"/>
    <s v="Valid"/>
    <d v="2023-05-27T00:00:00"/>
    <d v="2022-12-13T00:00:00"/>
    <m/>
    <m/>
    <m/>
    <m/>
    <m/>
    <m/>
    <m/>
    <m/>
    <m/>
    <m/>
    <m/>
    <m/>
    <m/>
    <m/>
    <m/>
    <m/>
    <m/>
    <m/>
    <m/>
    <m/>
    <m/>
    <m/>
    <m/>
    <m/>
    <d v="2026-04-10T00:00:00"/>
    <m/>
    <s v="2018-02-15"/>
    <m/>
    <m/>
    <m/>
    <m/>
    <x v="15"/>
    <x v="2"/>
    <x v="0"/>
    <x v="0"/>
    <m/>
    <m/>
    <m/>
    <m/>
    <n v="15"/>
    <n v="15"/>
    <x v="0"/>
    <s v="100.00%"/>
    <s v="DIRECT"/>
    <s v="C1 C2 C4"/>
    <x v="0"/>
    <x v="0"/>
    <x v="0"/>
    <x v="0"/>
    <m/>
    <m/>
    <x v="19"/>
    <m/>
    <s v="Not Trained"/>
    <s v="A null"/>
    <d v="2052-01-14T00:00:00"/>
    <s v="Valid"/>
    <s v="Not eligible"/>
    <s v="Not eligible"/>
  </r>
  <r>
    <n v="26"/>
    <n v="582544"/>
    <x v="25"/>
    <x v="5"/>
    <s v="p422"/>
    <s v="JKTTLF-2"/>
    <x v="6"/>
    <d v="2027-08-10T00:00:00"/>
    <s v="Valid"/>
    <d v="2027-08-10T00:00:00"/>
    <s v="Valid"/>
    <d v="2026-06-29T00:00:00"/>
    <s v="Expired"/>
    <d v="2026-06-29T00:00:00"/>
    <s v="Expired"/>
    <d v="2026-06-29T00:00:00"/>
    <s v="Expired"/>
    <d v="2026-08-16T00:00:00"/>
    <s v="Expiring"/>
    <d v="2026-08-16T00:00:00"/>
    <s v="Expiring"/>
    <d v="2026-07-19T00:00:00"/>
    <s v="Expired"/>
    <d v="2026-07-19T00:00:00"/>
    <s v="Expired"/>
    <d v="2024-08-04T00:00:00"/>
    <s v="Valid"/>
    <d v="2022-02-26T00:00:00"/>
    <d v="2026-09-25T00:00:00"/>
    <d v="2023-01-26T00:00:00"/>
    <m/>
    <m/>
    <m/>
    <m/>
    <m/>
    <m/>
    <m/>
    <m/>
    <m/>
    <m/>
    <m/>
    <m/>
    <m/>
    <m/>
    <m/>
    <m/>
    <m/>
    <m/>
    <m/>
    <m/>
    <m/>
    <m/>
    <m/>
    <m/>
    <s v="2017-10-26"/>
    <s v="2017-10-11"/>
    <m/>
    <m/>
    <m/>
    <m/>
    <x v="7"/>
    <x v="3"/>
    <x v="0"/>
    <x v="0"/>
    <m/>
    <m/>
    <m/>
    <m/>
    <n v="15"/>
    <n v="14"/>
    <x v="1"/>
    <s v="92.31%"/>
    <s v="DIRECT"/>
    <s v="C1 C2 C4"/>
    <x v="3"/>
    <x v="0"/>
    <x v="0"/>
    <x v="14"/>
    <m/>
    <m/>
    <x v="20"/>
    <d v="2027-01-23T00:00:00"/>
    <s v="Valid"/>
    <s v="A null"/>
    <d v="2052-05-09T00:00:00"/>
    <s v="Valid"/>
    <s v="Eligible"/>
    <s v="Not eligible"/>
  </r>
  <r>
    <n v="27"/>
    <n v="528874"/>
    <x v="26"/>
    <x v="6"/>
    <s v="p404"/>
    <s v="JKTTLF-2"/>
    <x v="6"/>
    <d v="2027-10-15T00:00:00"/>
    <s v="Valid"/>
    <d v="2027-10-15T00:00:00"/>
    <s v="Valid"/>
    <d v="2026-10-21T00:00:00"/>
    <s v="Valid"/>
    <d v="2026-10-21T00:00:00"/>
    <s v="Expiring"/>
    <d v="2026-10-21T00:00:00"/>
    <s v="Expiring"/>
    <d v="2026-10-21T00:00:00"/>
    <s v="Expiring"/>
    <d v="2027-07-31T00:00:00"/>
    <s v="Valid"/>
    <d v="2023-07-24T00:00:00"/>
    <s v="Valid"/>
    <d v="2023-07-24T00:00:00"/>
    <s v="Valid"/>
    <d v="2020-07-27T00:00:00"/>
    <s v="Valid"/>
    <d v="2001-05-18T00:00:00"/>
    <d v="2015-04-10T00:00:00"/>
    <m/>
    <d v="2017-05-24T00:00:00"/>
    <m/>
    <d v="2016-09-23T00:00:00"/>
    <m/>
    <m/>
    <m/>
    <m/>
    <m/>
    <m/>
    <m/>
    <m/>
    <d v="2025-08-21T00:00:00"/>
    <d v="2019-11-24T00:00:00"/>
    <d v="2020-01-25T00:00:00"/>
    <d v="2019-07-28T00:00:00"/>
    <m/>
    <m/>
    <m/>
    <m/>
    <m/>
    <m/>
    <m/>
    <m/>
    <m/>
    <m/>
    <s v="1992-08-24"/>
    <m/>
    <m/>
    <m/>
    <m/>
    <x v="0"/>
    <x v="0"/>
    <x v="0"/>
    <x v="0"/>
    <m/>
    <m/>
    <m/>
    <m/>
    <n v="14"/>
    <n v="14"/>
    <x v="0"/>
    <s v="100.00%"/>
    <s v="INDIRECT"/>
    <s v="C2 C4"/>
    <x v="0"/>
    <x v="0"/>
    <x v="0"/>
    <x v="0"/>
    <m/>
    <m/>
    <x v="21"/>
    <m/>
    <s v="Not Trained"/>
    <s v="A null"/>
    <d v="2028-04-16T00:00:00"/>
    <s v="Valid"/>
    <s v="Not eligible"/>
    <s v="Not eligible"/>
  </r>
  <r>
    <n v="28"/>
    <n v="533460"/>
    <x v="27"/>
    <x v="3"/>
    <s v="p414"/>
    <s v="JKTTLF-2"/>
    <x v="6"/>
    <d v="2027-12-17T00:00:00"/>
    <s v="Valid"/>
    <d v="2027-12-17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11-10-27T00:00:00"/>
    <d v="2019-06-16T00:00:00"/>
    <d v="2019-04-12T00:00:00"/>
    <d v="2025-02-24T00:00:00"/>
    <d v="2024-12-08T00:00:00"/>
    <d v="2018-10-09T00:00:00"/>
    <m/>
    <m/>
    <m/>
    <m/>
    <m/>
    <m/>
    <m/>
    <m/>
    <m/>
    <m/>
    <m/>
    <m/>
    <m/>
    <m/>
    <m/>
    <m/>
    <m/>
    <m/>
    <m/>
    <m/>
    <d v="2025-07-28T00:00:00"/>
    <s v="2011-12-02"/>
    <s v="2024-12-31"/>
    <m/>
    <m/>
    <m/>
    <m/>
    <x v="16"/>
    <x v="3"/>
    <x v="5"/>
    <x v="0"/>
    <m/>
    <m/>
    <m/>
    <m/>
    <n v="15"/>
    <n v="15"/>
    <x v="0"/>
    <s v="93.33%"/>
    <s v="DIRECT"/>
    <s v="A1 A4"/>
    <x v="3"/>
    <x v="0"/>
    <x v="0"/>
    <x v="15"/>
    <n v="1"/>
    <m/>
    <x v="22"/>
    <d v="2028-01-27T00:00:00"/>
    <s v="Valid"/>
    <s v="A null"/>
    <d v="2047-04-03T00:00:00"/>
    <s v="Valid"/>
    <s v="Eligible"/>
    <s v="Not eligible"/>
  </r>
  <r>
    <n v="29"/>
    <n v="582613"/>
    <x v="28"/>
    <x v="5"/>
    <s v="p422"/>
    <s v="JKTTLF-2"/>
    <x v="6"/>
    <d v="2028-01-25T00:00:00"/>
    <s v="Valid"/>
    <d v="2028-01-25T00:00:00"/>
    <s v="Valid"/>
    <d v="2028-04-01T00:00:00"/>
    <s v="Valid"/>
    <d v="2027-03-06T00:00:00"/>
    <s v="Valid"/>
    <d v="2027-03-06T00:00:00"/>
    <s v="Valid"/>
    <d v="2027-03-06T00:00:00"/>
    <s v="Valid"/>
    <d v="2027-03-06T00:00:00"/>
    <s v="Valid"/>
    <d v="2028-04-01T00:00:00"/>
    <s v="Valid"/>
    <d v="2028-04-01T00:00:00"/>
    <s v="Valid"/>
    <d v="2024-05-26T00:00:00"/>
    <s v="Valid"/>
    <d v="2021-02-08T00:00:00"/>
    <d v="2024-10-18T00:00:00"/>
    <d v="2023-03-15T00:00:00"/>
    <d v="2025-12-15T00:00:00"/>
    <d v="2022-05-25T00:00:00"/>
    <m/>
    <m/>
    <m/>
    <m/>
    <m/>
    <m/>
    <m/>
    <m/>
    <m/>
    <m/>
    <m/>
    <m/>
    <m/>
    <m/>
    <m/>
    <m/>
    <m/>
    <m/>
    <m/>
    <m/>
    <m/>
    <d v="2025-09-22T00:00:00"/>
    <m/>
    <s v="2018-02-15"/>
    <m/>
    <m/>
    <m/>
    <m/>
    <x v="17"/>
    <x v="2"/>
    <x v="3"/>
    <x v="0"/>
    <m/>
    <m/>
    <m/>
    <m/>
    <n v="15"/>
    <n v="15"/>
    <x v="0"/>
    <s v="92.31%"/>
    <s v="DIRECT"/>
    <s v="A1 A4"/>
    <x v="2"/>
    <x v="0"/>
    <x v="0"/>
    <x v="16"/>
    <m/>
    <m/>
    <x v="23"/>
    <d v="2027-03-19T00:00:00"/>
    <s v="Valid"/>
    <s v="A null"/>
    <d v="2051-11-27T00:00:00"/>
    <s v="Valid"/>
    <s v="Eligible"/>
    <s v="Not eligible"/>
  </r>
  <r>
    <n v="30"/>
    <n v="582134"/>
    <x v="29"/>
    <x v="9"/>
    <s v="p427"/>
    <s v="JKTTLF-2"/>
    <x v="6"/>
    <d v="2028-04-22T00:00:00"/>
    <s v="Valid"/>
    <d v="2028-04-22T00:00:00"/>
    <s v="Valid"/>
    <d v="2026-08-02T00:00:00"/>
    <s v="Expired"/>
    <d v="2026-08-02T00:00:00"/>
    <s v="Expired"/>
    <d v="2026-08-02T00:00:00"/>
    <s v="Expired"/>
    <d v="2026-08-02T00:00:00"/>
    <s v="Expired"/>
    <d v="2026-08-02T00:00:00"/>
    <s v="Expired"/>
    <d v="2026-08-02T00:00:00"/>
    <s v="Expired"/>
    <d v="2026-08-02T00:00:00"/>
    <s v="Expired"/>
    <d v="2023-06-09T00:00:00"/>
    <s v="Valid"/>
    <d v="2018-11-23T00:00:00"/>
    <d v="2017-11-10T00:00:00"/>
    <d v="2021-06-23T00:00:00"/>
    <m/>
    <m/>
    <m/>
    <m/>
    <m/>
    <m/>
    <m/>
    <m/>
    <m/>
    <m/>
    <m/>
    <m/>
    <m/>
    <m/>
    <m/>
    <m/>
    <m/>
    <m/>
    <m/>
    <m/>
    <m/>
    <m/>
    <m/>
    <m/>
    <m/>
    <s v="2017-09-14"/>
    <m/>
    <m/>
    <m/>
    <m/>
    <x v="15"/>
    <x v="2"/>
    <x v="0"/>
    <x v="0"/>
    <m/>
    <m/>
    <m/>
    <m/>
    <n v="12"/>
    <n v="12"/>
    <x v="0"/>
    <s v="100.00%"/>
    <s v="DIRECT"/>
    <s v="A1 A3 A4"/>
    <x v="2"/>
    <x v="0"/>
    <x v="0"/>
    <x v="17"/>
    <n v="1"/>
    <m/>
    <x v="24"/>
    <m/>
    <s v="Not Trained"/>
    <s v="A null"/>
    <d v="2051-04-29T00:00:00"/>
    <s v="Valid"/>
    <s v="Eligible"/>
    <s v="Not eligible"/>
  </r>
  <r>
    <n v="31"/>
    <n v="532748"/>
    <x v="30"/>
    <x v="3"/>
    <s v="p414"/>
    <s v="JKTTLF-2"/>
    <x v="6"/>
    <d v="2028-07-05T00:00:00"/>
    <s v="Valid"/>
    <d v="2028-07-05T00:00:00"/>
    <s v="Valid"/>
    <d v="2026-10-22T00:00:00"/>
    <s v="Expiring"/>
    <d v="2026-09-22T00:00:00"/>
    <s v="Expiring"/>
    <d v="2026-10-22T00:00:00"/>
    <s v="Expiring"/>
    <d v="2026-10-22T00:00:00"/>
    <s v="Expiring"/>
    <d v="2026-10-22T00:00:00"/>
    <s v="Expiring"/>
    <d v="2026-10-22T00:00:00"/>
    <s v="Expiring"/>
    <d v="2026-10-22T00:00:00"/>
    <s v="Expiring"/>
    <d v="2024-11-02T00:00:00"/>
    <s v="Valid"/>
    <d v="2010-12-14T00:00:00"/>
    <d v="2018-04-15T00:00:00"/>
    <d v="2019-04-12T00:00:00"/>
    <d v="2025-03-30T00:00:00"/>
    <d v="2025-07-14T00:00:00"/>
    <m/>
    <m/>
    <m/>
    <m/>
    <m/>
    <m/>
    <m/>
    <m/>
    <m/>
    <m/>
    <m/>
    <m/>
    <m/>
    <m/>
    <m/>
    <m/>
    <m/>
    <m/>
    <m/>
    <m/>
    <m/>
    <d v="2025-08-25T00:00:00"/>
    <s v="2011-12-16"/>
    <s v="2024-12-31"/>
    <m/>
    <d v="2008-09-10T00:00:00"/>
    <m/>
    <m/>
    <x v="18"/>
    <x v="2"/>
    <x v="3"/>
    <x v="0"/>
    <s v="2010-07-01"/>
    <m/>
    <m/>
    <m/>
    <n v="15"/>
    <n v="15"/>
    <x v="0"/>
    <s v="86.67%"/>
    <s v="DIRECT"/>
    <s v="A1 A4"/>
    <x v="2"/>
    <x v="3"/>
    <x v="0"/>
    <x v="18"/>
    <n v="1"/>
    <m/>
    <x v="25"/>
    <d v="2028-12-10T00:00:00"/>
    <s v="Valid"/>
    <s v="A null"/>
    <d v="2046-04-27T00:00:00"/>
    <s v="Valid"/>
    <s v="Eligible"/>
    <s v="Eligible"/>
  </r>
  <r>
    <n v="32"/>
    <n v="533504"/>
    <x v="31"/>
    <x v="10"/>
    <s v="p414"/>
    <s v="JKTTLF-2"/>
    <x v="6"/>
    <d v="2026-10-17T00:00:00"/>
    <s v="Expiring"/>
    <d v="2026-10-17T00:00:00"/>
    <s v="Expiring"/>
    <d v="2027-01-13T00:00:00"/>
    <s v="Valid"/>
    <d v="2027-01-13T00:00:00"/>
    <s v="Valid"/>
    <d v="2027-01-13T00:00:00"/>
    <s v="Valid"/>
    <d v="2027-01-13T00:00:00"/>
    <s v="Valid"/>
    <d v="2027-01-13T00:00:00"/>
    <s v="Valid"/>
    <d v="2027-01-13T00:00:00"/>
    <s v="Valid"/>
    <d v="2027-01-13T00:00:00"/>
    <s v="Valid"/>
    <d v="2024-08-14T00:00:00"/>
    <s v="Valid"/>
    <d v="2011-11-04T00:00:00"/>
    <d v="2019-04-07T00:00:00"/>
    <d v="2019-02-08T00:00:00"/>
    <d v="2025-01-19T00:00:00"/>
    <d v="2024-11-10T00:00:00"/>
    <m/>
    <m/>
    <m/>
    <m/>
    <m/>
    <m/>
    <m/>
    <m/>
    <m/>
    <m/>
    <m/>
    <m/>
    <m/>
    <m/>
    <m/>
    <m/>
    <m/>
    <m/>
    <m/>
    <m/>
    <m/>
    <d v="2027-01-15T00:00:00"/>
    <s v="2011-09-12"/>
    <s v="2024-12-31"/>
    <m/>
    <m/>
    <m/>
    <m/>
    <x v="19"/>
    <x v="1"/>
    <x v="2"/>
    <x v="0"/>
    <m/>
    <m/>
    <m/>
    <m/>
    <n v="15"/>
    <n v="15"/>
    <x v="0"/>
    <s v="100.00%"/>
    <s v="DIRECT"/>
    <s v="C1 C2 C4"/>
    <x v="1"/>
    <x v="2"/>
    <x v="0"/>
    <x v="19"/>
    <n v="2"/>
    <m/>
    <x v="26"/>
    <d v="2028-08-23T00:00:00"/>
    <s v="Valid"/>
    <s v="A null"/>
    <d v="2047-05-03T00:00:00"/>
    <s v="Valid"/>
    <s v="Eligible"/>
    <s v="Eligible"/>
  </r>
  <r>
    <n v="33"/>
    <n v="584249"/>
    <x v="32"/>
    <x v="7"/>
    <s v="p422"/>
    <s v="JKTTLF-2"/>
    <x v="6"/>
    <d v="2027-01-22T00:00:00"/>
    <s v="Valid"/>
    <d v="2027-02-12T00:00:00"/>
    <s v="Valid"/>
    <d v="2027-02-07T00:00:00"/>
    <s v="Valid"/>
    <d v="2027-01-09T00:00:00"/>
    <s v="Valid"/>
    <d v="2027-01-09T00:00:00"/>
    <s v="Valid"/>
    <d v="2027-01-09T00:00:00"/>
    <s v="Valid"/>
    <d v="2027-01-10T00:00:00"/>
    <s v="Valid"/>
    <d v="2027-01-17T00:00:00"/>
    <s v="Valid"/>
    <d v="2027-04-24T00:00:00"/>
    <s v="Valid"/>
    <d v="2027-06-30T00:00:00"/>
    <s v="Valid"/>
    <d v="2026-12-20T00:00:00"/>
    <m/>
    <m/>
    <m/>
    <m/>
    <m/>
    <m/>
    <m/>
    <m/>
    <m/>
    <m/>
    <m/>
    <m/>
    <m/>
    <m/>
    <m/>
    <m/>
    <m/>
    <m/>
    <m/>
    <m/>
    <m/>
    <m/>
    <m/>
    <m/>
    <m/>
    <d v="2025-06-10T00:00:00"/>
    <m/>
    <s v="2025-01-08"/>
    <m/>
    <m/>
    <m/>
    <m/>
    <x v="0"/>
    <x v="0"/>
    <x v="0"/>
    <x v="0"/>
    <m/>
    <m/>
    <m/>
    <m/>
    <n v="13"/>
    <n v="12"/>
    <x v="2"/>
    <s v="69.23%"/>
    <s v="DIRECT"/>
    <s v="C1 C2 C4"/>
    <x v="0"/>
    <x v="0"/>
    <x v="0"/>
    <x v="0"/>
    <m/>
    <m/>
    <x v="27"/>
    <m/>
    <s v="Not Trained"/>
    <s v="A null"/>
    <m/>
    <s v="Valid"/>
    <s v="Not eligible"/>
    <s v="Not eligible"/>
  </r>
  <r>
    <n v="34"/>
    <n v="582685"/>
    <x v="33"/>
    <x v="5"/>
    <s v="p422"/>
    <s v="JKTTLF-2"/>
    <x v="6"/>
    <d v="2027-03-13T00:00:00"/>
    <s v="Valid"/>
    <d v="2027-03-13T00:00:00"/>
    <s v="Valid"/>
    <d v="2028-06-30T00:00:00"/>
    <s v="Valid"/>
    <d v="2026-10-22T00:00:00"/>
    <s v="Expiring"/>
    <d v="2026-10-23T00:00:00"/>
    <s v="Expiring"/>
    <d v="2026-10-23T00:00:00"/>
    <s v="Expiring"/>
    <d v="2026-10-23T00:00:00"/>
    <s v="Expiring"/>
    <d v="2026-08-05T00:00:00"/>
    <s v="Expiring"/>
    <d v="2026-10-22T00:00:00"/>
    <s v="Expiring"/>
    <d v="2024-08-14T00:00:00"/>
    <s v="Valid"/>
    <d v="2021-02-08T00:00:00"/>
    <d v="2024-08-02T00:00:00"/>
    <d v="2021-08-20T00:00:00"/>
    <m/>
    <d v="2023-09-06T00:00:00"/>
    <m/>
    <m/>
    <m/>
    <m/>
    <m/>
    <m/>
    <m/>
    <m/>
    <m/>
    <m/>
    <m/>
    <m/>
    <m/>
    <m/>
    <m/>
    <m/>
    <m/>
    <m/>
    <m/>
    <m/>
    <m/>
    <d v="2025-10-27T00:00:00"/>
    <s v="2022-10-05"/>
    <s v="2018-03-21"/>
    <m/>
    <m/>
    <m/>
    <m/>
    <x v="20"/>
    <x v="5"/>
    <x v="6"/>
    <x v="1"/>
    <m/>
    <m/>
    <m/>
    <m/>
    <n v="15"/>
    <n v="15"/>
    <x v="0"/>
    <s v="92.31%"/>
    <s v="DIRECT"/>
    <s v="C1 C2 C4"/>
    <x v="5"/>
    <x v="5"/>
    <x v="0"/>
    <x v="20"/>
    <m/>
    <m/>
    <x v="28"/>
    <d v="2028-03-14T00:00:00"/>
    <s v="Valid"/>
    <s v="A null"/>
    <d v="2052-02-27T00:00:00"/>
    <s v="Not Trained"/>
    <s v="Eligible"/>
    <s v="Eligible"/>
  </r>
  <r>
    <n v="35"/>
    <n v="581612"/>
    <x v="34"/>
    <x v="7"/>
    <s v="p423"/>
    <s v="JKTTLF-2"/>
    <x v="6"/>
    <d v="2027-03-13T00:00:00"/>
    <s v="Valid"/>
    <d v="2027-03-13T00:00:00"/>
    <s v="Valid"/>
    <d v="2027-08-11T00:00:00"/>
    <s v="Valid"/>
    <d v="2027-08-11T00:00:00"/>
    <s v="Valid"/>
    <d v="2027-08-11T00:00:00"/>
    <s v="Valid"/>
    <d v="2027-08-11T00:00:00"/>
    <s v="Valid"/>
    <d v="2027-08-11T00:00:00"/>
    <s v="Valid"/>
    <d v="2027-08-11T00:00:00"/>
    <s v="Valid"/>
    <d v="2027-08-11T00:00:00"/>
    <s v="Valid"/>
    <d v="2023-04-01T00:00:00"/>
    <s v="Valid"/>
    <d v="2018-07-22T00:00:00"/>
    <d v="2026-04-20T00:00:00"/>
    <d v="2025-12-08T00:00:00"/>
    <m/>
    <m/>
    <m/>
    <m/>
    <m/>
    <m/>
    <m/>
    <m/>
    <m/>
    <m/>
    <m/>
    <m/>
    <m/>
    <m/>
    <m/>
    <m/>
    <m/>
    <m/>
    <m/>
    <m/>
    <m/>
    <m/>
    <m/>
    <m/>
    <s v="2020-03-18"/>
    <s v="2016-02-12"/>
    <d v="2015-01-29T00:00:00"/>
    <m/>
    <m/>
    <m/>
    <x v="21"/>
    <x v="1"/>
    <x v="0"/>
    <x v="0"/>
    <m/>
    <m/>
    <m/>
    <m/>
    <n v="13"/>
    <n v="12"/>
    <x v="2"/>
    <s v="92.31%"/>
    <s v="DIRECT"/>
    <s v="A1 A4"/>
    <x v="1"/>
    <x v="0"/>
    <x v="0"/>
    <x v="21"/>
    <n v="1"/>
    <m/>
    <x v="29"/>
    <m/>
    <s v="Not Trained"/>
    <s v="A null"/>
    <d v="2046-12-15T00:00:00"/>
    <s v="Valid"/>
    <s v="Eligible"/>
    <s v="Not eligible"/>
  </r>
  <r>
    <n v="36"/>
    <n v="581618"/>
    <x v="35"/>
    <x v="7"/>
    <s v="p423"/>
    <s v="JKTTLF-2"/>
    <x v="6"/>
    <d v="2026-12-05T00:00:00"/>
    <s v="Valid"/>
    <d v="2026-12-05T00:00:00"/>
    <s v="Valid"/>
    <d v="2026-10-22T00:00:00"/>
    <s v="Expiring"/>
    <d v="2027-07-18T00:00:00"/>
    <s v="Valid"/>
    <d v="2027-07-18T00:00:00"/>
    <s v="Valid"/>
    <d v="2027-07-18T00:00:00"/>
    <s v="Valid"/>
    <d v="2027-07-18T00:00:00"/>
    <s v="Valid"/>
    <d v="2027-07-18T00:00:00"/>
    <s v="Valid"/>
    <d v="2027-07-18T00:00:00"/>
    <s v="Valid"/>
    <d v="2023-03-25T00:00:00"/>
    <s v="Valid"/>
    <d v="2019-06-14T00:00:00"/>
    <d v="2020-09-21T00:00:00"/>
    <d v="2024-09-11T00:00:00"/>
    <m/>
    <d v="2018-04-05T00:00:00"/>
    <m/>
    <m/>
    <m/>
    <m/>
    <m/>
    <m/>
    <m/>
    <m/>
    <m/>
    <m/>
    <m/>
    <m/>
    <m/>
    <m/>
    <m/>
    <m/>
    <m/>
    <m/>
    <m/>
    <m/>
    <m/>
    <m/>
    <m/>
    <s v="2016-02-12"/>
    <d v="2015-01-29T00:00:00"/>
    <m/>
    <m/>
    <m/>
    <x v="22"/>
    <x v="1"/>
    <x v="0"/>
    <x v="0"/>
    <m/>
    <m/>
    <m/>
    <m/>
    <n v="13"/>
    <n v="12"/>
    <x v="2"/>
    <s v="76.92%"/>
    <s v="DIRECT"/>
    <s v="A1 A4"/>
    <x v="1"/>
    <x v="0"/>
    <x v="0"/>
    <x v="22"/>
    <m/>
    <m/>
    <x v="30"/>
    <d v="2027-10-17T00:00:00"/>
    <s v="Valid"/>
    <s v="A null"/>
    <d v="2048-03-21T00:00:00"/>
    <s v="Valid"/>
    <s v="Eligible"/>
    <s v="Not eligible"/>
  </r>
  <r>
    <n v="37"/>
    <n v="782742"/>
    <x v="36"/>
    <x v="8"/>
    <s v="p428"/>
    <s v="JKTTLF-2"/>
    <x v="6"/>
    <d v="2027-01-09T00:00:00"/>
    <s v="Valid"/>
    <d v="2027-01-09T00:00:00"/>
    <s v="Valid"/>
    <d v="2023-03-01T00:00:00"/>
    <s v="Valid"/>
    <m/>
    <m/>
    <m/>
    <m/>
    <m/>
    <m/>
    <m/>
    <m/>
    <m/>
    <m/>
    <m/>
    <m/>
    <m/>
    <m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3-03-01T00:00:00"/>
    <n v="3"/>
    <n v="3"/>
    <x v="0"/>
    <s v="18.18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38"/>
    <n v="782743"/>
    <x v="37"/>
    <x v="8"/>
    <s v="p428"/>
    <s v="JKTTLF-2"/>
    <x v="6"/>
    <d v="2027-01-09T00:00:00"/>
    <s v="Valid"/>
    <d v="2027-01-09T00:00:00"/>
    <s v="Valid"/>
    <d v="2023-03-01T00:00:00"/>
    <s v="Valid"/>
    <m/>
    <m/>
    <m/>
    <m/>
    <m/>
    <m/>
    <m/>
    <m/>
    <m/>
    <m/>
    <m/>
    <m/>
    <m/>
    <m/>
    <d v="2025-07-12T00:00:00"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d v="2023-03-01T00:00:00"/>
    <n v="3"/>
    <n v="3"/>
    <x v="0"/>
    <s v="27.27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39"/>
    <n v="782750"/>
    <x v="38"/>
    <x v="8"/>
    <s v="p428"/>
    <s v="JKTTLF-2"/>
    <x v="6"/>
    <d v="2027-01-09T00:00:00"/>
    <s v="Valid"/>
    <d v="2027-01-09T00:00:00"/>
    <s v="Valid"/>
    <d v="2023-03-01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d v="2023-03-01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40"/>
    <n v="783022"/>
    <x v="39"/>
    <x v="8"/>
    <s v="p428"/>
    <s v="JKTTLF-2"/>
    <x v="6"/>
    <d v="2027-09-09T00:00:00"/>
    <s v="Valid"/>
    <d v="2027-08-13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3-08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41"/>
    <n v="580797"/>
    <x v="40"/>
    <x v="7"/>
    <s v="p423"/>
    <s v="JKTTLF-3"/>
    <x v="7"/>
    <d v="2027-06-04T00:00:00"/>
    <s v="Valid"/>
    <d v="2027-06-04T00:00:00"/>
    <s v="Valid"/>
    <d v="2027-06-19T00:00:00"/>
    <s v="Valid"/>
    <d v="2027-06-19T00:00:00"/>
    <s v="Valid"/>
    <d v="2027-06-19T00:00:00"/>
    <s v="Valid"/>
    <d v="2027-06-19T00:00:00"/>
    <s v="Valid"/>
    <d v="2027-06-19T00:00:00"/>
    <s v="Valid"/>
    <d v="2027-06-19T00:00:00"/>
    <s v="Valid"/>
    <d v="2027-06-19T00:00:00"/>
    <s v="Valid"/>
    <d v="2023-01-22T00:00:00"/>
    <s v="Valid"/>
    <d v="2019-08-11T00:00:00"/>
    <d v="2019-11-10T00:00:00"/>
    <d v="2025-02-14T00:00:00"/>
    <m/>
    <d v="2024-06-21T00:00:00"/>
    <m/>
    <m/>
    <m/>
    <m/>
    <m/>
    <m/>
    <m/>
    <m/>
    <m/>
    <m/>
    <m/>
    <m/>
    <m/>
    <m/>
    <m/>
    <m/>
    <m/>
    <m/>
    <m/>
    <m/>
    <m/>
    <d v="2025-04-14T00:00:00"/>
    <s v="2019-12-12"/>
    <s v="2013-08-26"/>
    <d v="2013-08-27T00:00:00"/>
    <m/>
    <m/>
    <m/>
    <x v="11"/>
    <x v="1"/>
    <x v="0"/>
    <x v="0"/>
    <s v="2021-01-21"/>
    <m/>
    <m/>
    <m/>
    <n v="13"/>
    <n v="13"/>
    <x v="0"/>
    <s v="92.31%"/>
    <s v="DIRECT"/>
    <s v="C1 C2 C4"/>
    <x v="1"/>
    <x v="0"/>
    <x v="0"/>
    <x v="23"/>
    <m/>
    <m/>
    <x v="31"/>
    <d v="2028-07-21T00:00:00"/>
    <s v="Valid"/>
    <s v="A null"/>
    <d v="2048-09-07T00:00:00"/>
    <s v="Not Trained"/>
    <s v="Eligible"/>
    <s v="Not eligible"/>
  </r>
  <r>
    <n v="42"/>
    <n v="581567"/>
    <x v="41"/>
    <x v="7"/>
    <s v="p423"/>
    <s v="JKTTLF-3"/>
    <x v="7"/>
    <d v="2028-02-11T00:00:00"/>
    <s v="Valid"/>
    <d v="2028-02-11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4-05-19T00:00:00"/>
    <s v="Valid"/>
    <d v="2018-07-22T00:00:00"/>
    <d v="2020-01-12T00:00:00"/>
    <d v="2024-01-12T00:00:00"/>
    <m/>
    <d v="2022-04-14T00:00:00"/>
    <m/>
    <m/>
    <m/>
    <m/>
    <m/>
    <m/>
    <m/>
    <m/>
    <m/>
    <m/>
    <m/>
    <m/>
    <m/>
    <m/>
    <m/>
    <m/>
    <m/>
    <m/>
    <m/>
    <m/>
    <m/>
    <m/>
    <s v="2020-03-18"/>
    <s v="2017-08-10"/>
    <m/>
    <m/>
    <d v="2019-01-22T00:00:00"/>
    <m/>
    <x v="23"/>
    <x v="2"/>
    <x v="0"/>
    <x v="0"/>
    <m/>
    <m/>
    <m/>
    <m/>
    <n v="13"/>
    <n v="12"/>
    <x v="2"/>
    <s v="92.31%"/>
    <s v="DIRECT"/>
    <s v="A1 A4"/>
    <x v="0"/>
    <x v="0"/>
    <x v="0"/>
    <x v="0"/>
    <m/>
    <m/>
    <x v="32"/>
    <m/>
    <s v="Not Trained"/>
    <s v="A null"/>
    <d v="2046-08-28T00:00:00"/>
    <s v="Valid"/>
    <s v="Not eligible"/>
    <s v="Not eligible"/>
  </r>
  <r>
    <n v="43"/>
    <n v="582681"/>
    <x v="42"/>
    <x v="5"/>
    <s v="p422"/>
    <s v="JKTTLF-3"/>
    <x v="7"/>
    <d v="2027-04-29T00:00:00"/>
    <s v="Valid"/>
    <d v="2027-04-29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8-03-22T00:00:00"/>
    <s v="Valid"/>
    <d v="2024-07-21T00:00:00"/>
    <s v="Valid"/>
    <d v="2021-04-24T00:00:00"/>
    <d v="2020-11-30T00:00:00"/>
    <d v="2022-02-25T00:00:00"/>
    <d v="2023-01-19T00:00:00"/>
    <d v="2023-08-18T00:00:00"/>
    <m/>
    <m/>
    <m/>
    <m/>
    <m/>
    <m/>
    <m/>
    <m/>
    <m/>
    <m/>
    <m/>
    <m/>
    <m/>
    <m/>
    <m/>
    <m/>
    <m/>
    <m/>
    <m/>
    <m/>
    <m/>
    <m/>
    <s v="2022-01-19"/>
    <s v="2018-02-15"/>
    <m/>
    <m/>
    <m/>
    <m/>
    <x v="24"/>
    <x v="3"/>
    <x v="5"/>
    <x v="0"/>
    <m/>
    <m/>
    <m/>
    <m/>
    <n v="15"/>
    <n v="14"/>
    <x v="1"/>
    <s v="92.31%"/>
    <s v="DIRECT"/>
    <s v="C1 C2 C4"/>
    <x v="3"/>
    <x v="6"/>
    <x v="0"/>
    <x v="24"/>
    <n v="2"/>
    <m/>
    <x v="33"/>
    <d v="2028-07-04T00:00:00"/>
    <s v="Valid"/>
    <s v="A null"/>
    <d v="2053-05-05T00:00:00"/>
    <s v="Valid"/>
    <s v="Eligible"/>
    <s v="Eligible"/>
  </r>
  <r>
    <n v="44"/>
    <n v="583741"/>
    <x v="43"/>
    <x v="5"/>
    <s v="p422"/>
    <s v="JKTTLF-3"/>
    <x v="7"/>
    <d v="2027-06-25T00:00:00"/>
    <s v="Valid"/>
    <d v="2027-06-25T00:00:00"/>
    <s v="Valid"/>
    <d v="2027-06-09T00:00:00"/>
    <s v="Valid"/>
    <d v="2027-06-09T00:00:00"/>
    <s v="Valid"/>
    <d v="2027-06-09T00:00:00"/>
    <s v="Valid"/>
    <d v="2027-06-09T00:00:00"/>
    <s v="Valid"/>
    <d v="2027-06-09T00:00:00"/>
    <s v="Valid"/>
    <d v="2027-06-09T00:00:00"/>
    <s v="Valid"/>
    <d v="2027-06-09T00:00:00"/>
    <s v="Valid"/>
    <d v="2024-01-13T00:00:00"/>
    <s v="Valid"/>
    <d v="2024-07-27T00:00:00"/>
    <d v="2025-12-05T00:00:00"/>
    <d v="2025-12-08T00:00:00"/>
    <m/>
    <m/>
    <m/>
    <m/>
    <m/>
    <m/>
    <m/>
    <m/>
    <m/>
    <m/>
    <m/>
    <m/>
    <m/>
    <m/>
    <m/>
    <m/>
    <m/>
    <m/>
    <m/>
    <m/>
    <m/>
    <m/>
    <m/>
    <d v="2025-06-10T00:00:00"/>
    <s v="2022-11-09"/>
    <s v="2021-09-29"/>
    <m/>
    <d v="2017-09-18T00:00:00"/>
    <m/>
    <m/>
    <x v="25"/>
    <x v="3"/>
    <x v="0"/>
    <x v="0"/>
    <m/>
    <m/>
    <m/>
    <m/>
    <n v="15"/>
    <n v="15"/>
    <x v="0"/>
    <s v="92.31%"/>
    <s v="DIRECT"/>
    <m/>
    <x v="3"/>
    <x v="0"/>
    <x v="0"/>
    <x v="25"/>
    <n v="1"/>
    <m/>
    <x v="34"/>
    <m/>
    <s v="Not Trained"/>
    <s v="A null"/>
    <d v="2055-12-21T00:00:00"/>
    <s v="Valid"/>
    <s v="Eligible"/>
    <s v="Not eligible"/>
  </r>
  <r>
    <n v="45"/>
    <n v="581711"/>
    <x v="44"/>
    <x v="3"/>
    <s v="p414"/>
    <s v="JKTTLF-3"/>
    <x v="7"/>
    <d v="2027-07-16T00:00:00"/>
    <s v="Valid"/>
    <d v="2027-07-16T00:00:00"/>
    <s v="Valid"/>
    <d v="2026-07-30T00:00:00"/>
    <s v="Expired"/>
    <d v="2026-07-30T00:00:00"/>
    <s v="Expired"/>
    <d v="2026-07-30T00:00:00"/>
    <s v="Expired"/>
    <d v="2026-07-30T00:00:00"/>
    <s v="Expired"/>
    <d v="2026-07-30T00:00:00"/>
    <s v="Expired"/>
    <d v="2026-07-30T00:00:00"/>
    <s v="Expired"/>
    <d v="2027-06-04T00:00:00"/>
    <s v="Valid"/>
    <d v="2022-02-17T00:00:00"/>
    <s v="Valid"/>
    <d v="2016-06-29T00:00:00"/>
    <d v="2018-05-27T00:00:00"/>
    <d v="2019-04-07T00:00:00"/>
    <d v="2025-09-14T00:00:00"/>
    <d v="2025-10-18T00:00:00"/>
    <m/>
    <m/>
    <m/>
    <m/>
    <m/>
    <m/>
    <m/>
    <m/>
    <m/>
    <m/>
    <m/>
    <m/>
    <m/>
    <m/>
    <m/>
    <m/>
    <m/>
    <m/>
    <m/>
    <m/>
    <m/>
    <m/>
    <s v="2022-03-10"/>
    <s v="2016-07-21"/>
    <m/>
    <m/>
    <m/>
    <m/>
    <x v="26"/>
    <x v="2"/>
    <x v="3"/>
    <x v="0"/>
    <m/>
    <m/>
    <m/>
    <m/>
    <n v="15"/>
    <n v="14"/>
    <x v="1"/>
    <s v="93.33%"/>
    <s v="DIRECT"/>
    <s v="A1 A3 A4"/>
    <x v="2"/>
    <x v="3"/>
    <x v="0"/>
    <x v="26"/>
    <n v="2"/>
    <m/>
    <x v="35"/>
    <d v="2028-09-10T00:00:00"/>
    <s v="Valid"/>
    <s v="A null"/>
    <d v="2050-08-05T00:00:00"/>
    <s v="Valid"/>
    <s v="Eligible"/>
    <s v="Eligible"/>
  </r>
  <r>
    <n v="46"/>
    <n v="582594"/>
    <x v="45"/>
    <x v="5"/>
    <s v="p422"/>
    <s v="JKTTLF-3"/>
    <x v="7"/>
    <d v="2028-01-11T00:00:00"/>
    <s v="Valid"/>
    <d v="2028-01-11T00:00:00"/>
    <s v="Valid"/>
    <d v="2026-12-07T00:00:00"/>
    <s v="Valid"/>
    <d v="2027-06-07T00:00:00"/>
    <s v="Valid"/>
    <d v="2027-06-07T00:00:00"/>
    <s v="Valid"/>
    <d v="2027-06-07T00:00:00"/>
    <s v="Valid"/>
    <d v="2027-06-07T00:00:00"/>
    <s v="Valid"/>
    <d v="2028-04-05T00:00:00"/>
    <s v="Valid"/>
    <d v="2028-04-05T00:00:00"/>
    <s v="Valid"/>
    <d v="2024-04-23T00:00:00"/>
    <s v="Valid"/>
    <d v="2020-02-28T00:00:00"/>
    <d v="2024-05-17T00:00:00"/>
    <d v="2022-06-24T00:00:00"/>
    <m/>
    <d v="2024-06-12T00:00:00"/>
    <m/>
    <m/>
    <m/>
    <m/>
    <m/>
    <m/>
    <m/>
    <m/>
    <m/>
    <m/>
    <m/>
    <m/>
    <m/>
    <m/>
    <m/>
    <m/>
    <m/>
    <m/>
    <m/>
    <m/>
    <m/>
    <m/>
    <s v="2018-11-09"/>
    <s v="2017-10-11"/>
    <m/>
    <m/>
    <m/>
    <m/>
    <x v="27"/>
    <x v="1"/>
    <x v="0"/>
    <x v="0"/>
    <m/>
    <m/>
    <m/>
    <m/>
    <n v="15"/>
    <n v="14"/>
    <x v="1"/>
    <s v="92.31%"/>
    <s v="DIRECT"/>
    <s v="A1 A3 A4"/>
    <x v="0"/>
    <x v="0"/>
    <x v="0"/>
    <x v="0"/>
    <m/>
    <m/>
    <x v="36"/>
    <m/>
    <s v="Not Trained"/>
    <s v="A null"/>
    <d v="2051-11-19T00:00:00"/>
    <s v="Valid"/>
    <s v="Not eligible"/>
    <s v="Not eligible"/>
  </r>
  <r>
    <n v="47"/>
    <n v="582115"/>
    <x v="46"/>
    <x v="5"/>
    <s v="p422"/>
    <s v="JKTTLF-3"/>
    <x v="7"/>
    <d v="2028-01-11T00:00:00"/>
    <s v="Valid"/>
    <d v="2028-01-11T00:00:00"/>
    <s v="Valid"/>
    <d v="2027-06-14T00:00:00"/>
    <s v="Valid"/>
    <d v="2028-01-17T00:00:00"/>
    <s v="Valid"/>
    <d v="2028-01-17T00:00:00"/>
    <s v="Valid"/>
    <d v="2028-01-17T00:00:00"/>
    <s v="Valid"/>
    <d v="2028-01-17T00:00:00"/>
    <s v="Valid"/>
    <d v="2027-06-14T00:00:00"/>
    <s v="Valid"/>
    <d v="2027-07-07T00:00:00"/>
    <s v="Valid"/>
    <d v="2023-06-02T00:00:00"/>
    <s v="Valid"/>
    <d v="2019-09-28T00:00:00"/>
    <d v="2020-01-26T00:00:00"/>
    <d v="2017-10-05T00:00:00"/>
    <d v="2020-03-12T00:00:00"/>
    <d v="2024-05-22T00:00:00"/>
    <m/>
    <m/>
    <m/>
    <m/>
    <m/>
    <m/>
    <m/>
    <m/>
    <m/>
    <m/>
    <m/>
    <m/>
    <m/>
    <m/>
    <m/>
    <m/>
    <m/>
    <m/>
    <m/>
    <m/>
    <m/>
    <d v="2026-02-18T00:00:00"/>
    <s v="2022-03-18"/>
    <s v="2024-06-11"/>
    <m/>
    <m/>
    <m/>
    <m/>
    <x v="28"/>
    <x v="5"/>
    <x v="7"/>
    <x v="0"/>
    <m/>
    <m/>
    <m/>
    <m/>
    <n v="15"/>
    <n v="15"/>
    <x v="0"/>
    <s v="92.31%"/>
    <s v="DIRECT"/>
    <s v="A1 A3 A4"/>
    <x v="5"/>
    <x v="0"/>
    <x v="0"/>
    <x v="27"/>
    <m/>
    <m/>
    <x v="37"/>
    <d v="2028-01-26T00:00:00"/>
    <s v="Valid"/>
    <s v="A null"/>
    <d v="2051-12-13T00:00:00"/>
    <s v="Valid"/>
    <s v="Eligible"/>
    <s v="Not eligible"/>
  </r>
  <r>
    <n v="48"/>
    <n v="533458"/>
    <x v="47"/>
    <x v="6"/>
    <s v="p404"/>
    <s v="JKTTLF-3"/>
    <x v="7"/>
    <d v="2026-10-28T00:00:00"/>
    <s v="Expiring"/>
    <d v="2026-10-28T00:00:00"/>
    <s v="Expiring"/>
    <d v="2025-05-05T00:00:00"/>
    <s v="Valid"/>
    <d v="2026-10-07T00:00:00"/>
    <s v="Expiring"/>
    <d v="2026-10-07T00:00:00"/>
    <s v="Expiring"/>
    <d v="2026-10-07T00:00:00"/>
    <s v="Expiring"/>
    <d v="2027-07-07T00:00:00"/>
    <s v="Valid"/>
    <d v="2027-07-07T00:00:00"/>
    <s v="Valid"/>
    <d v="2027-07-07T00:00:00"/>
    <s v="Valid"/>
    <d v="2021-05-08T00:00:00"/>
    <s v="Valid"/>
    <d v="2011-11-04T00:00:00"/>
    <d v="2015-10-02T00:00:00"/>
    <d v="2017-04-12T00:00:00"/>
    <d v="2021-08-26T00:00:00"/>
    <d v="2022-02-09T00:00:00"/>
    <m/>
    <m/>
    <m/>
    <m/>
    <m/>
    <m/>
    <m/>
    <m/>
    <m/>
    <d v="2025-10-15T00:00:00"/>
    <d v="2026-05-08T00:00:00"/>
    <d v="2025-06-28T00:00:00"/>
    <d v="2026-02-07T00:00:00"/>
    <m/>
    <m/>
    <m/>
    <m/>
    <m/>
    <m/>
    <m/>
    <m/>
    <m/>
    <s v="2012-01-11"/>
    <s v="2024-12-29"/>
    <m/>
    <m/>
    <m/>
    <m/>
    <x v="29"/>
    <x v="3"/>
    <x v="0"/>
    <x v="0"/>
    <m/>
    <m/>
    <s v="2023-11-28"/>
    <m/>
    <n v="14"/>
    <n v="14"/>
    <x v="0"/>
    <s v="100.00%"/>
    <s v="INDIRECT"/>
    <s v="A1 A4"/>
    <x v="3"/>
    <x v="0"/>
    <x v="0"/>
    <x v="28"/>
    <m/>
    <m/>
    <x v="38"/>
    <d v="2029-03-19T00:00:00"/>
    <s v="Valid"/>
    <s v="A null"/>
    <d v="2046-04-30T00:00:00"/>
    <s v="Valid"/>
    <s v="Eligible"/>
    <s v="Not eligible"/>
  </r>
  <r>
    <n v="49"/>
    <n v="533502"/>
    <x v="48"/>
    <x v="3"/>
    <s v="p414"/>
    <s v="JKTTLF-3"/>
    <x v="7"/>
    <d v="2026-10-28T00:00:00"/>
    <s v="Expiring"/>
    <d v="2026-10-28T00:00:00"/>
    <s v="Expiring"/>
    <d v="2027-07-29T00:00:00"/>
    <s v="Valid"/>
    <d v="2027-07-29T00:00:00"/>
    <s v="Valid"/>
    <d v="2027-07-29T00:00:00"/>
    <s v="Valid"/>
    <d v="2027-07-29T00:00:00"/>
    <s v="Valid"/>
    <d v="2027-07-29T00:00:00"/>
    <s v="Valid"/>
    <d v="2027-07-29T00:00:00"/>
    <s v="Valid"/>
    <d v="2027-07-29T00:00:00"/>
    <s v="Valid"/>
    <d v="2023-09-05T00:00:00"/>
    <s v="Valid"/>
    <d v="2011-11-09T00:00:00"/>
    <d v="2019-07-07T00:00:00"/>
    <d v="2020-04-13T00:00:00"/>
    <d v="2025-02-24T00:00:00"/>
    <d v="2022-10-27T00:00:00"/>
    <m/>
    <m/>
    <m/>
    <m/>
    <m/>
    <m/>
    <m/>
    <m/>
    <m/>
    <m/>
    <m/>
    <m/>
    <m/>
    <m/>
    <m/>
    <m/>
    <m/>
    <m/>
    <m/>
    <m/>
    <m/>
    <m/>
    <m/>
    <s v="2024-12-29"/>
    <m/>
    <m/>
    <m/>
    <m/>
    <x v="9"/>
    <x v="4"/>
    <x v="8"/>
    <x v="0"/>
    <m/>
    <m/>
    <m/>
    <m/>
    <n v="15"/>
    <n v="14"/>
    <x v="1"/>
    <s v="93.33%"/>
    <s v="DIRECT"/>
    <s v="A1 A4"/>
    <x v="4"/>
    <x v="0"/>
    <x v="0"/>
    <x v="29"/>
    <n v="1"/>
    <m/>
    <x v="39"/>
    <d v="2028-01-19T00:00:00"/>
    <s v="Valid"/>
    <s v="A null"/>
    <d v="2047-07-07T00:00:00"/>
    <s v="Valid"/>
    <s v="Eligible"/>
    <s v="Not eligible"/>
  </r>
  <r>
    <n v="50"/>
    <n v="533470"/>
    <x v="49"/>
    <x v="3"/>
    <s v="p414"/>
    <s v="JKTTLF-3"/>
    <x v="7"/>
    <d v="2026-10-28T00:00:00"/>
    <s v="Expiring"/>
    <d v="2026-10-28T00:00:00"/>
    <s v="Expiring"/>
    <d v="2026-11-15T00:00:00"/>
    <s v="Valid"/>
    <d v="2026-11-14T00:00:00"/>
    <s v="Valid"/>
    <d v="2026-11-15T00:00:00"/>
    <s v="Valid"/>
    <d v="2026-11-14T00:00:00"/>
    <s v="Valid"/>
    <d v="2026-11-15T00:00:00"/>
    <s v="Valid"/>
    <d v="2026-11-14T00:00:00"/>
    <s v="Valid"/>
    <d v="2026-11-15T00:00:00"/>
    <s v="Valid"/>
    <d v="2023-02-24T00:00:00"/>
    <s v="Valid"/>
    <d v="2011-11-04T00:00:00"/>
    <d v="2018-10-21T00:00:00"/>
    <d v="2019-03-31T00:00:00"/>
    <d v="2024-03-04T00:00:00"/>
    <d v="2022-10-27T00:00:00"/>
    <m/>
    <m/>
    <m/>
    <m/>
    <m/>
    <m/>
    <m/>
    <m/>
    <m/>
    <m/>
    <m/>
    <m/>
    <m/>
    <m/>
    <m/>
    <m/>
    <m/>
    <m/>
    <m/>
    <m/>
    <m/>
    <m/>
    <m/>
    <s v="2024-12-29"/>
    <m/>
    <m/>
    <m/>
    <m/>
    <x v="30"/>
    <x v="3"/>
    <x v="0"/>
    <x v="0"/>
    <m/>
    <s v="2023-04-05"/>
    <m/>
    <m/>
    <n v="15"/>
    <n v="14"/>
    <x v="1"/>
    <s v="93.33%"/>
    <s v="DIRECT"/>
    <s v="C1 C2 C4"/>
    <x v="3"/>
    <x v="0"/>
    <x v="0"/>
    <x v="30"/>
    <n v="1"/>
    <m/>
    <x v="40"/>
    <d v="2028-08-23T00:00:00"/>
    <s v="Valid"/>
    <s v="A null"/>
    <d v="2043-02-14T00:00:00"/>
    <s v="Valid"/>
    <s v="Eligible"/>
    <s v="Not eligible"/>
  </r>
  <r>
    <n v="51"/>
    <n v="584250"/>
    <x v="50"/>
    <x v="7"/>
    <s v="p422"/>
    <s v="JKTTLF-3"/>
    <x v="7"/>
    <d v="2027-01-22T00:00:00"/>
    <s v="Valid"/>
    <d v="2027-02-14T00:00:00"/>
    <s v="Valid"/>
    <d v="2027-03-05T00:00:00"/>
    <s v="Valid"/>
    <d v="2027-03-10T00:00:00"/>
    <s v="Valid"/>
    <d v="2027-03-10T00:00:00"/>
    <s v="Valid"/>
    <d v="2027-03-10T00:00:00"/>
    <s v="Valid"/>
    <d v="2027-03-11T00:00:00"/>
    <s v="Valid"/>
    <d v="2027-01-17T00:00:00"/>
    <s v="Valid"/>
    <d v="2027-04-24T00:00:00"/>
    <s v="Valid"/>
    <d v="2027-06-30T00:00:00"/>
    <s v="Valid"/>
    <d v="2026-12-20T00:00:00"/>
    <m/>
    <m/>
    <m/>
    <m/>
    <m/>
    <m/>
    <m/>
    <d v="2026-01-21T00:00:00"/>
    <m/>
    <m/>
    <m/>
    <m/>
    <m/>
    <m/>
    <m/>
    <m/>
    <m/>
    <m/>
    <m/>
    <m/>
    <m/>
    <m/>
    <m/>
    <m/>
    <m/>
    <d v="2025-06-10T00:00:00"/>
    <m/>
    <s v="2025-01-08"/>
    <m/>
    <m/>
    <m/>
    <m/>
    <x v="0"/>
    <x v="0"/>
    <x v="0"/>
    <x v="0"/>
    <m/>
    <m/>
    <m/>
    <m/>
    <n v="13"/>
    <n v="12"/>
    <x v="2"/>
    <s v="69.23%"/>
    <s v="DIRECT"/>
    <s v="C1 C2 C4"/>
    <x v="0"/>
    <x v="0"/>
    <x v="0"/>
    <x v="0"/>
    <m/>
    <m/>
    <x v="41"/>
    <m/>
    <s v="Not Trained"/>
    <s v="A null"/>
    <m/>
    <s v="Valid"/>
    <s v="Not eligible"/>
    <s v="Not eligible"/>
  </r>
  <r>
    <n v="52"/>
    <n v="581608"/>
    <x v="51"/>
    <x v="7"/>
    <s v="p423"/>
    <s v="JKTTLF-3"/>
    <x v="7"/>
    <d v="2027-02-04T00:00:00"/>
    <s v="Valid"/>
    <d v="2027-02-04T00:00:00"/>
    <s v="Valid"/>
    <d v="2027-03-26T00:00:00"/>
    <s v="Valid"/>
    <d v="2027-03-26T00:00:00"/>
    <s v="Valid"/>
    <d v="2027-03-26T00:00:00"/>
    <s v="Valid"/>
    <d v="2027-03-26T00:00:00"/>
    <s v="Valid"/>
    <d v="2027-03-26T00:00:00"/>
    <s v="Valid"/>
    <d v="2027-03-26T00:00:00"/>
    <s v="Valid"/>
    <d v="2027-03-26T00:00:00"/>
    <s v="Valid"/>
    <d v="2023-03-26T00:00:00"/>
    <s v="Valid"/>
    <d v="2018-06-29T00:00:00"/>
    <d v="2024-08-02T00:00:00"/>
    <d v="2023-07-07T00:00:00"/>
    <d v="2016-11-23T00:00:00"/>
    <d v="2024-01-10T00:00:00"/>
    <m/>
    <m/>
    <m/>
    <m/>
    <m/>
    <m/>
    <m/>
    <m/>
    <m/>
    <m/>
    <m/>
    <m/>
    <m/>
    <m/>
    <m/>
    <m/>
    <m/>
    <m/>
    <m/>
    <m/>
    <m/>
    <d v="2025-08-25T00:00:00"/>
    <s v="2022-09-16"/>
    <s v="2016-02-12"/>
    <d v="2015-01-29T00:00:00"/>
    <m/>
    <m/>
    <m/>
    <x v="31"/>
    <x v="2"/>
    <x v="3"/>
    <x v="0"/>
    <m/>
    <m/>
    <m/>
    <m/>
    <n v="13"/>
    <n v="13"/>
    <x v="0"/>
    <s v="92.31%"/>
    <s v="DIRECT"/>
    <s v="A1 A4"/>
    <x v="2"/>
    <x v="0"/>
    <x v="0"/>
    <x v="31"/>
    <m/>
    <m/>
    <x v="42"/>
    <d v="2027-08-15T00:00:00"/>
    <s v="Valid"/>
    <s v="A null"/>
    <d v="2051-04-22T00:00:00"/>
    <s v="Not Trained"/>
    <s v="Eligible"/>
    <s v="Not eligible"/>
  </r>
  <r>
    <n v="53"/>
    <n v="581609"/>
    <x v="52"/>
    <x v="7"/>
    <s v="p423"/>
    <s v="JKTTLF-3"/>
    <x v="7"/>
    <d v="2027-04-20T00:00:00"/>
    <s v="Valid"/>
    <d v="2027-04-20T00:00:00"/>
    <s v="Valid"/>
    <d v="2027-06-12T00:00:00"/>
    <s v="Valid"/>
    <d v="2027-06-12T00:00:00"/>
    <s v="Valid"/>
    <d v="2027-06-12T00:00:00"/>
    <s v="Valid"/>
    <d v="2027-06-12T00:00:00"/>
    <s v="Valid"/>
    <d v="2027-06-12T00:00:00"/>
    <s v="Valid"/>
    <d v="2027-06-12T00:00:00"/>
    <s v="Valid"/>
    <d v="2027-06-12T00:00:00"/>
    <s v="Valid"/>
    <d v="2023-03-08T00:00:00"/>
    <s v="Valid"/>
    <d v="2018-10-31T00:00:00"/>
    <d v="2025-07-07T00:00:00"/>
    <d v="2024-02-16T00:00:00"/>
    <m/>
    <d v="2022-05-25T00:00:00"/>
    <m/>
    <m/>
    <m/>
    <m/>
    <m/>
    <m/>
    <m/>
    <m/>
    <m/>
    <m/>
    <m/>
    <m/>
    <m/>
    <m/>
    <m/>
    <m/>
    <m/>
    <m/>
    <m/>
    <m/>
    <m/>
    <d v="2025-09-22T00:00:00"/>
    <s v="2019-12-12"/>
    <s v="2016-02-12"/>
    <d v="2015-01-29T00:00:00"/>
    <m/>
    <m/>
    <m/>
    <x v="32"/>
    <x v="1"/>
    <x v="2"/>
    <x v="0"/>
    <m/>
    <s v="2023-06-28"/>
    <m/>
    <m/>
    <n v="13"/>
    <n v="13"/>
    <x v="0"/>
    <s v="84.62%"/>
    <s v="DIRECT"/>
    <s v="A1 A4"/>
    <x v="1"/>
    <x v="0"/>
    <x v="0"/>
    <x v="32"/>
    <m/>
    <m/>
    <x v="43"/>
    <d v="2028-02-03T00:00:00"/>
    <s v="Valid"/>
    <s v="A null"/>
    <d v="2047-05-19T00:00:00"/>
    <s v="Valid"/>
    <s v="Eligible"/>
    <s v="Not eligible"/>
  </r>
  <r>
    <n v="54"/>
    <n v="533471"/>
    <x v="53"/>
    <x v="3"/>
    <s v="p414"/>
    <s v="JKTTLF-3"/>
    <x v="7"/>
    <d v="2027-02-04T00:00:00"/>
    <s v="Valid"/>
    <d v="2027-02-04T00:00:00"/>
    <s v="Valid"/>
    <d v="2027-07-29T00:00:00"/>
    <s v="Valid"/>
    <d v="2028-07-07T00:00:00"/>
    <s v="Valid"/>
    <d v="2028-07-07T00:00:00"/>
    <s v="Valid"/>
    <d v="2028-07-07T00:00:00"/>
    <s v="Valid"/>
    <d v="2028-07-07T00:00:00"/>
    <s v="Valid"/>
    <d v="2027-06-04T00:00:00"/>
    <s v="Valid"/>
    <d v="2027-03-29T00:00:00"/>
    <s v="Valid"/>
    <d v="2023-03-23T00:00:00"/>
    <s v="Valid"/>
    <d v="2011-11-09T00:00:00"/>
    <d v="2018-02-19T00:00:00"/>
    <d v="2019-03-31T00:00:00"/>
    <d v="2019-04-12T00:00:00"/>
    <d v="2020-04-05T00:00:00"/>
    <m/>
    <m/>
    <m/>
    <m/>
    <m/>
    <m/>
    <m/>
    <m/>
    <m/>
    <m/>
    <m/>
    <m/>
    <m/>
    <m/>
    <m/>
    <m/>
    <m/>
    <m/>
    <m/>
    <m/>
    <m/>
    <d v="2025-11-24T00:00:00"/>
    <s v="2011-12-02"/>
    <s v="2024-12-29"/>
    <m/>
    <m/>
    <m/>
    <m/>
    <x v="33"/>
    <x v="2"/>
    <x v="3"/>
    <x v="0"/>
    <m/>
    <s v="2025-01-10"/>
    <m/>
    <m/>
    <n v="15"/>
    <n v="15"/>
    <x v="0"/>
    <s v="93.33%"/>
    <s v="DIRECT"/>
    <s v="C1 C2 C4"/>
    <x v="2"/>
    <x v="0"/>
    <x v="0"/>
    <x v="33"/>
    <n v="1"/>
    <m/>
    <x v="44"/>
    <d v="2026-11-04T00:00:00"/>
    <s v="Expiring"/>
    <s v="A null"/>
    <d v="2046-02-17T00:00:00"/>
    <s v="Valid"/>
    <s v="Eligible"/>
    <s v="Not eligible"/>
  </r>
  <r>
    <n v="55"/>
    <n v="582043"/>
    <x v="54"/>
    <x v="7"/>
    <s v="p423"/>
    <s v="JKTTLF-3"/>
    <x v="4"/>
    <d v="2026-12-16T00:00:00"/>
    <s v="Valid"/>
    <d v="2026-12-16T00:00:00"/>
    <s v="Valid"/>
    <d v="2027-03-24T00:00:00"/>
    <s v="Valid"/>
    <d v="2028-06-19T00:00:00"/>
    <s v="Valid"/>
    <d v="2028-06-19T00:00:00"/>
    <s v="Valid"/>
    <d v="2026-07-30T00:00:00"/>
    <s v="Expired"/>
    <d v="2028-06-19T00:00:00"/>
    <s v="Valid"/>
    <d v="2028-06-19T00:00:00"/>
    <s v="Valid"/>
    <d v="2027-03-24T00:00:00"/>
    <s v="Valid"/>
    <d v="2023-05-03T00:00:00"/>
    <s v="Valid"/>
    <d v="2024-02-04T00:00:00"/>
    <d v="2025-10-31T00:00:00"/>
    <m/>
    <m/>
    <d v="2022-06-22T00:00:00"/>
    <m/>
    <m/>
    <m/>
    <m/>
    <m/>
    <m/>
    <m/>
    <m/>
    <m/>
    <m/>
    <m/>
    <m/>
    <m/>
    <m/>
    <m/>
    <m/>
    <m/>
    <m/>
    <m/>
    <m/>
    <m/>
    <d v="2026-07-24T00:00:00"/>
    <s v="2022-07-14"/>
    <s v="2017-07-20"/>
    <m/>
    <m/>
    <m/>
    <d v="2018-11-21T00:00:00"/>
    <x v="34"/>
    <x v="2"/>
    <x v="0"/>
    <x v="0"/>
    <m/>
    <m/>
    <m/>
    <m/>
    <n v="13"/>
    <n v="13"/>
    <x v="0"/>
    <s v="84.62%"/>
    <s v="DIRECT"/>
    <s v="A1 A4"/>
    <x v="0"/>
    <x v="0"/>
    <x v="0"/>
    <x v="0"/>
    <m/>
    <m/>
    <x v="45"/>
    <m/>
    <s v="Not Trained"/>
    <s v="A null"/>
    <d v="2045-04-23T00:00:00"/>
    <s v="Valid"/>
    <s v="Not eligible"/>
    <s v="Not eligible"/>
  </r>
  <r>
    <n v="56"/>
    <n v="782744"/>
    <x v="55"/>
    <x v="8"/>
    <s v="p428"/>
    <s v="JKTTLF-3"/>
    <x v="7"/>
    <d v="2027-01-30T00:00:00"/>
    <s v="Valid"/>
    <d v="2027-01-30T00:00:00"/>
    <s v="Valid"/>
    <d v="2023-03-01T00:00:00"/>
    <s v="Valid"/>
    <d v="2027-08-01T00:00:00"/>
    <m/>
    <d v="2027-08-01T00:00:00"/>
    <m/>
    <d v="2027-08-01T00:00:00"/>
    <m/>
    <d v="2027-08-01T00:00:00"/>
    <m/>
    <m/>
    <m/>
    <m/>
    <m/>
    <m/>
    <m/>
    <d v="2025-09-29T00:00:00"/>
    <m/>
    <m/>
    <m/>
    <m/>
    <m/>
    <m/>
    <m/>
    <m/>
    <m/>
    <m/>
    <m/>
    <m/>
    <m/>
    <m/>
    <m/>
    <m/>
    <m/>
    <m/>
    <m/>
    <m/>
    <m/>
    <m/>
    <m/>
    <m/>
    <m/>
    <d v="2023-06-07T00:00:00"/>
    <m/>
    <d v="2025-07-17T00:00:00"/>
    <m/>
    <m/>
    <m/>
    <m/>
    <x v="0"/>
    <x v="0"/>
    <x v="0"/>
    <x v="0"/>
    <m/>
    <m/>
    <m/>
    <d v="2023-03-01T00:00:00"/>
    <n v="3"/>
    <n v="3"/>
    <x v="0"/>
    <s v="54.55%"/>
    <s v="DIRECT"/>
    <s v="A1 A4"/>
    <x v="0"/>
    <x v="0"/>
    <x v="0"/>
    <x v="0"/>
    <m/>
    <m/>
    <x v="0"/>
    <m/>
    <s v="Not Trained"/>
    <s v="A null"/>
    <m/>
    <s v="Valid"/>
    <s v="Not eligible"/>
    <s v="Not eligible"/>
  </r>
  <r>
    <n v="57"/>
    <n v="782745"/>
    <x v="56"/>
    <x v="8"/>
    <s v="p428"/>
    <s v="JKTTLF-3"/>
    <x v="7"/>
    <d v="2027-01-30T00:00:00"/>
    <s v="Valid"/>
    <d v="2027-01-30T00:00:00"/>
    <s v="Valid"/>
    <d v="2023-03-01T00:00:00"/>
    <s v="Valid"/>
    <d v="2025-10-19T00:00:00"/>
    <m/>
    <d v="2025-10-19T00:00:00"/>
    <m/>
    <d v="2025-10-19T00:00:00"/>
    <m/>
    <d v="2025-10-20T00:00:00"/>
    <m/>
    <m/>
    <m/>
    <m/>
    <m/>
    <m/>
    <m/>
    <d v="2025-10-20T00:00:00"/>
    <m/>
    <m/>
    <m/>
    <m/>
    <m/>
    <m/>
    <m/>
    <m/>
    <m/>
    <m/>
    <m/>
    <m/>
    <m/>
    <m/>
    <m/>
    <m/>
    <m/>
    <m/>
    <m/>
    <m/>
    <m/>
    <m/>
    <m/>
    <m/>
    <m/>
    <d v="2023-09-21T00:00:00"/>
    <m/>
    <s v="2024-06-11"/>
    <m/>
    <m/>
    <m/>
    <m/>
    <x v="0"/>
    <x v="0"/>
    <x v="0"/>
    <x v="0"/>
    <m/>
    <m/>
    <m/>
    <d v="2023-03-01T00:00:00"/>
    <n v="3"/>
    <n v="3"/>
    <x v="0"/>
    <s v="54.55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58"/>
    <n v="783023"/>
    <x v="57"/>
    <x v="8"/>
    <s v="p428"/>
    <s v="JKTTLF-3"/>
    <x v="7"/>
    <d v="2027-11-06T00:00:00"/>
    <s v="Valid"/>
    <d v="2027-09-25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3-08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59"/>
    <n v="580787"/>
    <x v="58"/>
    <x v="7"/>
    <s v="p423"/>
    <s v="JKTTLF-4"/>
    <x v="5"/>
    <d v="2027-06-22T00:00:00"/>
    <s v="Valid"/>
    <d v="2027-06-22T00:00:00"/>
    <s v="Valid"/>
    <d v="2026-08-21T00:00:00"/>
    <s v="Expiring"/>
    <d v="2026-08-20T00:00:00"/>
    <s v="Expiring"/>
    <d v="2026-08-21T00:00:00"/>
    <s v="Expiring"/>
    <d v="2026-08-21T00:00:00"/>
    <s v="Expiring"/>
    <d v="2026-08-21T00:00:00"/>
    <s v="Expiring"/>
    <d v="2026-08-21T00:00:00"/>
    <s v="Expiring"/>
    <d v="2026-08-21T00:00:00"/>
    <s v="Expiring"/>
    <d v="2024-05-22T00:00:00"/>
    <s v="Valid"/>
    <d v="2019-09-20T00:00:00"/>
    <d v="2019-04-07T00:00:00"/>
    <d v="2025-03-14T00:00:00"/>
    <m/>
    <m/>
    <m/>
    <m/>
    <m/>
    <m/>
    <m/>
    <m/>
    <m/>
    <m/>
    <m/>
    <m/>
    <m/>
    <m/>
    <m/>
    <m/>
    <m/>
    <m/>
    <m/>
    <m/>
    <m/>
    <m/>
    <m/>
    <d v="2025-11-24T00:00:00"/>
    <s v="2022-10-05"/>
    <s v="2014-08-29"/>
    <d v="2013-08-27T00:00:00"/>
    <m/>
    <m/>
    <m/>
    <x v="35"/>
    <x v="1"/>
    <x v="0"/>
    <x v="0"/>
    <m/>
    <m/>
    <m/>
    <m/>
    <n v="13"/>
    <n v="13"/>
    <x v="0"/>
    <s v="92.31%"/>
    <s v="DIRECT"/>
    <s v="A1 A4"/>
    <x v="1"/>
    <x v="0"/>
    <x v="0"/>
    <x v="34"/>
    <n v="1"/>
    <m/>
    <x v="46"/>
    <m/>
    <s v="Not Trained"/>
    <s v="A null"/>
    <d v="2050-03-06T00:00:00"/>
    <s v="Not Trained"/>
    <s v="Eligible"/>
    <s v="Not eligible"/>
  </r>
  <r>
    <n v="60"/>
    <n v="581310"/>
    <x v="59"/>
    <x v="3"/>
    <s v="p423"/>
    <s v="JKTTLF-4"/>
    <x v="2"/>
    <d v="2027-04-14T00:00:00"/>
    <s v="Valid"/>
    <d v="2027-04-14T00:00:00"/>
    <s v="Valid"/>
    <d v="2028-06-17T00:00:00"/>
    <s v="Valid"/>
    <d v="2028-06-17T00:00:00"/>
    <s v="Valid"/>
    <d v="2028-06-17T00:00:00"/>
    <s v="Valid"/>
    <d v="2028-06-17T00:00:00"/>
    <s v="Valid"/>
    <d v="2028-06-17T00:00:00"/>
    <s v="Valid"/>
    <d v="2027-05-20T00:00:00"/>
    <s v="Valid"/>
    <d v="2028-06-17T00:00:00"/>
    <s v="Valid"/>
    <d v="2023-04-29T00:00:00"/>
    <s v="Valid"/>
    <d v="2018-12-23T00:00:00"/>
    <d v="2019-08-11T00:00:00"/>
    <d v="2024-08-30T00:00:00"/>
    <m/>
    <d v="2025-09-24T00:00:00"/>
    <m/>
    <m/>
    <m/>
    <m/>
    <m/>
    <m/>
    <m/>
    <m/>
    <m/>
    <m/>
    <m/>
    <m/>
    <m/>
    <m/>
    <m/>
    <m/>
    <m/>
    <m/>
    <m/>
    <m/>
    <m/>
    <d v="2025-12-15T00:00:00"/>
    <s v="2019-12-12"/>
    <s v="2017-02-08"/>
    <m/>
    <m/>
    <d v="2018-10-29T00:00:00"/>
    <m/>
    <x v="22"/>
    <x v="3"/>
    <x v="0"/>
    <x v="0"/>
    <m/>
    <m/>
    <m/>
    <m/>
    <n v="15"/>
    <n v="15"/>
    <x v="0"/>
    <s v="92.31%"/>
    <s v="DIRECT"/>
    <s v="A1 A4"/>
    <x v="3"/>
    <x v="0"/>
    <x v="0"/>
    <x v="35"/>
    <m/>
    <m/>
    <x v="47"/>
    <d v="2027-09-12T00:00:00"/>
    <s v="Valid"/>
    <s v="A null"/>
    <d v="2048-07-23T00:00:00"/>
    <s v="Valid"/>
    <s v="Eligible"/>
    <s v="Not eligible"/>
  </r>
  <r>
    <n v="61"/>
    <n v="581616"/>
    <x v="60"/>
    <x v="3"/>
    <s v="p423"/>
    <s v="JKTTLF-4"/>
    <x v="5"/>
    <d v="2027-05-21T00:00:00"/>
    <s v="Valid"/>
    <d v="2027-05-21T00:00:00"/>
    <s v="Valid"/>
    <d v="2028-06-29T00:00:00"/>
    <s v="Valid"/>
    <d v="2028-06-29T00:00:00"/>
    <s v="Valid"/>
    <d v="2028-06-29T00:00:00"/>
    <s v="Valid"/>
    <d v="2028-06-29T00:00:00"/>
    <s v="Valid"/>
    <d v="2028-06-29T00:00:00"/>
    <s v="Valid"/>
    <d v="2028-06-29T00:00:00"/>
    <s v="Valid"/>
    <d v="2028-06-29T00:00:00"/>
    <s v="Valid"/>
    <d v="2024-07-02T00:00:00"/>
    <s v="Valid"/>
    <d v="2018-07-22T00:00:00"/>
    <d v="2020-09-21T00:00:00"/>
    <d v="2022-09-23T00:00:00"/>
    <d v="2025-02-27T00:00:00"/>
    <d v="2022-12-08T00:00:00"/>
    <m/>
    <m/>
    <m/>
    <m/>
    <m/>
    <m/>
    <m/>
    <m/>
    <m/>
    <m/>
    <m/>
    <m/>
    <m/>
    <m/>
    <m/>
    <m/>
    <m/>
    <m/>
    <m/>
    <m/>
    <m/>
    <d v="2025-08-25T00:00:00"/>
    <s v="2022-02-11"/>
    <s v="2016-02-12"/>
    <d v="2015-01-29T00:00:00"/>
    <m/>
    <m/>
    <m/>
    <x v="10"/>
    <x v="1"/>
    <x v="2"/>
    <x v="0"/>
    <m/>
    <m/>
    <m/>
    <m/>
    <n v="15"/>
    <n v="15"/>
    <x v="0"/>
    <s v="92.31%"/>
    <s v="DIRECT"/>
    <s v="A1 A4"/>
    <x v="1"/>
    <x v="0"/>
    <x v="0"/>
    <x v="36"/>
    <m/>
    <m/>
    <x v="48"/>
    <d v="2027-07-14T00:00:00"/>
    <s v="Valid"/>
    <s v="A null"/>
    <d v="2047-07-20T00:00:00"/>
    <s v="Valid"/>
    <s v="Eligible"/>
    <s v="Not eligible"/>
  </r>
  <r>
    <n v="62"/>
    <n v="582682"/>
    <x v="61"/>
    <x v="5"/>
    <s v="p422"/>
    <s v="JKTTLF-4"/>
    <x v="5"/>
    <d v="2027-04-29T00:00:00"/>
    <s v="Valid"/>
    <d v="2027-04-29T00:00:00"/>
    <s v="Valid"/>
    <d v="2027-02-01T00:00:00"/>
    <s v="Valid"/>
    <d v="2027-01-31T00:00:00"/>
    <s v="Valid"/>
    <d v="2027-01-31T00:00:00"/>
    <s v="Valid"/>
    <d v="2027-01-31T00:00:00"/>
    <s v="Valid"/>
    <d v="2027-01-31T00:00:00"/>
    <s v="Valid"/>
    <d v="2027-01-31T00:00:00"/>
    <s v="Valid"/>
    <d v="2027-01-31T00:00:00"/>
    <s v="Valid"/>
    <d v="2022-10-23T00:00:00"/>
    <s v="Valid"/>
    <d v="2021-02-08T00:00:00"/>
    <d v="2025-03-21T00:00:00"/>
    <d v="2022-07-13T00:00:00"/>
    <d v="2023-09-14T00:00:00"/>
    <d v="2025-06-16T00:00:00"/>
    <d v="2025-07-23T00:00:00"/>
    <m/>
    <m/>
    <m/>
    <m/>
    <m/>
    <m/>
    <m/>
    <m/>
    <m/>
    <m/>
    <m/>
    <m/>
    <m/>
    <m/>
    <m/>
    <m/>
    <m/>
    <m/>
    <m/>
    <m/>
    <d v="2027-02-12T00:00:00"/>
    <s v="2022-08-31"/>
    <s v="2018-02-15"/>
    <m/>
    <m/>
    <m/>
    <m/>
    <x v="36"/>
    <x v="3"/>
    <x v="8"/>
    <x v="0"/>
    <m/>
    <s v="2023-06-28"/>
    <m/>
    <m/>
    <n v="15"/>
    <n v="15"/>
    <x v="0"/>
    <s v="100.00%"/>
    <s v="DIRECT"/>
    <s v="C1 C2 C4"/>
    <x v="3"/>
    <x v="7"/>
    <x v="0"/>
    <x v="37"/>
    <m/>
    <m/>
    <x v="49"/>
    <d v="2029-02-16T00:00:00"/>
    <s v="Valid"/>
    <s v="A null"/>
    <d v="2053-07-16T00:00:00"/>
    <s v="Valid"/>
    <s v="Eligible"/>
    <s v="Eligible"/>
  </r>
  <r>
    <n v="63"/>
    <n v="583733"/>
    <x v="62"/>
    <x v="5"/>
    <s v="p422"/>
    <s v="JKTTLF-4"/>
    <x v="5"/>
    <d v="2027-06-04T00:00:00"/>
    <s v="Valid"/>
    <d v="2027-06-04T00:00:00"/>
    <s v="Valid"/>
    <d v="2027-10-02T00:00:00"/>
    <s v="Valid"/>
    <d v="2027-09-07T00:00:00"/>
    <s v="Valid"/>
    <d v="2027-08-07T00:00:00"/>
    <s v="Valid"/>
    <d v="2027-09-07T00:00:00"/>
    <s v="Valid"/>
    <d v="2027-09-16T00:00:00"/>
    <s v="Valid"/>
    <d v="2026-10-23T00:00:00"/>
    <s v="Expiring"/>
    <d v="2027-09-07T00:00:00"/>
    <s v="Valid"/>
    <d v="2023-07-06T00:00:00"/>
    <s v="Valid"/>
    <d v="2024-04-14T00:00:00"/>
    <d v="2026-02-09T00:00:00"/>
    <d v="2023-03-15T00:00:00"/>
    <m/>
    <m/>
    <m/>
    <m/>
    <m/>
    <m/>
    <m/>
    <m/>
    <m/>
    <m/>
    <m/>
    <m/>
    <m/>
    <m/>
    <m/>
    <m/>
    <m/>
    <m/>
    <m/>
    <m/>
    <m/>
    <m/>
    <m/>
    <d v="2026-02-21T00:00:00"/>
    <s v="2022-08-31"/>
    <s v="2021-09-09"/>
    <m/>
    <d v="2017-09-04T00:00:00"/>
    <m/>
    <m/>
    <x v="37"/>
    <x v="1"/>
    <x v="0"/>
    <x v="0"/>
    <m/>
    <m/>
    <m/>
    <m/>
    <n v="15"/>
    <n v="15"/>
    <x v="0"/>
    <s v="92.31%"/>
    <s v="DIRECT"/>
    <m/>
    <x v="0"/>
    <x v="0"/>
    <x v="0"/>
    <x v="0"/>
    <m/>
    <m/>
    <x v="50"/>
    <m/>
    <s v="Not Trained"/>
    <s v="A null"/>
    <d v="2055-08-07T00:00:00"/>
    <s v="Valid"/>
    <s v="Not eligible"/>
    <s v="Not eligible"/>
  </r>
  <r>
    <n v="64"/>
    <n v="533496"/>
    <x v="63"/>
    <x v="3"/>
    <s v="p414"/>
    <s v="JKTTLF-4"/>
    <x v="5"/>
    <d v="2027-06-22T00:00:00"/>
    <s v="Valid"/>
    <d v="2027-06-22T00:00:00"/>
    <s v="Valid"/>
    <d v="2026-12-18T00:00:00"/>
    <s v="Valid"/>
    <d v="2026-12-18T00:00:00"/>
    <s v="Valid"/>
    <d v="2026-12-18T00:00:00"/>
    <s v="Valid"/>
    <d v="2026-12-18T00:00:00"/>
    <s v="Valid"/>
    <d v="2026-12-18T00:00:00"/>
    <s v="Valid"/>
    <d v="2026-12-18T00:00:00"/>
    <s v="Valid"/>
    <d v="2026-12-18T00:00:00"/>
    <s v="Valid"/>
    <d v="2024-10-28T00:00:00"/>
    <s v="Valid"/>
    <d v="2011-11-09T00:00:00"/>
    <d v="2019-05-08T00:00:00"/>
    <d v="2017-09-23T00:00:00"/>
    <m/>
    <d v="2025-07-14T00:00:00"/>
    <m/>
    <m/>
    <m/>
    <m/>
    <m/>
    <m/>
    <m/>
    <m/>
    <m/>
    <m/>
    <m/>
    <m/>
    <m/>
    <m/>
    <m/>
    <m/>
    <m/>
    <m/>
    <m/>
    <m/>
    <m/>
    <m/>
    <s v="2012-02-02"/>
    <d v="2025-11-18T00:00:00"/>
    <m/>
    <m/>
    <m/>
    <m/>
    <x v="38"/>
    <x v="5"/>
    <x v="0"/>
    <x v="0"/>
    <m/>
    <m/>
    <m/>
    <m/>
    <n v="15"/>
    <n v="14"/>
    <x v="1"/>
    <s v="80.00%"/>
    <s v="DIRECT"/>
    <s v="A1 A4"/>
    <x v="5"/>
    <x v="0"/>
    <x v="0"/>
    <x v="38"/>
    <n v="1"/>
    <m/>
    <x v="51"/>
    <d v="2025-10-15T00:00:00"/>
    <s v="Expired"/>
    <s v="A null"/>
    <d v="2046-04-23T00:00:00"/>
    <s v="Valid"/>
    <s v="Eligible"/>
    <s v="Not eligible"/>
  </r>
  <r>
    <n v="65"/>
    <n v="533508"/>
    <x v="64"/>
    <x v="3"/>
    <s v="p414"/>
    <s v="JKTTLF-4"/>
    <x v="5"/>
    <d v="2027-09-17T00:00:00"/>
    <s v="Valid"/>
    <d v="2027-09-17T00:00:00"/>
    <s v="Valid"/>
    <d v="2026-08-20T00:00:00"/>
    <s v="Expiring"/>
    <d v="2026-11-08T00:00:00"/>
    <s v="Valid"/>
    <d v="2026-11-08T00:00:00"/>
    <s v="Valid"/>
    <d v="2027-06-06T00:00:00"/>
    <s v="Valid"/>
    <d v="2026-11-08T00:00:00"/>
    <s v="Valid"/>
    <d v="2026-11-08T00:00:00"/>
    <s v="Valid"/>
    <d v="2027-06-06T00:00:00"/>
    <s v="Valid"/>
    <d v="2022-06-16T00:00:00"/>
    <s v="Valid"/>
    <d v="2011-11-04T00:00:00"/>
    <d v="2019-07-07T00:00:00"/>
    <d v="2018-07-29T00:00:00"/>
    <d v="2019-02-16T00:00:00"/>
    <d v="2025-08-12T00:00:00"/>
    <m/>
    <m/>
    <m/>
    <m/>
    <m/>
    <m/>
    <m/>
    <m/>
    <m/>
    <m/>
    <m/>
    <m/>
    <m/>
    <m/>
    <m/>
    <m/>
    <m/>
    <m/>
    <m/>
    <m/>
    <m/>
    <d v="2026-10-23T00:00:00"/>
    <s v="2012-01-11"/>
    <m/>
    <m/>
    <m/>
    <m/>
    <m/>
    <x v="39"/>
    <x v="2"/>
    <x v="3"/>
    <x v="0"/>
    <m/>
    <m/>
    <m/>
    <m/>
    <n v="15"/>
    <n v="14"/>
    <x v="1"/>
    <s v="93.33%"/>
    <s v="DIRECT"/>
    <s v="A1 A4"/>
    <x v="2"/>
    <x v="0"/>
    <x v="0"/>
    <x v="39"/>
    <n v="1"/>
    <m/>
    <x v="52"/>
    <d v="2028-12-21T00:00:00"/>
    <s v="Valid"/>
    <s v="A null"/>
    <d v="2046-11-22T00:00:00"/>
    <s v="Valid"/>
    <s v="Eligible"/>
    <s v="Not eligible"/>
  </r>
  <r>
    <n v="66"/>
    <n v="581761"/>
    <x v="65"/>
    <x v="5"/>
    <s v="p422"/>
    <s v="JKTTLF-4"/>
    <x v="5"/>
    <d v="2028-03-08T00:00:00"/>
    <s v="Valid"/>
    <d v="2028-03-08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4-06-10T00:00:00"/>
    <s v="Valid"/>
    <d v="2023-08-26T00:00:00"/>
    <d v="2024-10-18T00:00:00"/>
    <d v="2022-01-28T00:00:00"/>
    <d v="2023-07-28T00:00:00"/>
    <d v="2022-06-08T00:00:00"/>
    <m/>
    <m/>
    <m/>
    <m/>
    <m/>
    <m/>
    <m/>
    <m/>
    <m/>
    <m/>
    <m/>
    <m/>
    <m/>
    <m/>
    <m/>
    <m/>
    <m/>
    <m/>
    <m/>
    <m/>
    <m/>
    <d v="2027-02-26T00:00:00"/>
    <s v="2022-11-09"/>
    <s v="2018-03-21"/>
    <m/>
    <m/>
    <m/>
    <m/>
    <x v="40"/>
    <x v="4"/>
    <x v="6"/>
    <x v="0"/>
    <m/>
    <s v="2024-01-31"/>
    <m/>
    <m/>
    <n v="15"/>
    <n v="15"/>
    <x v="0"/>
    <s v="100.00%"/>
    <s v="DIRECT"/>
    <s v="A1 A4"/>
    <x v="4"/>
    <x v="0"/>
    <x v="0"/>
    <x v="40"/>
    <m/>
    <m/>
    <x v="53"/>
    <d v="2028-11-02T00:00:00"/>
    <s v="Valid"/>
    <s v="A null"/>
    <d v="2051-10-20T00:00:00"/>
    <s v="Valid"/>
    <s v="Eligible"/>
    <s v="Not eligible"/>
  </r>
  <r>
    <n v="67"/>
    <n v="584035"/>
    <x v="66"/>
    <x v="5"/>
    <s v="p422"/>
    <s v="JKTTLF-4"/>
    <x v="5"/>
    <d v="2028-06-10T00:00:00"/>
    <s v="Valid"/>
    <d v="2028-06-10T00:00:00"/>
    <s v="Valid"/>
    <d v="2026-09-06T00:00:00"/>
    <s v="Expiring"/>
    <d v="2026-08-08T00:00:00"/>
    <s v="Expiring"/>
    <d v="2026-08-08T00:00:00"/>
    <s v="Expiring"/>
    <d v="2026-08-08T00:00:00"/>
    <s v="Expiring"/>
    <d v="2026-08-09T00:00:00"/>
    <s v="Expiring"/>
    <d v="2026-10-07T00:00:00"/>
    <s v="Expiring"/>
    <d v="2026-08-23T00:00:00"/>
    <s v="Expiring"/>
    <d v="2026-07-19T00:00:00"/>
    <s v="Valid"/>
    <d v="2025-09-29T00:00:00"/>
    <m/>
    <d v="2026-04-10T00:00:00"/>
    <m/>
    <m/>
    <m/>
    <m/>
    <m/>
    <m/>
    <m/>
    <m/>
    <m/>
    <m/>
    <m/>
    <m/>
    <m/>
    <m/>
    <m/>
    <m/>
    <m/>
    <m/>
    <m/>
    <m/>
    <m/>
    <m/>
    <m/>
    <m/>
    <m/>
    <s v="2024-08-06"/>
    <m/>
    <m/>
    <m/>
    <m/>
    <x v="41"/>
    <x v="2"/>
    <x v="0"/>
    <x v="0"/>
    <m/>
    <m/>
    <m/>
    <m/>
    <n v="15"/>
    <n v="13"/>
    <x v="3"/>
    <s v="76.92%"/>
    <s v="DIRECT"/>
    <s v="A1 A4"/>
    <x v="0"/>
    <x v="0"/>
    <x v="0"/>
    <x v="0"/>
    <m/>
    <m/>
    <x v="54"/>
    <m/>
    <s v="Not Trained"/>
    <s v="A null"/>
    <m/>
    <s v="Valid"/>
    <s v="Not eligible"/>
    <s v="Not eligible"/>
  </r>
  <r>
    <n v="68"/>
    <n v="582687"/>
    <x v="67"/>
    <x v="5"/>
    <s v="p422"/>
    <s v="JKTTLF-4"/>
    <x v="5"/>
    <d v="2028-04-19T00:00:00"/>
    <s v="Valid"/>
    <d v="2028-04-19T00:00:00"/>
    <s v="Valid"/>
    <d v="2028-05-31T00:00:00"/>
    <s v="Valid"/>
    <d v="2028-05-31T00:00:00"/>
    <s v="Valid"/>
    <d v="2028-05-31T00:00:00"/>
    <s v="Valid"/>
    <d v="2028-05-31T00:00:00"/>
    <s v="Valid"/>
    <d v="2028-05-31T00:00:00"/>
    <s v="Valid"/>
    <d v="2028-05-29T00:00:00"/>
    <s v="Valid"/>
    <d v="2028-05-31T00:00:00"/>
    <s v="Valid"/>
    <d v="2024-07-23T00:00:00"/>
    <s v="Valid"/>
    <d v="2020-02-28T00:00:00"/>
    <d v="2025-11-24T00:00:00"/>
    <m/>
    <m/>
    <m/>
    <m/>
    <m/>
    <m/>
    <m/>
    <m/>
    <m/>
    <m/>
    <m/>
    <m/>
    <m/>
    <m/>
    <m/>
    <m/>
    <m/>
    <m/>
    <m/>
    <m/>
    <m/>
    <m/>
    <m/>
    <m/>
    <d v="2025-07-28T00:00:00"/>
    <s v="2018-11-09"/>
    <s v="2018-04-11"/>
    <m/>
    <m/>
    <m/>
    <m/>
    <x v="0"/>
    <x v="0"/>
    <x v="0"/>
    <x v="0"/>
    <m/>
    <m/>
    <m/>
    <m/>
    <n v="15"/>
    <n v="14"/>
    <x v="1"/>
    <s v="84.62%"/>
    <s v="DIRECT"/>
    <s v="C1 C2 C4"/>
    <x v="0"/>
    <x v="0"/>
    <x v="0"/>
    <x v="0"/>
    <m/>
    <m/>
    <x v="55"/>
    <m/>
    <s v="Not Trained"/>
    <s v="A null"/>
    <d v="2053-05-14T00:00:00"/>
    <s v="Not Trained"/>
    <s v="Not eligible"/>
    <s v="Not eligible"/>
  </r>
  <r>
    <n v="69"/>
    <n v="582684"/>
    <x v="68"/>
    <x v="5"/>
    <s v="p422"/>
    <s v="JKTTLF-4"/>
    <x v="5"/>
    <d v="2028-05-17T00:00:00"/>
    <s v="Valid"/>
    <d v="2028-05-17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8-05-25T00:00:00"/>
    <s v="Valid"/>
    <d v="2024-05-23T00:00:00"/>
    <s v="Valid"/>
    <d v="2021-02-08T00:00:00"/>
    <d v="2025-07-18T00:00:00"/>
    <d v="2022-06-24T00:00:00"/>
    <m/>
    <d v="2026-05-11T00:00:00"/>
    <m/>
    <m/>
    <m/>
    <m/>
    <m/>
    <m/>
    <m/>
    <m/>
    <m/>
    <m/>
    <m/>
    <m/>
    <m/>
    <m/>
    <m/>
    <m/>
    <m/>
    <m/>
    <m/>
    <m/>
    <m/>
    <d v="2025-10-27T00:00:00"/>
    <m/>
    <s v="2018-04-11"/>
    <m/>
    <m/>
    <m/>
    <m/>
    <x v="42"/>
    <x v="1"/>
    <x v="2"/>
    <x v="0"/>
    <m/>
    <m/>
    <m/>
    <m/>
    <n v="15"/>
    <n v="15"/>
    <x v="0"/>
    <s v="92.31%"/>
    <s v="DIRECT"/>
    <s v="C1 C2 C4"/>
    <x v="1"/>
    <x v="0"/>
    <x v="0"/>
    <x v="41"/>
    <m/>
    <m/>
    <x v="56"/>
    <d v="2029-07-06T00:00:00"/>
    <s v="Valid"/>
    <s v="A null"/>
    <d v="2052-05-10T00:00:00"/>
    <s v="Valid"/>
    <s v="Eligible"/>
    <s v="Not eligible"/>
  </r>
  <r>
    <n v="70"/>
    <n v="533478"/>
    <x v="69"/>
    <x v="5"/>
    <s v="p422"/>
    <s v="JKTTLF-4"/>
    <x v="5"/>
    <d v="2028-05-17T00:00:00"/>
    <s v="Valid"/>
    <d v="2028-05-17T00:00:00"/>
    <s v="Valid"/>
    <d v="2026-12-27T00:00:00"/>
    <s v="Valid"/>
    <d v="2026-12-27T00:00:00"/>
    <s v="Valid"/>
    <d v="2026-12-27T00:00:00"/>
    <s v="Valid"/>
    <d v="2026-12-27T00:00:00"/>
    <s v="Valid"/>
    <d v="2026-12-27T00:00:00"/>
    <s v="Valid"/>
    <d v="2026-12-27T00:00:00"/>
    <s v="Valid"/>
    <d v="2026-12-27T00:00:00"/>
    <s v="Valid"/>
    <d v="2024-10-28T00:00:00"/>
    <s v="Valid"/>
    <d v="2013-11-09T00:00:00"/>
    <d v="2018-03-18T00:00:00"/>
    <d v="2018-04-13T00:00:00"/>
    <d v="2017-02-16T00:00:00"/>
    <m/>
    <m/>
    <m/>
    <m/>
    <m/>
    <m/>
    <m/>
    <m/>
    <m/>
    <m/>
    <m/>
    <m/>
    <m/>
    <m/>
    <m/>
    <m/>
    <m/>
    <m/>
    <m/>
    <m/>
    <m/>
    <m/>
    <d v="2027-03-19T00:00:00"/>
    <s v="2022-07-14"/>
    <d v="2025-06-13T00:00:00"/>
    <m/>
    <m/>
    <m/>
    <m/>
    <x v="43"/>
    <x v="4"/>
    <x v="0"/>
    <x v="0"/>
    <m/>
    <m/>
    <m/>
    <m/>
    <n v="15"/>
    <n v="15"/>
    <x v="0"/>
    <s v="100.00%"/>
    <s v="DIRECT"/>
    <s v="C1 C2 C4"/>
    <x v="0"/>
    <x v="0"/>
    <x v="0"/>
    <x v="0"/>
    <m/>
    <m/>
    <x v="57"/>
    <m/>
    <s v="Not Trained"/>
    <s v="A null"/>
    <d v="2046-09-30T00:00:00"/>
    <s v="Valid"/>
    <s v="Not eligible"/>
    <s v="Not eligible"/>
  </r>
  <r>
    <n v="71"/>
    <n v="532984"/>
    <x v="70"/>
    <x v="6"/>
    <s v="p404"/>
    <s v="JKTTLF-4"/>
    <x v="5"/>
    <d v="2028-07-27T00:00:00"/>
    <s v="Valid"/>
    <d v="2028-07-27T00:00:00"/>
    <s v="Valid"/>
    <d v="2026-10-13T00:00:00"/>
    <s v="Valid"/>
    <d v="2026-10-13T00:00:00"/>
    <s v="Expiring"/>
    <d v="2026-10-13T00:00:00"/>
    <s v="Expiring"/>
    <d v="2026-10-21T00:00:00"/>
    <s v="Expiring"/>
    <d v="2026-10-13T00:00:00"/>
    <s v="Expiring"/>
    <d v="2027-09-08T00:00:00"/>
    <s v="Valid"/>
    <d v="2027-09-08T00:00:00"/>
    <s v="Valid"/>
    <d v="2021-02-15T00:00:00"/>
    <s v="Valid"/>
    <d v="2009-11-25T00:00:00"/>
    <d v="2015-05-22T00:00:00"/>
    <d v="2019-04-18T00:00:00"/>
    <d v="2016-05-18T00:00:00"/>
    <d v="2021-10-27T00:00:00"/>
    <d v="2017-05-19T00:00:00"/>
    <s v="2015-08-14"/>
    <m/>
    <m/>
    <m/>
    <m/>
    <m/>
    <m/>
    <m/>
    <d v="2025-08-13T00:00:00"/>
    <d v="2024-07-22T00:00:00"/>
    <d v="2025-03-15T00:00:00"/>
    <d v="2025-02-08T00:00:00"/>
    <m/>
    <m/>
    <m/>
    <m/>
    <m/>
    <m/>
    <m/>
    <m/>
    <m/>
    <m/>
    <s v="2025-02-18"/>
    <m/>
    <m/>
    <m/>
    <m/>
    <x v="44"/>
    <x v="3"/>
    <x v="9"/>
    <x v="0"/>
    <m/>
    <m/>
    <m/>
    <m/>
    <n v="14"/>
    <n v="14"/>
    <x v="0"/>
    <s v="100.00%"/>
    <s v="INDIRECT"/>
    <s v="A1 A4"/>
    <x v="3"/>
    <x v="8"/>
    <x v="0"/>
    <x v="42"/>
    <m/>
    <m/>
    <x v="58"/>
    <d v="2029-07-18T00:00:00"/>
    <s v="Valid"/>
    <s v="A null"/>
    <d v="2032-08-31T00:00:00"/>
    <s v="Valid"/>
    <s v="Eligible"/>
    <s v="Eligible"/>
  </r>
  <r>
    <n v="72"/>
    <n v="533520"/>
    <x v="71"/>
    <x v="3"/>
    <s v="p414"/>
    <s v="JKTTLF-4"/>
    <x v="5"/>
    <d v="2026-12-05T00:00:00"/>
    <s v="Valid"/>
    <d v="2026-12-05T00:00:00"/>
    <s v="Valid"/>
    <d v="2028-07-15T00:00:00"/>
    <s v="Valid"/>
    <d v="2028-07-15T00:00:00"/>
    <s v="Valid"/>
    <d v="2028-07-15T00:00:00"/>
    <s v="Valid"/>
    <d v="2028-07-25T00:00:00"/>
    <s v="Valid"/>
    <d v="2028-07-15T00:00:00"/>
    <s v="Valid"/>
    <d v="2028-07-15T00:00:00"/>
    <s v="Valid"/>
    <d v="2028-07-15T00:00:00"/>
    <s v="Valid"/>
    <d v="2021-10-05T00:00:00"/>
    <s v="Valid"/>
    <d v="2011-11-09T00:00:00"/>
    <d v="2017-08-28T00:00:00"/>
    <d v="2017-10-22T00:00:00"/>
    <d v="2019-03-03T00:00:00"/>
    <d v="2025-11-29T00:00:00"/>
    <d v="2018-05-08T00:00:00"/>
    <m/>
    <m/>
    <m/>
    <m/>
    <m/>
    <m/>
    <m/>
    <m/>
    <m/>
    <m/>
    <m/>
    <m/>
    <m/>
    <m/>
    <m/>
    <m/>
    <m/>
    <m/>
    <m/>
    <m/>
    <d v="2026-01-19T00:00:00"/>
    <s v="2011-09-12"/>
    <d v="2025-11-15T00:00:00"/>
    <m/>
    <m/>
    <m/>
    <m/>
    <x v="45"/>
    <x v="3"/>
    <x v="0"/>
    <x v="0"/>
    <m/>
    <m/>
    <m/>
    <m/>
    <n v="15"/>
    <n v="15"/>
    <x v="0"/>
    <s v="93.33%"/>
    <s v="DIRECT"/>
    <s v="A1 A4"/>
    <x v="3"/>
    <x v="0"/>
    <x v="0"/>
    <x v="43"/>
    <n v="1"/>
    <m/>
    <x v="59"/>
    <d v="2028-05-20T00:00:00"/>
    <s v="Valid"/>
    <s v="A null"/>
    <d v="2044-04-04T00:00:00"/>
    <s v="Valid"/>
    <s v="Eligible"/>
    <s v="Not eligible"/>
  </r>
  <r>
    <n v="73"/>
    <n v="533485"/>
    <x v="72"/>
    <x v="11"/>
    <s v="p413"/>
    <s v="JKTTLF-4"/>
    <x v="5"/>
    <d v="2026-12-05T00:00:00"/>
    <s v="Valid"/>
    <d v="2026-12-05T00:00:00"/>
    <s v="Valid"/>
    <d v="2026-08-19T00:00:00"/>
    <s v="Expiring"/>
    <d v="2027-06-09T00:00:00"/>
    <s v="Valid"/>
    <d v="2027-06-09T00:00:00"/>
    <s v="Valid"/>
    <d v="2027-06-09T00:00:00"/>
    <s v="Valid"/>
    <d v="2027-06-09T00:00:00"/>
    <s v="Valid"/>
    <d v="2027-06-09T00:00:00"/>
    <s v="Valid"/>
    <d v="2026-08-19T00:00:00"/>
    <s v="Expiring"/>
    <d v="2023-03-02T00:00:00"/>
    <s v="Valid"/>
    <d v="2011-11-04T00:00:00"/>
    <d v="2018-07-29T00:00:00"/>
    <d v="2019-01-25T00:00:00"/>
    <d v="2025-05-12T00:00:00"/>
    <d v="2022-12-11T00:00:00"/>
    <d v="2023-02-14T00:00:00"/>
    <m/>
    <m/>
    <m/>
    <m/>
    <m/>
    <m/>
    <m/>
    <m/>
    <m/>
    <m/>
    <m/>
    <m/>
    <m/>
    <m/>
    <m/>
    <m/>
    <m/>
    <m/>
    <s v="2024-09-27"/>
    <m/>
    <d v="2025-12-08T00:00:00"/>
    <s v="2012-01-11"/>
    <s v="2024-12-30"/>
    <m/>
    <m/>
    <m/>
    <m/>
    <x v="46"/>
    <x v="4"/>
    <x v="0"/>
    <x v="0"/>
    <m/>
    <s v="2025-01-10"/>
    <m/>
    <m/>
    <n v="17"/>
    <n v="17"/>
    <x v="0"/>
    <s v="93.33%"/>
    <s v="DIRECT"/>
    <s v="A1 A4"/>
    <x v="4"/>
    <x v="0"/>
    <x v="0"/>
    <x v="44"/>
    <n v="1"/>
    <s v="13638"/>
    <x v="60"/>
    <d v="2028-10-28T00:00:00"/>
    <s v="Valid"/>
    <s v="A null"/>
    <d v="2048-04-26T00:00:00"/>
    <s v="Valid"/>
    <s v="Eligible"/>
    <s v="Not eligible"/>
  </r>
  <r>
    <n v="74"/>
    <n v="584253"/>
    <x v="73"/>
    <x v="7"/>
    <s v="p422"/>
    <s v="JKTTLF-4"/>
    <x v="5"/>
    <d v="2027-01-22T00:00:00"/>
    <s v="Valid"/>
    <d v="2027-02-14T00:00:00"/>
    <s v="Valid"/>
    <d v="2027-03-05T00:00:00"/>
    <s v="Valid"/>
    <d v="2027-03-10T00:00:00"/>
    <s v="Valid"/>
    <d v="2027-03-10T00:00:00"/>
    <s v="Valid"/>
    <d v="2027-03-10T00:00:00"/>
    <s v="Valid"/>
    <d v="2027-03-11T00:00:00"/>
    <s v="Valid"/>
    <d v="2027-03-12T00:00:00"/>
    <s v="Valid"/>
    <d v="2027-04-24T00:00:00"/>
    <s v="Valid"/>
    <d v="2025-07-15T00:00:00"/>
    <s v="Valid"/>
    <d v="2026-04-04T00:00:00"/>
    <m/>
    <m/>
    <m/>
    <m/>
    <m/>
    <m/>
    <m/>
    <m/>
    <m/>
    <m/>
    <m/>
    <m/>
    <m/>
    <m/>
    <m/>
    <m/>
    <m/>
    <m/>
    <m/>
    <m/>
    <m/>
    <m/>
    <m/>
    <m/>
    <m/>
    <d v="2025-09-22T00:00:00"/>
    <m/>
    <s v="2025-01-08"/>
    <m/>
    <m/>
    <m/>
    <m/>
    <x v="0"/>
    <x v="0"/>
    <x v="0"/>
    <x v="0"/>
    <m/>
    <m/>
    <m/>
    <m/>
    <n v="13"/>
    <n v="12"/>
    <x v="2"/>
    <s v="69.23%"/>
    <s v="DIRECT"/>
    <s v="C1 C2 C4"/>
    <x v="0"/>
    <x v="0"/>
    <x v="0"/>
    <x v="0"/>
    <m/>
    <m/>
    <x v="61"/>
    <m/>
    <s v="Not Trained"/>
    <s v="A null"/>
    <m/>
    <s v="Valid"/>
    <s v="Not eligible"/>
    <s v="Not eligible"/>
  </r>
  <r>
    <n v="75"/>
    <n v="782746"/>
    <x v="74"/>
    <x v="8"/>
    <s v="p428"/>
    <s v="JKTTLF-4"/>
    <x v="5"/>
    <d v="2027-04-10T00:00:00"/>
    <s v="Valid"/>
    <d v="2027-05-13T00:00:00"/>
    <s v="Valid"/>
    <d v="2023-03-01T00:00:00"/>
    <s v="Valid"/>
    <m/>
    <m/>
    <m/>
    <m/>
    <m/>
    <m/>
    <m/>
    <m/>
    <m/>
    <m/>
    <m/>
    <m/>
    <d v="2025-08-08T00:00:00"/>
    <m/>
    <d v="2025-07-12T00:00:00"/>
    <m/>
    <m/>
    <m/>
    <m/>
    <m/>
    <m/>
    <m/>
    <m/>
    <m/>
    <m/>
    <m/>
    <m/>
    <m/>
    <m/>
    <m/>
    <m/>
    <m/>
    <m/>
    <m/>
    <m/>
    <m/>
    <m/>
    <m/>
    <m/>
    <m/>
    <d v="2023-07-26T00:00:00"/>
    <m/>
    <d v="2025-06-11T00:00:00"/>
    <m/>
    <m/>
    <m/>
    <m/>
    <x v="0"/>
    <x v="0"/>
    <x v="0"/>
    <x v="0"/>
    <m/>
    <m/>
    <m/>
    <d v="2023-03-01T00:00:00"/>
    <n v="3"/>
    <n v="3"/>
    <x v="0"/>
    <s v="9.09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76"/>
    <n v="782747"/>
    <x v="75"/>
    <x v="8"/>
    <s v="p428"/>
    <s v="JKTTLF-4"/>
    <x v="5"/>
    <d v="2027-04-10T00:00:00"/>
    <s v="Valid"/>
    <d v="2027-04-29T00:00:00"/>
    <s v="Valid"/>
    <d v="2023-03-01T00:00:00"/>
    <s v="Valid"/>
    <m/>
    <m/>
    <m/>
    <m/>
    <m/>
    <m/>
    <m/>
    <m/>
    <m/>
    <m/>
    <m/>
    <m/>
    <m/>
    <m/>
    <d v="2025-06-09T00:00:00"/>
    <m/>
    <m/>
    <m/>
    <m/>
    <m/>
    <m/>
    <m/>
    <m/>
    <m/>
    <m/>
    <m/>
    <m/>
    <m/>
    <m/>
    <m/>
    <m/>
    <m/>
    <m/>
    <m/>
    <m/>
    <m/>
    <m/>
    <m/>
    <m/>
    <m/>
    <d v="2023-07-12T00:00:00"/>
    <m/>
    <d v="2025-07-17T00:00:00"/>
    <m/>
    <m/>
    <m/>
    <m/>
    <x v="0"/>
    <x v="0"/>
    <x v="0"/>
    <x v="0"/>
    <m/>
    <m/>
    <m/>
    <d v="2023-03-01T00:00:00"/>
    <n v="3"/>
    <n v="3"/>
    <x v="0"/>
    <s v="9.09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77"/>
    <n v="783025"/>
    <x v="76"/>
    <x v="8"/>
    <s v="p428"/>
    <s v="JKTTLF-4"/>
    <x v="5"/>
    <d v="2027-11-06T00:00:00"/>
    <s v="Valid"/>
    <d v="2027-09-25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d v="2025-08-25T00:00:00"/>
    <m/>
    <s v="2024-03-08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78"/>
    <n v="580788"/>
    <x v="77"/>
    <x v="7"/>
    <s v="p423"/>
    <s v="JKTTLF-5"/>
    <x v="4"/>
    <d v="2027-04-14T00:00:00"/>
    <s v="Valid"/>
    <d v="2027-04-14T00:00:00"/>
    <s v="Valid"/>
    <d v="2027-06-11T00:00:00"/>
    <s v="Valid"/>
    <d v="2027-06-11T00:00:00"/>
    <s v="Valid"/>
    <d v="2026-08-26T00:00:00"/>
    <s v="Expiring"/>
    <d v="2027-06-11T00:00:00"/>
    <s v="Valid"/>
    <d v="2027-07-11T00:00:00"/>
    <s v="Valid"/>
    <d v="2026-08-26T00:00:00"/>
    <s v="Expiring"/>
    <d v="2027-07-11T00:00:00"/>
    <s v="Valid"/>
    <d v="2021-09-21T00:00:00"/>
    <s v="Valid"/>
    <d v="2018-06-29T00:00:00"/>
    <d v="2020-02-09T00:00:00"/>
    <d v="2022-12-14T00:00:00"/>
    <d v="2024-03-08T00:00:00"/>
    <d v="2023-10-18T00:00:00"/>
    <d v="2026-06-24T00:00:00"/>
    <m/>
    <m/>
    <m/>
    <m/>
    <m/>
    <m/>
    <m/>
    <m/>
    <m/>
    <m/>
    <m/>
    <m/>
    <m/>
    <m/>
    <m/>
    <m/>
    <m/>
    <m/>
    <m/>
    <m/>
    <d v="2026-01-17T00:00:00"/>
    <s v="2019-12-12"/>
    <s v="2024-12-31"/>
    <d v="2013-08-27T00:00:00"/>
    <m/>
    <m/>
    <m/>
    <x v="47"/>
    <x v="1"/>
    <x v="2"/>
    <x v="0"/>
    <m/>
    <m/>
    <m/>
    <m/>
    <n v="13"/>
    <n v="13"/>
    <x v="0"/>
    <s v="100.00%"/>
    <s v="DIRECT"/>
    <s v="A1 A4"/>
    <x v="1"/>
    <x v="0"/>
    <x v="0"/>
    <x v="45"/>
    <m/>
    <m/>
    <x v="62"/>
    <d v="2027-01-22T00:00:00"/>
    <s v="Valid"/>
    <s v="A null"/>
    <d v="2049-08-15T00:00:00"/>
    <s v="Not Trained"/>
    <s v="Eligible"/>
    <s v="Not eligible"/>
  </r>
  <r>
    <n v="79"/>
    <n v="580791"/>
    <x v="78"/>
    <x v="3"/>
    <s v="p423"/>
    <s v="JKTTLF-5"/>
    <x v="4"/>
    <d v="2027-09-17T00:00:00"/>
    <s v="Valid"/>
    <d v="2027-09-17T00:00:00"/>
    <s v="Valid"/>
    <d v="2027-10-04T00:00:00"/>
    <s v="Valid"/>
    <d v="2027-10-04T00:00:00"/>
    <s v="Valid"/>
    <d v="2028-06-06T00:00:00"/>
    <s v="Valid"/>
    <d v="2027-10-04T00:00:00"/>
    <s v="Valid"/>
    <d v="2027-10-04T00:00:00"/>
    <s v="Valid"/>
    <d v="2028-06-06T00:00:00"/>
    <s v="Valid"/>
    <d v="2027-01-28T00:00:00"/>
    <s v="Valid"/>
    <d v="2023-03-18T00:00:00"/>
    <s v="Valid"/>
    <d v="2019-07-14T00:00:00"/>
    <d v="2020-01-12T00:00:00"/>
    <d v="2022-02-25T00:00:00"/>
    <d v="2023-09-14T00:00:00"/>
    <d v="2018-07-06T00:00:00"/>
    <d v="2025-12-10T00:00:00"/>
    <m/>
    <m/>
    <m/>
    <m/>
    <m/>
    <m/>
    <m/>
    <m/>
    <m/>
    <m/>
    <m/>
    <m/>
    <d v="2026-01-26T00:00:00"/>
    <m/>
    <m/>
    <m/>
    <m/>
    <m/>
    <m/>
    <m/>
    <d v="2026-02-21T00:00:00"/>
    <s v="2017-10-26"/>
    <s v="2013-08-26"/>
    <d v="2013-08-27T00:00:00"/>
    <m/>
    <m/>
    <m/>
    <x v="48"/>
    <x v="3"/>
    <x v="5"/>
    <x v="0"/>
    <m/>
    <d v="2026-04-17T00:00:00"/>
    <m/>
    <m/>
    <n v="15"/>
    <n v="15"/>
    <x v="0"/>
    <s v="100.00%"/>
    <s v="DIRECT"/>
    <s v="A1 A4"/>
    <x v="3"/>
    <x v="0"/>
    <x v="0"/>
    <x v="46"/>
    <m/>
    <m/>
    <x v="63"/>
    <d v="2029-04-02T00:00:00"/>
    <s v="Valid"/>
    <s v="A null"/>
    <d v="2050-06-21T00:00:00"/>
    <s v="Valid"/>
    <s v="Eligible"/>
    <s v="Not eligible"/>
  </r>
  <r>
    <n v="80"/>
    <n v="583737"/>
    <x v="79"/>
    <x v="5"/>
    <s v="p422"/>
    <s v="JKTTLF-5"/>
    <x v="4"/>
    <d v="2027-05-07T00:00:00"/>
    <s v="Valid"/>
    <d v="2027-05-07T00:00:00"/>
    <s v="Valid"/>
    <d v="2028-01-20T00:00:00"/>
    <s v="Valid"/>
    <d v="2027-05-12T00:00:00"/>
    <s v="Valid"/>
    <d v="2027-05-12T00:00:00"/>
    <s v="Valid"/>
    <d v="2027-05-12T00:00:00"/>
    <s v="Valid"/>
    <d v="2027-05-12T00:00:00"/>
    <s v="Valid"/>
    <d v="2027-05-12T00:00:00"/>
    <s v="Valid"/>
    <d v="2027-05-12T00:00:00"/>
    <s v="Valid"/>
    <d v="2023-07-06T00:00:00"/>
    <s v="Valid"/>
    <d v="2024-06-09T00:00:00"/>
    <d v="2025-11-24T00:00:00"/>
    <d v="2025-02-14T00:00:00"/>
    <m/>
    <d v="2025-10-13T00:00:00"/>
    <m/>
    <m/>
    <m/>
    <m/>
    <m/>
    <m/>
    <m/>
    <m/>
    <m/>
    <m/>
    <m/>
    <m/>
    <m/>
    <m/>
    <m/>
    <m/>
    <m/>
    <m/>
    <m/>
    <m/>
    <m/>
    <d v="2026-09-19T00:00:00"/>
    <s v="2022-11-09"/>
    <s v="2021-09-29"/>
    <m/>
    <d v="2017-09-11T00:00:00"/>
    <m/>
    <m/>
    <x v="49"/>
    <x v="2"/>
    <x v="0"/>
    <x v="0"/>
    <m/>
    <m/>
    <m/>
    <m/>
    <n v="15"/>
    <n v="15"/>
    <x v="0"/>
    <s v="92.31%"/>
    <s v="DIRECT"/>
    <s v="C1 C2 C4"/>
    <x v="2"/>
    <x v="0"/>
    <x v="0"/>
    <x v="47"/>
    <m/>
    <m/>
    <x v="64"/>
    <m/>
    <s v="Not Trained"/>
    <s v="A null"/>
    <d v="2055-01-15T00:00:00"/>
    <s v="Valid"/>
    <s v="Eligible"/>
    <s v="Not eligible"/>
  </r>
  <r>
    <n v="81"/>
    <n v="582709"/>
    <x v="80"/>
    <x v="5"/>
    <s v="p422"/>
    <s v="JKTTLF-5"/>
    <x v="4"/>
    <d v="2027-10-19T00:00:00"/>
    <s v="Valid"/>
    <d v="2027-10-19T00:00:00"/>
    <s v="Valid"/>
    <d v="2028-01-12T00:00:00"/>
    <s v="Valid"/>
    <d v="2028-01-12T00:00:00"/>
    <s v="Valid"/>
    <d v="2028-01-12T00:00:00"/>
    <s v="Valid"/>
    <d v="2028-01-12T00:00:00"/>
    <s v="Valid"/>
    <d v="2028-01-12T00:00:00"/>
    <s v="Valid"/>
    <d v="2028-01-12T00:00:00"/>
    <s v="Valid"/>
    <d v="2028-01-12T00:00:00"/>
    <s v="Valid"/>
    <d v="2024-05-14T00:00:00"/>
    <s v="Valid"/>
    <d v="2020-07-27T00:00:00"/>
    <d v="2020-12-14T00:00:00"/>
    <d v="2022-11-30T00:00:00"/>
    <m/>
    <d v="2024-05-15T00:00:00"/>
    <m/>
    <m/>
    <m/>
    <m/>
    <m/>
    <m/>
    <m/>
    <s v="2018-04-20"/>
    <m/>
    <m/>
    <m/>
    <m/>
    <m/>
    <m/>
    <m/>
    <m/>
    <m/>
    <m/>
    <m/>
    <m/>
    <m/>
    <d v="2025-11-22T00:00:00"/>
    <s v="2021-03-19"/>
    <s v="2024-12-30"/>
    <m/>
    <d v="2014-09-08T00:00:00"/>
    <m/>
    <m/>
    <x v="50"/>
    <x v="1"/>
    <x v="0"/>
    <x v="0"/>
    <m/>
    <m/>
    <m/>
    <m/>
    <n v="15"/>
    <n v="15"/>
    <x v="0"/>
    <s v="100.00%"/>
    <s v="DIRECT"/>
    <s v="A1 A4"/>
    <x v="1"/>
    <x v="0"/>
    <x v="0"/>
    <x v="48"/>
    <m/>
    <m/>
    <x v="65"/>
    <d v="2028-02-04T00:00:00"/>
    <s v="Valid"/>
    <s v="A null"/>
    <d v="2052-08-25T00:00:00"/>
    <s v="Valid"/>
    <s v="Eligible"/>
    <s v="Not eligible"/>
  </r>
  <r>
    <n v="82"/>
    <n v="582688"/>
    <x v="81"/>
    <x v="7"/>
    <s v="p427"/>
    <s v="JKTTLF-5"/>
    <x v="4"/>
    <d v="2027-10-26T00:00:00"/>
    <s v="Valid"/>
    <d v="2027-10-26T00:00:00"/>
    <s v="Valid"/>
    <d v="2027-11-03T00:00:00"/>
    <s v="Valid"/>
    <d v="2027-06-29T00:00:00"/>
    <s v="Valid"/>
    <d v="2026-11-10T00:00:00"/>
    <s v="Valid"/>
    <d v="2027-06-29T00:00:00"/>
    <s v="Valid"/>
    <d v="2027-06-29T00:00:00"/>
    <s v="Valid"/>
    <d v="2027-11-03T00:00:00"/>
    <s v="Valid"/>
    <d v="2027-06-29T00:00:00"/>
    <s v="Valid"/>
    <d v="2022-12-04T00:00:00"/>
    <s v="Valid"/>
    <d v="2021-02-08T00:00:00"/>
    <d v="2023-07-18T00:00:00"/>
    <d v="2023-01-26T00:00:00"/>
    <d v="2025-02-27T00:00:00"/>
    <d v="2025-09-24T00:00:00"/>
    <m/>
    <m/>
    <m/>
    <m/>
    <m/>
    <m/>
    <m/>
    <m/>
    <m/>
    <m/>
    <m/>
    <m/>
    <m/>
    <m/>
    <m/>
    <m/>
    <m/>
    <m/>
    <m/>
    <m/>
    <m/>
    <d v="2024-04-19T00:00:00"/>
    <m/>
    <s v="2025-02-18"/>
    <m/>
    <m/>
    <m/>
    <m/>
    <x v="22"/>
    <x v="3"/>
    <x v="0"/>
    <x v="0"/>
    <m/>
    <m/>
    <m/>
    <m/>
    <n v="13"/>
    <n v="13"/>
    <x v="0"/>
    <s v="100.00%"/>
    <s v="DIRECT"/>
    <s v="C1 C2 C4"/>
    <x v="3"/>
    <x v="0"/>
    <x v="0"/>
    <x v="49"/>
    <m/>
    <m/>
    <x v="66"/>
    <d v="2027-10-13T00:00:00"/>
    <s v="Valid"/>
    <s v="A null"/>
    <d v="2053-04-30T00:00:00"/>
    <s v="Valid"/>
    <s v="Eligible"/>
    <s v="Not eligible"/>
  </r>
  <r>
    <n v="83"/>
    <n v="533486"/>
    <x v="82"/>
    <x v="3"/>
    <s v="p414"/>
    <s v="JKTTLF-5"/>
    <x v="4"/>
    <d v="2027-11-23T00:00:00"/>
    <s v="Valid"/>
    <d v="2027-11-23T00:00:00"/>
    <s v="Valid"/>
    <d v="2028-06-19T00:00:00"/>
    <s v="Valid"/>
    <d v="2028-06-19T00:00:00"/>
    <s v="Valid"/>
    <d v="2028-06-19T00:00:00"/>
    <s v="Valid"/>
    <d v="2028-06-19T00:00:00"/>
    <s v="Valid"/>
    <d v="2028-06-19T00:00:00"/>
    <s v="Valid"/>
    <d v="2028-06-19T00:00:00"/>
    <s v="Valid"/>
    <d v="2028-06-19T00:00:00"/>
    <s v="Valid"/>
    <d v="2024-07-08T00:00:00"/>
    <s v="Valid"/>
    <d v="2011-11-09T00:00:00"/>
    <d v="2019-06-16T00:00:00"/>
    <d v="2019-04-12T00:00:00"/>
    <m/>
    <d v="2024-07-13T00:00:00"/>
    <d v="2024-10-01T00:00:00"/>
    <m/>
    <m/>
    <m/>
    <m/>
    <m/>
    <m/>
    <m/>
    <m/>
    <m/>
    <m/>
    <m/>
    <m/>
    <m/>
    <m/>
    <m/>
    <m/>
    <m/>
    <m/>
    <m/>
    <m/>
    <d v="2026-03-15T00:00:00"/>
    <s v="2012-01-11"/>
    <s v="2024-12-30"/>
    <m/>
    <m/>
    <m/>
    <m/>
    <x v="51"/>
    <x v="2"/>
    <x v="7"/>
    <x v="2"/>
    <m/>
    <m/>
    <m/>
    <m/>
    <n v="15"/>
    <n v="15"/>
    <x v="0"/>
    <s v="93.33%"/>
    <s v="DIRECT"/>
    <s v="A1 A4"/>
    <x v="2"/>
    <x v="3"/>
    <x v="0"/>
    <x v="50"/>
    <n v="2"/>
    <m/>
    <x v="67"/>
    <d v="2026-10-03T00:00:00"/>
    <s v="Expiring"/>
    <s v="A null"/>
    <d v="2046-07-01T00:00:00"/>
    <s v="Valid"/>
    <s v="Eligible"/>
    <s v="Eligible"/>
  </r>
  <r>
    <n v="84"/>
    <n v="581759"/>
    <x v="83"/>
    <x v="5"/>
    <s v="p422"/>
    <s v="JKTTLF-5"/>
    <x v="4"/>
    <d v="2028-02-17T00:00:00"/>
    <s v="Valid"/>
    <d v="2028-02-17T00:00:00"/>
    <s v="Valid"/>
    <d v="2027-08-15T00:00:00"/>
    <s v="Valid"/>
    <d v="2027-08-15T00:00:00"/>
    <s v="Valid"/>
    <d v="2027-08-15T00:00:00"/>
    <s v="Valid"/>
    <d v="2027-08-15T00:00:00"/>
    <s v="Valid"/>
    <d v="2027-08-15T00:00:00"/>
    <s v="Valid"/>
    <d v="2027-08-15T00:00:00"/>
    <s v="Valid"/>
    <d v="2027-08-15T00:00:00"/>
    <s v="Valid"/>
    <d v="2023-11-15T00:00:00"/>
    <s v="Valid"/>
    <d v="2021-04-24T00:00:00"/>
    <d v="2024-08-24T00:00:00"/>
    <d v="2020-02-20T00:00:00"/>
    <d v="2023-01-19T00:00:00"/>
    <d v="2022-09-21T00:00:00"/>
    <m/>
    <m/>
    <m/>
    <m/>
    <m/>
    <m/>
    <m/>
    <m/>
    <m/>
    <m/>
    <m/>
    <m/>
    <m/>
    <m/>
    <m/>
    <m/>
    <m/>
    <m/>
    <m/>
    <m/>
    <m/>
    <d v="2025-10-27T00:00:00"/>
    <s v="2022-09-16"/>
    <s v="2018-03-21"/>
    <m/>
    <m/>
    <m/>
    <m/>
    <x v="52"/>
    <x v="1"/>
    <x v="2"/>
    <x v="0"/>
    <m/>
    <m/>
    <m/>
    <m/>
    <n v="15"/>
    <n v="15"/>
    <x v="0"/>
    <s v="92.31%"/>
    <s v="DIRECT"/>
    <s v="A1 A3 A4"/>
    <x v="1"/>
    <x v="2"/>
    <x v="0"/>
    <x v="51"/>
    <m/>
    <m/>
    <x v="68"/>
    <d v="2028-07-07T00:00:00"/>
    <s v="Valid"/>
    <s v="A null"/>
    <d v="2050-12-05T00:00:00"/>
    <s v="Valid"/>
    <s v="Eligible"/>
    <s v="Eligible"/>
  </r>
  <r>
    <n v="85"/>
    <n v="581766"/>
    <x v="84"/>
    <x v="5"/>
    <s v="p422"/>
    <s v="JKTTLF-5"/>
    <x v="2"/>
    <d v="2028-03-11T00:00:00"/>
    <s v="Valid"/>
    <d v="2028-03-11T00:00:00"/>
    <s v="Valid"/>
    <d v="2028-01-21T00:00:00"/>
    <s v="Valid"/>
    <d v="2027-05-12T00:00:00"/>
    <s v="Valid"/>
    <d v="2027-05-12T00:00:00"/>
    <s v="Valid"/>
    <d v="2027-05-12T00:00:00"/>
    <s v="Valid"/>
    <d v="2027-05-12T00:00:00"/>
    <s v="Valid"/>
    <d v="2028-01-21T00:00:00"/>
    <s v="Valid"/>
    <d v="2028-01-21T00:00:00"/>
    <s v="Valid"/>
    <d v="2024-07-13T00:00:00"/>
    <s v="Valid"/>
    <d v="2021-02-08T00:00:00"/>
    <d v="2020-07-02T00:00:00"/>
    <d v="2018-07-13T00:00:00"/>
    <d v="2023-02-24T00:00:00"/>
    <d v="2022-01-13T00:00:00"/>
    <d v="2023-09-26T00:00:00"/>
    <m/>
    <m/>
    <m/>
    <m/>
    <m/>
    <m/>
    <m/>
    <m/>
    <m/>
    <m/>
    <m/>
    <m/>
    <m/>
    <m/>
    <m/>
    <m/>
    <m/>
    <m/>
    <m/>
    <m/>
    <d v="2026-02-15T00:00:00"/>
    <s v="2022-02-11"/>
    <s v="2024-12-31"/>
    <m/>
    <m/>
    <m/>
    <m/>
    <x v="53"/>
    <x v="6"/>
    <x v="8"/>
    <x v="0"/>
    <m/>
    <s v="2022-05-20"/>
    <m/>
    <m/>
    <n v="15"/>
    <n v="15"/>
    <x v="0"/>
    <s v="100.00%"/>
    <s v="DIRECT"/>
    <s v="A1 A3 A4"/>
    <x v="6"/>
    <x v="7"/>
    <x v="0"/>
    <x v="52"/>
    <m/>
    <n v="13802"/>
    <x v="69"/>
    <d v="2028-09-10T00:00:00"/>
    <s v="Valid"/>
    <s v="A null"/>
    <d v="2051-06-19T00:00:00"/>
    <s v="Valid"/>
    <s v="Eligible"/>
    <s v="Eligible"/>
  </r>
  <r>
    <n v="86"/>
    <n v="582545"/>
    <x v="85"/>
    <x v="5"/>
    <s v="p422"/>
    <s v="JKTTLF-5"/>
    <x v="4"/>
    <d v="2028-04-05T00:00:00"/>
    <s v="Valid"/>
    <d v="2028-04-05T00:00:00"/>
    <s v="Valid"/>
    <d v="2028-03-07T00:00:00"/>
    <s v="Valid"/>
    <d v="2028-03-07T00:00:00"/>
    <s v="Valid"/>
    <d v="2028-03-07T00:00:00"/>
    <s v="Valid"/>
    <d v="2028-03-07T00:00:00"/>
    <s v="Valid"/>
    <d v="2028-03-07T00:00:00"/>
    <s v="Valid"/>
    <d v="2028-03-07T00:00:00"/>
    <s v="Valid"/>
    <d v="2028-03-07T00:00:00"/>
    <s v="Valid"/>
    <d v="2024-07-28T00:00:00"/>
    <s v="Valid"/>
    <d v="2019-10-04T00:00:00"/>
    <d v="2025-05-16T00:00:00"/>
    <d v="2022-09-23T00:00:00"/>
    <d v="2023-07-28T00:00:00"/>
    <d v="2024-01-10T00:00:00"/>
    <d v="2025-08-13T00:00:00"/>
    <m/>
    <m/>
    <m/>
    <m/>
    <m/>
    <m/>
    <m/>
    <m/>
    <m/>
    <m/>
    <m/>
    <m/>
    <m/>
    <m/>
    <m/>
    <m/>
    <m/>
    <m/>
    <s v="2025-02-12"/>
    <m/>
    <d v="2025-12-13T00:00:00"/>
    <s v="2022-01-28"/>
    <s v="2017-10-11"/>
    <m/>
    <m/>
    <m/>
    <m/>
    <x v="54"/>
    <x v="1"/>
    <x v="2"/>
    <x v="0"/>
    <m/>
    <s v="2024-07-17"/>
    <m/>
    <m/>
    <n v="15"/>
    <n v="15"/>
    <x v="0"/>
    <s v="100.00%"/>
    <s v="DIRECT"/>
    <s v="C1 C2 C4"/>
    <x v="1"/>
    <x v="2"/>
    <x v="0"/>
    <x v="53"/>
    <m/>
    <n v="13742"/>
    <x v="70"/>
    <d v="2029-04-02T00:00:00"/>
    <s v="Valid"/>
    <s v="A null"/>
    <d v="2053-04-04T00:00:00"/>
    <s v="Valid"/>
    <s v="Eligible"/>
    <s v="Eligible"/>
  </r>
  <r>
    <n v="87"/>
    <n v="582683"/>
    <x v="86"/>
    <x v="7"/>
    <s v="p427"/>
    <s v="JKTTLF-5"/>
    <x v="4"/>
    <d v="2028-05-24T00:00:00"/>
    <s v="Valid"/>
    <d v="2028-05-24T00:00:00"/>
    <s v="Valid"/>
    <d v="2028-07-07T00:00:00"/>
    <s v="Valid"/>
    <d v="2028-07-07T00:00:00"/>
    <s v="Valid"/>
    <d v="2028-07-07T00:00:00"/>
    <s v="Valid"/>
    <d v="2028-07-07T00:00:00"/>
    <s v="Valid"/>
    <d v="2028-07-07T00:00:00"/>
    <s v="Valid"/>
    <d v="2028-07-07T00:00:00"/>
    <s v="Valid"/>
    <d v="2028-07-07T00:00:00"/>
    <s v="Valid"/>
    <d v="2024-07-08T00:00:00"/>
    <s v="Valid"/>
    <d v="2021-02-08T00:00:00"/>
    <d v="2018-11-30T00:00:00"/>
    <d v="2023-07-07T00:00:00"/>
    <m/>
    <d v="2025-02-28T00:00:00"/>
    <m/>
    <m/>
    <m/>
    <m/>
    <m/>
    <m/>
    <m/>
    <m/>
    <m/>
    <m/>
    <m/>
    <m/>
    <m/>
    <m/>
    <m/>
    <m/>
    <m/>
    <m/>
    <m/>
    <m/>
    <m/>
    <d v="2024-03-27T00:00:00"/>
    <m/>
    <s v="2018-04-11"/>
    <m/>
    <m/>
    <m/>
    <m/>
    <x v="55"/>
    <x v="2"/>
    <x v="0"/>
    <x v="0"/>
    <m/>
    <m/>
    <m/>
    <m/>
    <n v="13"/>
    <n v="13"/>
    <x v="0"/>
    <s v="100.00%"/>
    <s v="DIRECT"/>
    <s v="C1 C2 C4"/>
    <x v="2"/>
    <x v="0"/>
    <x v="0"/>
    <x v="54"/>
    <m/>
    <m/>
    <x v="71"/>
    <d v="2027-12-09T00:00:00"/>
    <s v="Valid"/>
    <s v="A null"/>
    <d v="2053-10-24T00:00:00"/>
    <s v="Valid"/>
    <s v="Eligible"/>
    <s v="Not eligible"/>
  </r>
  <r>
    <n v="88"/>
    <n v="533519"/>
    <x v="87"/>
    <x v="4"/>
    <s v="p407"/>
    <s v="JKTTLF-5"/>
    <x v="3"/>
    <d v="2026-10-31T00:00:00"/>
    <s v="Expiring"/>
    <d v="2026-10-31T00:00:00"/>
    <s v="Expiring"/>
    <d v="2027-06-16T00:00:00"/>
    <s v="Valid"/>
    <d v="2027-06-16T00:00:00"/>
    <s v="Valid"/>
    <d v="2027-06-16T00:00:00"/>
    <s v="Valid"/>
    <d v="2027-06-16T00:00:00"/>
    <s v="Valid"/>
    <d v="2027-06-16T00:00:00"/>
    <s v="Valid"/>
    <d v="2027-06-16T00:00:00"/>
    <s v="Valid"/>
    <d v="2027-06-16T00:00:00"/>
    <s v="Valid"/>
    <d v="2023-09-03T00:00:00"/>
    <s v="Valid"/>
    <d v="2011-11-04T00:00:00"/>
    <d v="2017-03-17T00:00:00"/>
    <d v="2018-11-11T00:00:00"/>
    <d v="2023-03-25T00:00:00"/>
    <d v="2022-12-11T00:00:00"/>
    <d v="2023-12-05T00:00:00"/>
    <m/>
    <m/>
    <m/>
    <m/>
    <m/>
    <m/>
    <m/>
    <m/>
    <d v="2028-07-16T00:00:00"/>
    <m/>
    <m/>
    <m/>
    <m/>
    <m/>
    <m/>
    <m/>
    <m/>
    <m/>
    <m/>
    <m/>
    <d v="2026-01-24T00:00:00"/>
    <s v="2011-09-08"/>
    <s v="2024-12-31"/>
    <m/>
    <m/>
    <m/>
    <m/>
    <x v="19"/>
    <x v="1"/>
    <x v="2"/>
    <x v="0"/>
    <m/>
    <m/>
    <m/>
    <m/>
    <n v="9"/>
    <n v="9"/>
    <x v="0"/>
    <s v="100.00%"/>
    <s v="DIRECT"/>
    <s v="C1 C2 C4"/>
    <x v="1"/>
    <x v="2"/>
    <x v="0"/>
    <x v="55"/>
    <m/>
    <m/>
    <x v="72"/>
    <d v="2028-08-23T00:00:00"/>
    <s v="Valid"/>
    <s v="A null"/>
    <d v="2046-09-11T00:00:00"/>
    <s v="Valid"/>
    <s v="Eligible"/>
    <s v="Eligible"/>
  </r>
  <r>
    <n v="89"/>
    <n v="533522"/>
    <x v="88"/>
    <x v="6"/>
    <s v="p406"/>
    <s v="JKTTLF-5"/>
    <x v="4"/>
    <d v="2026-11-21T00:00:00"/>
    <s v="Valid"/>
    <d v="2026-11-21T00:00:00"/>
    <s v="Valid"/>
    <d v="2026-11-05T00:00:00"/>
    <s v="Valid"/>
    <d v="2026-11-05T00:00:00"/>
    <s v="Valid"/>
    <d v="2026-11-05T00:00:00"/>
    <s v="Valid"/>
    <d v="2026-11-05T00:00:00"/>
    <s v="Valid"/>
    <d v="2026-11-05T00:00:00"/>
    <s v="Valid"/>
    <d v="2026-11-05T00:00:00"/>
    <s v="Valid"/>
    <d v="2026-11-05T00:00:00"/>
    <s v="Valid"/>
    <d v="2024-11-03T00:00:00"/>
    <s v="Valid"/>
    <d v="2011-11-04T00:00:00"/>
    <d v="2019-05-08T00:00:00"/>
    <d v="2019-03-31T00:00:00"/>
    <d v="2019-04-12T00:00:00"/>
    <d v="2020-02-28T00:00:00"/>
    <d v="2018-08-21T00:00:00"/>
    <m/>
    <m/>
    <m/>
    <m/>
    <m/>
    <m/>
    <m/>
    <m/>
    <d v="2025-12-17T00:00:00"/>
    <d v="2025-08-04T00:00:00"/>
    <d v="2025-10-06T00:00:00"/>
    <m/>
    <s v="2023-11-10"/>
    <m/>
    <m/>
    <m/>
    <m/>
    <m/>
    <s v="2024-05-29"/>
    <m/>
    <d v="2026-07-24T00:00:00"/>
    <s v="2022-09-16"/>
    <s v="2025-01-01"/>
    <m/>
    <m/>
    <m/>
    <m/>
    <x v="43"/>
    <x v="4"/>
    <x v="0"/>
    <x v="0"/>
    <m/>
    <s v="2025-01-10"/>
    <m/>
    <m/>
    <n v="14"/>
    <n v="13"/>
    <x v="4"/>
    <s v="100.00%"/>
    <s v="DIRECT"/>
    <s v="C1 C2 C4"/>
    <x v="4"/>
    <x v="0"/>
    <x v="0"/>
    <x v="56"/>
    <m/>
    <s v="13598"/>
    <x v="73"/>
    <d v="2028-08-23T00:00:00"/>
    <s v="Valid"/>
    <s v="A null"/>
    <d v="2046-07-26T00:00:00"/>
    <s v="Valid"/>
    <s v="Eligible"/>
    <s v="Not eligible"/>
  </r>
  <r>
    <n v="90"/>
    <n v="584542"/>
    <x v="89"/>
    <x v="7"/>
    <s v="p427"/>
    <s v="JKTTLF-5"/>
    <x v="2"/>
    <d v="2028-04-08T00:00:00"/>
    <s v="Valid"/>
    <d v="2028-04-23T00:00:00"/>
    <s v="Valid"/>
    <d v="2028-04-29T00:00:00"/>
    <s v="Valid"/>
    <d v="2028-03-04T00:00:00"/>
    <s v="Valid"/>
    <d v="2028-03-04T00:00:00"/>
    <s v="Valid"/>
    <d v="2028-03-04T00:00:00"/>
    <s v="Valid"/>
    <d v="2028-03-05T00:00:00"/>
    <s v="Valid"/>
    <d v="2028-05-12T00:00:00"/>
    <s v="Valid"/>
    <d v="2028-07-09T00:00:00"/>
    <s v="Valid"/>
    <d v="2028-03-09T00:00:00"/>
    <s v="Valid"/>
    <d v="2027-01-10T00:00:00"/>
    <m/>
    <m/>
    <m/>
    <m/>
    <m/>
    <m/>
    <m/>
    <m/>
    <m/>
    <m/>
    <m/>
    <m/>
    <m/>
    <m/>
    <m/>
    <m/>
    <m/>
    <m/>
    <m/>
    <m/>
    <m/>
    <m/>
    <m/>
    <m/>
    <m/>
    <d v="2025-07-28T00:00:00"/>
    <m/>
    <s v="2025-02-18"/>
    <m/>
    <m/>
    <m/>
    <m/>
    <x v="0"/>
    <x v="0"/>
    <x v="0"/>
    <x v="0"/>
    <m/>
    <m/>
    <m/>
    <d v="2025-01-03T00:00:00"/>
    <n v="13"/>
    <n v="12"/>
    <x v="2"/>
    <s v="18.18%"/>
    <s v="DIRECT"/>
    <s v="A1 A4"/>
    <x v="0"/>
    <x v="0"/>
    <x v="0"/>
    <x v="0"/>
    <m/>
    <m/>
    <x v="0"/>
    <m/>
    <s v="Not Trained"/>
    <s v="A null"/>
    <m/>
    <s v="Valid"/>
    <s v="Not eligible"/>
    <s v="Not eligible"/>
  </r>
  <r>
    <n v="91"/>
    <n v="584318"/>
    <x v="90"/>
    <x v="7"/>
    <s v="p422"/>
    <s v="JKTTLF-5"/>
    <x v="4"/>
    <d v="2027-02-05T00:00:00"/>
    <s v="Valid"/>
    <d v="2027-03-03T00:00:00"/>
    <s v="Valid"/>
    <d v="2027-03-04T00:00:00"/>
    <s v="Valid"/>
    <d v="2027-04-15T00:00:00"/>
    <s v="Valid"/>
    <d v="2027-04-15T00:00:00"/>
    <s v="Valid"/>
    <d v="2027-04-15T00:00:00"/>
    <s v="Valid"/>
    <d v="2027-04-16T00:00:00"/>
    <s v="Valid"/>
    <d v="2027-02-09T00:00:00"/>
    <s v="Valid"/>
    <d v="2027-03-06T00:00:00"/>
    <s v="Valid"/>
    <d v="2027-05-15T00:00:00"/>
    <s v="Valid"/>
    <d v="2025-11-17T00:00:00"/>
    <m/>
    <m/>
    <m/>
    <m/>
    <m/>
    <m/>
    <m/>
    <d v="2028-07-15T00:00:00"/>
    <m/>
    <m/>
    <m/>
    <m/>
    <m/>
    <m/>
    <m/>
    <m/>
    <m/>
    <m/>
    <m/>
    <m/>
    <m/>
    <m/>
    <m/>
    <m/>
    <m/>
    <d v="2025-08-25T00:00:00"/>
    <m/>
    <s v="2024-03-08"/>
    <m/>
    <m/>
    <m/>
    <m/>
    <x v="0"/>
    <x v="0"/>
    <x v="0"/>
    <x v="0"/>
    <m/>
    <m/>
    <m/>
    <m/>
    <n v="13"/>
    <n v="12"/>
    <x v="2"/>
    <s v="46.15%"/>
    <s v="DIRECT"/>
    <s v="A1 A3 A4"/>
    <x v="0"/>
    <x v="0"/>
    <x v="0"/>
    <x v="0"/>
    <m/>
    <m/>
    <x v="74"/>
    <m/>
    <s v="Not Trained"/>
    <s v="A null"/>
    <m/>
    <s v="Not Trained"/>
    <s v="Not eligible"/>
    <s v="Not eligible"/>
  </r>
  <r>
    <n v="92"/>
    <n v="584312"/>
    <x v="91"/>
    <x v="7"/>
    <s v="p422"/>
    <s v="JKTTLF-5"/>
    <x v="4"/>
    <d v="2027-02-07T00:00:00"/>
    <s v="Valid"/>
    <d v="2027-03-03T00:00:00"/>
    <s v="Valid"/>
    <d v="2027-03-05T00:00:00"/>
    <s v="Valid"/>
    <d v="2027-03-10T00:00:00"/>
    <s v="Valid"/>
    <d v="2027-03-10T00:00:00"/>
    <s v="Valid"/>
    <d v="2027-03-10T00:00:00"/>
    <s v="Valid"/>
    <d v="2027-03-11T00:00:00"/>
    <s v="Valid"/>
    <d v="2027-02-10T00:00:00"/>
    <s v="Valid"/>
    <d v="2027-03-07T00:00:00"/>
    <s v="Valid"/>
    <d v="2027-05-15T00:00:00"/>
    <s v="Valid"/>
    <d v="2025-11-17T00:00:00"/>
    <m/>
    <m/>
    <m/>
    <m/>
    <m/>
    <m/>
    <m/>
    <m/>
    <m/>
    <m/>
    <m/>
    <m/>
    <m/>
    <m/>
    <m/>
    <m/>
    <m/>
    <m/>
    <m/>
    <m/>
    <m/>
    <m/>
    <m/>
    <m/>
    <m/>
    <d v="2025-08-25T00:00:00"/>
    <m/>
    <s v="2024-04-24"/>
    <m/>
    <m/>
    <m/>
    <m/>
    <x v="0"/>
    <x v="0"/>
    <x v="0"/>
    <x v="0"/>
    <m/>
    <m/>
    <m/>
    <m/>
    <n v="13"/>
    <n v="12"/>
    <x v="2"/>
    <s v="76.92%"/>
    <s v="DIRECT"/>
    <m/>
    <x v="0"/>
    <x v="0"/>
    <x v="0"/>
    <x v="0"/>
    <m/>
    <m/>
    <x v="75"/>
    <m/>
    <s v="Not Trained"/>
    <s v="A null"/>
    <m/>
    <s v="Not Trained"/>
    <s v="Not eligible"/>
    <s v="Not eligible"/>
  </r>
  <r>
    <n v="93"/>
    <n v="533461"/>
    <x v="92"/>
    <x v="3"/>
    <s v="p414"/>
    <s v="JKTTLF-5"/>
    <x v="4"/>
    <d v="2027-03-20T00:00:00"/>
    <s v="Valid"/>
    <d v="2027-03-20T00:00:00"/>
    <s v="Valid"/>
    <d v="2027-06-26T00:00:00"/>
    <s v="Valid"/>
    <d v="2027-06-26T00:00:00"/>
    <s v="Valid"/>
    <d v="2027-06-26T00:00:00"/>
    <s v="Valid"/>
    <d v="2027-06-26T00:00:00"/>
    <s v="Valid"/>
    <d v="2027-06-26T00:00:00"/>
    <s v="Valid"/>
    <d v="2027-06-26T00:00:00"/>
    <s v="Valid"/>
    <d v="2027-06-26T00:00:00"/>
    <s v="Valid"/>
    <d v="2023-07-23T00:00:00"/>
    <s v="Valid"/>
    <d v="2011-11-04T00:00:00"/>
    <d v="2018-04-15T00:00:00"/>
    <d v="2017-01-14T00:00:00"/>
    <d v="2026-02-16T00:00:00"/>
    <d v="2022-06-23T00:00:00"/>
    <d v="2025-09-10T00:00:00"/>
    <m/>
    <m/>
    <m/>
    <m/>
    <m/>
    <m/>
    <m/>
    <m/>
    <m/>
    <m/>
    <m/>
    <m/>
    <m/>
    <m/>
    <m/>
    <m/>
    <m/>
    <m/>
    <m/>
    <m/>
    <d v="2026-05-22T00:00:00"/>
    <s v="2016-10-07"/>
    <s v="2024-12-31"/>
    <m/>
    <m/>
    <m/>
    <m/>
    <x v="56"/>
    <x v="3"/>
    <x v="0"/>
    <x v="0"/>
    <m/>
    <m/>
    <m/>
    <m/>
    <n v="15"/>
    <n v="15"/>
    <x v="0"/>
    <s v="100.00%"/>
    <s v="DIRECT"/>
    <s v="C1 C2 C4"/>
    <x v="3"/>
    <x v="0"/>
    <x v="0"/>
    <x v="57"/>
    <n v="1"/>
    <m/>
    <x v="76"/>
    <d v="2028-07-09T00:00:00"/>
    <s v="Valid"/>
    <s v="A null"/>
    <d v="2047-07-23T00:00:00"/>
    <s v="Not Trained"/>
    <s v="Eligible"/>
    <s v="Not eligible"/>
  </r>
  <r>
    <n v="94"/>
    <n v="782748"/>
    <x v="93"/>
    <x v="8"/>
    <s v="p428"/>
    <s v="JKTTLF-5"/>
    <x v="4"/>
    <d v="2027-04-10T00:00:00"/>
    <s v="Valid"/>
    <d v="2027-05-13T00:00:00"/>
    <s v="Valid"/>
    <d v="2023-03-01T00:00:00"/>
    <s v="Valid"/>
    <m/>
    <m/>
    <m/>
    <m/>
    <m/>
    <m/>
    <m/>
    <m/>
    <m/>
    <m/>
    <m/>
    <m/>
    <m/>
    <m/>
    <d v="2025-07-12T00:00:00"/>
    <m/>
    <m/>
    <m/>
    <m/>
    <m/>
    <m/>
    <m/>
    <m/>
    <m/>
    <m/>
    <m/>
    <m/>
    <m/>
    <m/>
    <m/>
    <m/>
    <m/>
    <m/>
    <m/>
    <m/>
    <m/>
    <m/>
    <m/>
    <m/>
    <m/>
    <d v="2023-08-23T00:00:00"/>
    <m/>
    <d v="2025-07-17T00:00:00"/>
    <m/>
    <m/>
    <m/>
    <m/>
    <x v="0"/>
    <x v="0"/>
    <x v="0"/>
    <x v="0"/>
    <m/>
    <m/>
    <m/>
    <d v="2023-03-01T00:00:00"/>
    <n v="3"/>
    <n v="3"/>
    <x v="0"/>
    <s v="9.09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95"/>
    <n v="782749"/>
    <x v="94"/>
    <x v="8"/>
    <s v="p428"/>
    <s v="JKTTLF-5"/>
    <x v="4"/>
    <d v="2027-04-10T00:00:00"/>
    <s v="Valid"/>
    <d v="2027-04-29T00:00:00"/>
    <s v="Valid"/>
    <d v="2023-03-01T00:00:00"/>
    <s v="Valid"/>
    <d v="2027-10-19T00:00:00"/>
    <m/>
    <d v="2027-10-19T00:00:00"/>
    <m/>
    <d v="2027-10-19T00:00:00"/>
    <m/>
    <d v="2027-10-20T00:00:00"/>
    <m/>
    <d v="2028-03-03T00:00:00"/>
    <m/>
    <m/>
    <m/>
    <d v="2025-11-18T00:00:00"/>
    <m/>
    <d v="2025-06-09T00:00:00"/>
    <m/>
    <m/>
    <m/>
    <m/>
    <m/>
    <m/>
    <m/>
    <m/>
    <m/>
    <m/>
    <m/>
    <m/>
    <m/>
    <m/>
    <m/>
    <m/>
    <m/>
    <m/>
    <m/>
    <m/>
    <m/>
    <m/>
    <m/>
    <m/>
    <m/>
    <d v="2023-08-09T00:00:00"/>
    <m/>
    <d v="2025-07-17T00:00:00"/>
    <m/>
    <m/>
    <m/>
    <m/>
    <x v="0"/>
    <x v="0"/>
    <x v="0"/>
    <x v="0"/>
    <m/>
    <s v="2023-06-28"/>
    <m/>
    <d v="2023-03-01T00:00:00"/>
    <n v="3"/>
    <n v="3"/>
    <x v="0"/>
    <s v="9.09%"/>
    <s v="DIRECT"/>
    <s v="A1 A4"/>
    <x v="0"/>
    <x v="0"/>
    <x v="0"/>
    <x v="0"/>
    <m/>
    <m/>
    <x v="0"/>
    <m/>
    <s v="Not Trained"/>
    <s v="A null"/>
    <m/>
    <s v="Not Trained"/>
    <s v="Not eligible"/>
    <s v="Not eligible"/>
  </r>
  <r>
    <n v="96"/>
    <n v="783024"/>
    <x v="95"/>
    <x v="8"/>
    <s v="p428"/>
    <s v="JKTTLF-5"/>
    <x v="7"/>
    <d v="2027-11-06T00:00:00"/>
    <s v="Valid"/>
    <d v="2027-09-25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d v="2025-07-28T00:00:00"/>
    <m/>
    <s v="2024-03-08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97"/>
    <n v="783554"/>
    <x v="96"/>
    <x v="3"/>
    <s v="p414"/>
    <s v="JKTTLF-5"/>
    <x v="4"/>
    <d v="2027-10-15T00:00:00"/>
    <s v="Valid"/>
    <d v="2027-10-15T00:00:00"/>
    <s v="Valid"/>
    <d v="2028-05-27T00:00:00"/>
    <s v="Valid"/>
    <d v="2027-10-14T00:00:00"/>
    <s v="Valid"/>
    <d v="2027-01-03T00:00:00"/>
    <s v="Valid"/>
    <d v="2028-05-27T00:00:00"/>
    <s v="Valid"/>
    <d v="2028-06-16T00:00:00"/>
    <s v="Valid"/>
    <d v="2026-10-15T00:00:00"/>
    <s v="Expiring"/>
    <d v="2027-10-14T00:00:00"/>
    <s v="Valid"/>
    <d v="2022-10-13T00:00:00"/>
    <s v="Valid"/>
    <d v="2019-12-06T00:00:00"/>
    <d v="2023-08-06T00:00:00"/>
    <d v="2022-10-02T00:00:00"/>
    <m/>
    <d v="2025-09-06T00:00:00"/>
    <d v="2023-06-27T00:00:00"/>
    <m/>
    <m/>
    <m/>
    <m/>
    <m/>
    <m/>
    <m/>
    <m/>
    <m/>
    <m/>
    <m/>
    <m/>
    <m/>
    <m/>
    <m/>
    <m/>
    <m/>
    <m/>
    <m/>
    <m/>
    <m/>
    <m/>
    <s v="2025-02-18"/>
    <m/>
    <m/>
    <m/>
    <m/>
    <x v="0"/>
    <x v="0"/>
    <x v="0"/>
    <x v="0"/>
    <m/>
    <m/>
    <m/>
    <m/>
    <n v="15"/>
    <n v="14"/>
    <x v="1"/>
    <s v="86.67%"/>
    <s v="DIRECT"/>
    <s v="A1 A4"/>
    <x v="0"/>
    <x v="0"/>
    <x v="0"/>
    <x v="58"/>
    <m/>
    <m/>
    <x v="0"/>
    <d v="2026-04-03T00:00:00"/>
    <s v="Expired"/>
    <s v="A null"/>
    <m/>
    <s v="Not Trained"/>
    <s v="Not eligible"/>
    <s v="Not eligible"/>
  </r>
  <r>
    <n v="98"/>
    <n v="580792"/>
    <x v="97"/>
    <x v="12"/>
    <s v="p428"/>
    <s v="JKTTLF-6"/>
    <x v="8"/>
    <d v="2028-05-06T00:00:00"/>
    <s v="Valid"/>
    <d v="2028-05-06T00:00:00"/>
    <s v="Valid"/>
    <d v="2027-07-29T00:00:00"/>
    <s v="Valid"/>
    <d v="2027-08-02T00:00:00"/>
    <s v="Valid"/>
    <d v="2027-08-02T00:00:00"/>
    <s v="Valid"/>
    <d v="2027-08-06T00:00:00"/>
    <s v="Valid"/>
    <d v="2027-08-02T00:00:00"/>
    <s v="Valid"/>
    <d v="2027-08-02T00:00:00"/>
    <s v="Valid"/>
    <d v="2027-08-02T00:00:00"/>
    <s v="Valid"/>
    <d v="2023-03-17T00:00:00"/>
    <s v="Valid"/>
    <d v="2018-05-18T00:00:00"/>
    <m/>
    <m/>
    <m/>
    <d v="2024-08-21T00:00:00"/>
    <m/>
    <m/>
    <m/>
    <m/>
    <m/>
    <m/>
    <m/>
    <m/>
    <m/>
    <m/>
    <m/>
    <m/>
    <m/>
    <m/>
    <m/>
    <m/>
    <m/>
    <m/>
    <m/>
    <m/>
    <m/>
    <d v="2023-12-06T00:00:00"/>
    <m/>
    <s v="2013-08-26"/>
    <d v="2013-08-27T00:00:00"/>
    <m/>
    <m/>
    <m/>
    <x v="0"/>
    <x v="0"/>
    <x v="0"/>
    <x v="0"/>
    <s v="2025-02-07"/>
    <m/>
    <m/>
    <m/>
    <n v="12"/>
    <n v="12"/>
    <x v="0"/>
    <s v="100.00%"/>
    <s v="DIRECT"/>
    <m/>
    <x v="0"/>
    <x v="0"/>
    <x v="0"/>
    <x v="0"/>
    <m/>
    <m/>
    <x v="77"/>
    <m/>
    <s v="Not Trained"/>
    <s v="A null"/>
    <d v="2050-06-11T00:00:00"/>
    <s v="Not Trained"/>
    <s v="Not eligible"/>
    <s v="Not eligible"/>
  </r>
  <r>
    <n v="99"/>
    <n v="580807"/>
    <x v="98"/>
    <x v="7"/>
    <s v="p423"/>
    <s v="JKTTLF-6"/>
    <x v="8"/>
    <d v="2027-05-21T00:00:00"/>
    <s v="Valid"/>
    <d v="2027-05-21T00:00:00"/>
    <s v="Valid"/>
    <d v="2026-09-18T00:00:00"/>
    <s v="Expiring"/>
    <d v="2028-07-15T00:00:00"/>
    <s v="Valid"/>
    <d v="2028-07-15T00:00:00"/>
    <s v="Valid"/>
    <d v="2028-07-15T00:00:00"/>
    <s v="Valid"/>
    <d v="2028-07-15T00:00:00"/>
    <s v="Valid"/>
    <d v="2028-07-15T00:00:00"/>
    <s v="Valid"/>
    <d v="2027-09-03T00:00:00"/>
    <s v="Valid"/>
    <d v="2023-05-24T00:00:00"/>
    <s v="Valid"/>
    <d v="2023-08-26T00:00:00"/>
    <d v="2026-08-27T00:00:00"/>
    <d v="2022-12-14T00:00:00"/>
    <m/>
    <d v="2025-09-24T00:00:00"/>
    <m/>
    <m/>
    <m/>
    <m/>
    <m/>
    <m/>
    <m/>
    <m/>
    <m/>
    <m/>
    <m/>
    <m/>
    <m/>
    <m/>
    <m/>
    <m/>
    <m/>
    <m/>
    <m/>
    <m/>
    <m/>
    <d v="2025-06-21T00:00:00"/>
    <s v="2019-09-30"/>
    <s v="2013-08-26"/>
    <d v="2013-08-27T00:00:00"/>
    <m/>
    <m/>
    <m/>
    <x v="22"/>
    <x v="3"/>
    <x v="9"/>
    <x v="0"/>
    <m/>
    <m/>
    <m/>
    <m/>
    <n v="13"/>
    <n v="13"/>
    <x v="0"/>
    <s v="100.00%"/>
    <s v="DIRECT"/>
    <s v="A1 A4"/>
    <x v="3"/>
    <x v="0"/>
    <x v="0"/>
    <x v="59"/>
    <m/>
    <m/>
    <x v="78"/>
    <d v="2027-06-02T00:00:00"/>
    <s v="Valid"/>
    <s v="A null"/>
    <d v="2049-03-15T00:00:00"/>
    <s v="Valid"/>
    <s v="Eligible"/>
    <s v="Not eligible"/>
  </r>
  <r>
    <n v="100"/>
    <n v="581479"/>
    <x v="99"/>
    <x v="7"/>
    <s v="p423"/>
    <s v="JKTTLF-6"/>
    <x v="8"/>
    <d v="2027-04-14T00:00:00"/>
    <s v="Valid"/>
    <d v="2027-04-14T00:00:00"/>
    <s v="Valid"/>
    <d v="2027-09-21T00:00:00"/>
    <s v="Valid"/>
    <d v="2027-09-21T00:00:00"/>
    <s v="Valid"/>
    <d v="2027-09-21T00:00:00"/>
    <s v="Valid"/>
    <d v="2027-09-21T00:00:00"/>
    <s v="Valid"/>
    <d v="2027-09-21T00:00:00"/>
    <s v="Valid"/>
    <d v="2027-09-21T00:00:00"/>
    <s v="Valid"/>
    <d v="2027-09-21T00:00:00"/>
    <s v="Valid"/>
    <d v="2023-11-02T00:00:00"/>
    <s v="Valid"/>
    <d v="2019-06-14T00:00:00"/>
    <d v="2026-07-30T00:00:00"/>
    <m/>
    <m/>
    <d v="2018-02-28T00:00:00"/>
    <m/>
    <m/>
    <m/>
    <m/>
    <m/>
    <m/>
    <m/>
    <m/>
    <m/>
    <m/>
    <m/>
    <m/>
    <m/>
    <m/>
    <m/>
    <m/>
    <m/>
    <m/>
    <m/>
    <m/>
    <m/>
    <d v="2025-09-21T00:00:00"/>
    <s v="2022-01-28"/>
    <s v="2017-03-09"/>
    <m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79"/>
    <m/>
    <s v="Not Trained"/>
    <s v="A null"/>
    <d v="2040-11-03T00:00:00"/>
    <s v="Valid"/>
    <s v="Not eligible"/>
    <s v="Not eligible"/>
  </r>
  <r>
    <n v="101"/>
    <n v="581604"/>
    <x v="100"/>
    <x v="7"/>
    <s v="p423"/>
    <s v="JKTTLF-6"/>
    <x v="8"/>
    <d v="2027-02-20T00:00:00"/>
    <s v="Valid"/>
    <d v="2027-02-20T00:00:00"/>
    <s v="Valid"/>
    <d v="2026-12-15T00:00:00"/>
    <s v="Valid"/>
    <d v="2027-06-02T00:00:00"/>
    <s v="Valid"/>
    <d v="2026-12-15T00:00:00"/>
    <s v="Valid"/>
    <d v="2027-06-02T00:00:00"/>
    <s v="Valid"/>
    <d v="2027-06-02T00:00:00"/>
    <s v="Valid"/>
    <d v="2026-12-15T00:00:00"/>
    <s v="Valid"/>
    <d v="2027-06-02T00:00:00"/>
    <s v="Valid"/>
    <d v="2021-11-20T00:00:00"/>
    <s v="Valid"/>
    <d v="2019-04-27T00:00:00"/>
    <d v="2026-01-30T00:00:00"/>
    <m/>
    <m/>
    <d v="2023-10-08T00:00:00"/>
    <m/>
    <m/>
    <m/>
    <m/>
    <m/>
    <m/>
    <m/>
    <m/>
    <m/>
    <m/>
    <m/>
    <m/>
    <m/>
    <m/>
    <m/>
    <m/>
    <m/>
    <m/>
    <m/>
    <m/>
    <m/>
    <d v="2026-02-21T00:00:00"/>
    <s v="2022-10-19"/>
    <s v="2016-02-12"/>
    <d v="2015-01-29T00:00:00"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80"/>
    <m/>
    <s v="Not Trained"/>
    <s v="A null"/>
    <d v="2052-02-22T00:00:00"/>
    <s v="Valid"/>
    <s v="Not eligible"/>
    <s v="Not eligible"/>
  </r>
  <r>
    <n v="102"/>
    <n v="581607"/>
    <x v="101"/>
    <x v="7"/>
    <s v="p423"/>
    <s v="JKTTLF-6"/>
    <x v="8"/>
    <d v="2027-03-06T00:00:00"/>
    <s v="Valid"/>
    <d v="2027-03-06T00:00:00"/>
    <s v="Valid"/>
    <d v="2027-06-02T00:00:00"/>
    <s v="Valid"/>
    <d v="2027-06-02T00:00:00"/>
    <s v="Valid"/>
    <d v="2027-06-02T00:00:00"/>
    <s v="Valid"/>
    <d v="2027-06-02T00:00:00"/>
    <s v="Valid"/>
    <d v="2027-06-02T00:00:00"/>
    <s v="Valid"/>
    <d v="2027-06-02T00:00:00"/>
    <s v="Valid"/>
    <d v="2027-06-02T00:00:00"/>
    <s v="Valid"/>
    <d v="2023-05-10T00:00:00"/>
    <s v="Valid"/>
    <d v="2023-05-27T00:00:00"/>
    <d v="2020-09-21T00:00:00"/>
    <d v="2022-12-14T00:00:00"/>
    <d v="2025-12-15T00:00:00"/>
    <m/>
    <m/>
    <m/>
    <m/>
    <m/>
    <m/>
    <m/>
    <m/>
    <m/>
    <m/>
    <m/>
    <m/>
    <m/>
    <m/>
    <m/>
    <m/>
    <m/>
    <m/>
    <m/>
    <m/>
    <m/>
    <m/>
    <d v="2026-02-21T00:00:00"/>
    <m/>
    <s v="2017-08-10"/>
    <d v="2015-01-29T00:00:00"/>
    <m/>
    <m/>
    <m/>
    <x v="23"/>
    <x v="2"/>
    <x v="0"/>
    <x v="0"/>
    <m/>
    <s v="2025-02-21"/>
    <m/>
    <m/>
    <n v="13"/>
    <n v="13"/>
    <x v="0"/>
    <s v="100.00%"/>
    <s v="DIRECT"/>
    <s v="A1 A4"/>
    <x v="2"/>
    <x v="0"/>
    <x v="0"/>
    <x v="60"/>
    <m/>
    <m/>
    <x v="81"/>
    <d v="2027-09-27T00:00:00"/>
    <s v="Valid"/>
    <s v="A null"/>
    <d v="2049-06-22T00:00:00"/>
    <s v="Valid"/>
    <s v="Eligible"/>
    <s v="Not eligible"/>
  </r>
  <r>
    <n v="103"/>
    <n v="581610"/>
    <x v="102"/>
    <x v="7"/>
    <s v="p423"/>
    <s v="JKTTLF-6"/>
    <x v="8"/>
    <d v="2027-05-07T00:00:00"/>
    <s v="Valid"/>
    <d v="2027-05-07T00:00:00"/>
    <s v="Valid"/>
    <d v="2028-04-06T00:00:00"/>
    <s v="Valid"/>
    <d v="2028-04-06T00:00:00"/>
    <s v="Valid"/>
    <d v="2028-04-06T00:00:00"/>
    <s v="Valid"/>
    <d v="2028-04-06T00:00:00"/>
    <s v="Valid"/>
    <d v="2028-04-06T00:00:00"/>
    <s v="Valid"/>
    <d v="2028-04-06T00:00:00"/>
    <s v="Valid"/>
    <d v="2028-04-06T00:00:00"/>
    <s v="Valid"/>
    <d v="2024-02-02T00:00:00"/>
    <s v="Valid"/>
    <d v="2019-06-14T00:00:00"/>
    <d v="2018-12-23T00:00:00"/>
    <m/>
    <m/>
    <d v="2023-04-13T00:00:00"/>
    <m/>
    <m/>
    <m/>
    <m/>
    <m/>
    <m/>
    <m/>
    <m/>
    <m/>
    <m/>
    <m/>
    <m/>
    <m/>
    <m/>
    <m/>
    <m/>
    <m/>
    <m/>
    <m/>
    <m/>
    <m/>
    <d v="2026-01-17T00:00:00"/>
    <s v="2022-05-25"/>
    <s v="2016-02-12"/>
    <d v="2015-01-29T00:00:00"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82"/>
    <m/>
    <s v="Not Trained"/>
    <s v="A null"/>
    <d v="2048-11-03T00:00:00"/>
    <s v="Valid"/>
    <s v="Not eligible"/>
    <s v="Not eligible"/>
  </r>
  <r>
    <n v="104"/>
    <n v="582539"/>
    <x v="103"/>
    <x v="7"/>
    <s v="p423"/>
    <s v="JKTTLF-6"/>
    <x v="8"/>
    <d v="2028-03-04T00:00:00"/>
    <s v="Valid"/>
    <d v="2028-03-04T00:00:00"/>
    <s v="Valid"/>
    <d v="2028-03-29T00:00:00"/>
    <s v="Valid"/>
    <d v="2028-03-29T00:00:00"/>
    <s v="Valid"/>
    <d v="2028-03-29T00:00:00"/>
    <s v="Valid"/>
    <d v="2028-03-29T00:00:00"/>
    <s v="Valid"/>
    <d v="2028-03-29T00:00:00"/>
    <s v="Valid"/>
    <d v="2028-03-29T00:00:00"/>
    <s v="Valid"/>
    <d v="2028-03-29T00:00:00"/>
    <s v="Valid"/>
    <d v="2024-03-24T00:00:00"/>
    <s v="Valid"/>
    <d v="2020-05-09T00:00:00"/>
    <d v="2024-09-13T00:00:00"/>
    <d v="2022-02-25T00:00:00"/>
    <d v="2025-08-19T00:00:00"/>
    <d v="2022-06-22T00:00:00"/>
    <m/>
    <m/>
    <m/>
    <m/>
    <m/>
    <m/>
    <m/>
    <m/>
    <m/>
    <m/>
    <m/>
    <m/>
    <m/>
    <m/>
    <m/>
    <m/>
    <m/>
    <m/>
    <m/>
    <m/>
    <m/>
    <d v="2026-11-20T00:00:00"/>
    <s v="2022-03-10"/>
    <s v="2025-02-18"/>
    <m/>
    <m/>
    <m/>
    <m/>
    <x v="57"/>
    <x v="6"/>
    <x v="8"/>
    <x v="0"/>
    <m/>
    <m/>
    <m/>
    <m/>
    <n v="13"/>
    <n v="13"/>
    <x v="0"/>
    <s v="100.00%"/>
    <s v="DIRECT"/>
    <s v="A1 A4"/>
    <x v="6"/>
    <x v="7"/>
    <x v="0"/>
    <x v="61"/>
    <m/>
    <m/>
    <x v="83"/>
    <d v="2028-07-07T00:00:00"/>
    <s v="Valid"/>
    <s v="A null"/>
    <d v="2046-10-30T00:00:00"/>
    <s v="Valid"/>
    <s v="Eligible"/>
    <s v="Eligible"/>
  </r>
  <r>
    <n v="105"/>
    <n v="583731"/>
    <x v="104"/>
    <x v="5"/>
    <s v="p422"/>
    <s v="JKTTLF-6"/>
    <x v="8"/>
    <d v="2027-05-07T00:00:00"/>
    <s v="Valid"/>
    <d v="2027-05-07T00:00:00"/>
    <s v="Valid"/>
    <d v="2026-08-21T00:00:00"/>
    <s v="Expiring"/>
    <d v="2027-08-02T00:00:00"/>
    <s v="Valid"/>
    <d v="2027-08-01T00:00:00"/>
    <s v="Valid"/>
    <d v="2027-08-02T00:00:00"/>
    <s v="Valid"/>
    <d v="2027-08-02T00:00:00"/>
    <s v="Valid"/>
    <d v="2027-08-02T00:00:00"/>
    <s v="Valid"/>
    <d v="2027-08-02T00:00:00"/>
    <s v="Valid"/>
    <d v="2023-07-22T00:00:00"/>
    <s v="Valid"/>
    <d v="2024-02-04T00:00:00"/>
    <d v="2025-09-15T00:00:00"/>
    <d v="2025-05-26T00:00:00"/>
    <m/>
    <m/>
    <m/>
    <m/>
    <m/>
    <m/>
    <m/>
    <m/>
    <m/>
    <m/>
    <m/>
    <m/>
    <m/>
    <m/>
    <m/>
    <m/>
    <m/>
    <m/>
    <m/>
    <m/>
    <m/>
    <m/>
    <m/>
    <d v="2027-02-12T00:00:00"/>
    <s v="2022-10-19"/>
    <s v="2021-09-09"/>
    <m/>
    <d v="2017-09-04T00:00:00"/>
    <m/>
    <m/>
    <x v="25"/>
    <x v="3"/>
    <x v="0"/>
    <x v="0"/>
    <m/>
    <m/>
    <m/>
    <m/>
    <n v="15"/>
    <n v="15"/>
    <x v="0"/>
    <s v="92.31%"/>
    <s v="DIRECT"/>
    <s v="C1 C2 C4"/>
    <x v="0"/>
    <x v="0"/>
    <x v="0"/>
    <x v="0"/>
    <m/>
    <m/>
    <x v="84"/>
    <m/>
    <s v="Not Trained"/>
    <s v="A null"/>
    <d v="2055-04-07T00:00:00"/>
    <s v="Valid"/>
    <s v="Not eligible"/>
    <s v="Not eligible"/>
  </r>
  <r>
    <n v="106"/>
    <n v="583738"/>
    <x v="105"/>
    <x v="5"/>
    <s v="p422"/>
    <s v="JKTTLF-6"/>
    <x v="8"/>
    <d v="2027-06-09T00:00:00"/>
    <s v="Valid"/>
    <d v="2027-06-09T00:00:00"/>
    <s v="Valid"/>
    <d v="2027-07-18T00:00:00"/>
    <s v="Valid"/>
    <d v="2027-07-18T00:00:00"/>
    <s v="Valid"/>
    <d v="2027-07-18T00:00:00"/>
    <s v="Valid"/>
    <d v="2027-07-18T00:00:00"/>
    <s v="Valid"/>
    <d v="2027-07-18T00:00:00"/>
    <s v="Valid"/>
    <d v="2027-07-18T00:00:00"/>
    <s v="Valid"/>
    <d v="2027-07-18T00:00:00"/>
    <s v="Valid"/>
    <d v="2023-07-22T00:00:00"/>
    <s v="Valid"/>
    <d v="2024-07-27T00:00:00"/>
    <m/>
    <d v="2025-08-27T00:00:00"/>
    <m/>
    <d v="2023-03-08T00:00:00"/>
    <m/>
    <m/>
    <m/>
    <m/>
    <m/>
    <m/>
    <m/>
    <m/>
    <m/>
    <m/>
    <m/>
    <m/>
    <m/>
    <m/>
    <m/>
    <m/>
    <m/>
    <m/>
    <m/>
    <m/>
    <m/>
    <d v="2026-01-24T00:00:00"/>
    <s v="2022-11-09"/>
    <s v="2021-08-25"/>
    <m/>
    <d v="2017-09-11T00:00:00"/>
    <m/>
    <m/>
    <x v="58"/>
    <x v="1"/>
    <x v="0"/>
    <x v="0"/>
    <m/>
    <m/>
    <m/>
    <m/>
    <n v="15"/>
    <n v="14"/>
    <x v="1"/>
    <s v="92.31%"/>
    <s v="DIRECT"/>
    <s v="C1 C2 C4"/>
    <x v="0"/>
    <x v="0"/>
    <x v="0"/>
    <x v="0"/>
    <m/>
    <m/>
    <x v="85"/>
    <m/>
    <s v="Not Trained"/>
    <s v="A null"/>
    <d v="2054-09-07T00:00:00"/>
    <s v="Valid"/>
    <s v="Not eligible"/>
    <s v="Not eligible"/>
  </r>
  <r>
    <n v="107"/>
    <n v="583734"/>
    <x v="106"/>
    <x v="5"/>
    <s v="p422"/>
    <s v="JKTTLF-6"/>
    <x v="8"/>
    <d v="2027-05-25T00:00:00"/>
    <s v="Valid"/>
    <d v="2027-05-25T00:00:00"/>
    <s v="Valid"/>
    <d v="2026-08-19T00:00:00"/>
    <s v="Expiring"/>
    <d v="2027-08-04T00:00:00"/>
    <s v="Valid"/>
    <d v="2027-08-04T00:00:00"/>
    <s v="Valid"/>
    <d v="2027-08-04T00:00:00"/>
    <s v="Valid"/>
    <d v="2027-08-04T00:00:00"/>
    <s v="Valid"/>
    <d v="2027-08-04T00:00:00"/>
    <s v="Valid"/>
    <d v="2027-08-04T00:00:00"/>
    <s v="Valid"/>
    <d v="2023-07-06T00:00:00"/>
    <s v="Valid"/>
    <d v="2024-04-14T00:00:00"/>
    <d v="2026-02-09T00:00:00"/>
    <d v="2024-08-30T00:00:00"/>
    <m/>
    <m/>
    <m/>
    <m/>
    <m/>
    <m/>
    <m/>
    <m/>
    <m/>
    <m/>
    <m/>
    <m/>
    <m/>
    <m/>
    <m/>
    <m/>
    <m/>
    <m/>
    <m/>
    <m/>
    <m/>
    <m/>
    <m/>
    <d v="2026-09-25T00:00:00"/>
    <s v="2022-08-31"/>
    <s v="2021-09-09"/>
    <m/>
    <d v="2017-09-04T00:00:00"/>
    <m/>
    <m/>
    <x v="59"/>
    <x v="3"/>
    <x v="0"/>
    <x v="0"/>
    <m/>
    <m/>
    <m/>
    <m/>
    <n v="15"/>
    <n v="15"/>
    <x v="0"/>
    <s v="92.31%"/>
    <s v="DIRECT"/>
    <m/>
    <x v="0"/>
    <x v="0"/>
    <x v="0"/>
    <x v="0"/>
    <m/>
    <m/>
    <x v="86"/>
    <m/>
    <s v="Not Trained"/>
    <s v="A null"/>
    <d v="2055-04-14T00:00:00"/>
    <s v="Valid"/>
    <s v="Not eligible"/>
    <s v="Not eligible"/>
  </r>
  <r>
    <n v="108"/>
    <n v="532704"/>
    <x v="107"/>
    <x v="3"/>
    <s v="p414"/>
    <s v="JKTTLF-6"/>
    <x v="8"/>
    <d v="2027-07-06T00:00:00"/>
    <s v="Valid"/>
    <d v="2027-07-06T00:00:00"/>
    <s v="Valid"/>
    <d v="2027-08-17T00:00:00"/>
    <s v="Valid"/>
    <d v="2027-08-17T00:00:00"/>
    <s v="Valid"/>
    <d v="2027-08-17T00:00:00"/>
    <s v="Valid"/>
    <d v="2027-08-17T00:00:00"/>
    <s v="Valid"/>
    <d v="2027-08-17T00:00:00"/>
    <s v="Valid"/>
    <d v="2027-08-17T00:00:00"/>
    <s v="Valid"/>
    <d v="2027-08-17T00:00:00"/>
    <s v="Valid"/>
    <d v="2023-09-02T00:00:00"/>
    <s v="Valid"/>
    <d v="2011-05-13T00:00:00"/>
    <d v="2017-10-02T00:00:00"/>
    <d v="2019-02-08T00:00:00"/>
    <d v="2019-03-03T00:00:00"/>
    <d v="2020-02-28T00:00:00"/>
    <d v="2021-07-27T00:00:00"/>
    <m/>
    <m/>
    <m/>
    <m/>
    <m/>
    <m/>
    <m/>
    <m/>
    <m/>
    <m/>
    <m/>
    <m/>
    <m/>
    <m/>
    <m/>
    <m/>
    <m/>
    <m/>
    <m/>
    <m/>
    <d v="2025-10-27T00:00:00"/>
    <s v="2022-10-05"/>
    <s v="2024-12-29"/>
    <m/>
    <d v="2008-09-10T00:00:00"/>
    <m/>
    <m/>
    <x v="2"/>
    <x v="1"/>
    <x v="2"/>
    <x v="0"/>
    <s v="2010-07-01"/>
    <m/>
    <m/>
    <m/>
    <n v="15"/>
    <n v="15"/>
    <x v="0"/>
    <s v="93.33%"/>
    <s v="DIRECT"/>
    <s v="A1 A4"/>
    <x v="1"/>
    <x v="0"/>
    <x v="0"/>
    <x v="62"/>
    <n v="1"/>
    <m/>
    <x v="87"/>
    <d v="2026-10-15T00:00:00"/>
    <s v="Expiring"/>
    <s v="A null"/>
    <d v="2045-05-30T00:00:00"/>
    <s v="Valid"/>
    <s v="Eligible"/>
    <s v="Not eligible"/>
  </r>
  <r>
    <n v="109"/>
    <n v="580635"/>
    <x v="108"/>
    <x v="3"/>
    <s v="p414"/>
    <s v="JKTTLF-6"/>
    <x v="8"/>
    <d v="2027-09-24T00:00:00"/>
    <s v="Valid"/>
    <d v="2027-09-24T00:00:00"/>
    <s v="Valid"/>
    <d v="2027-10-19T00:00:00"/>
    <s v="Valid"/>
    <d v="2027-10-19T00:00:00"/>
    <s v="Valid"/>
    <d v="2027-10-19T00:00:00"/>
    <s v="Valid"/>
    <d v="2027-10-19T00:00:00"/>
    <s v="Valid"/>
    <d v="2027-10-19T00:00:00"/>
    <s v="Valid"/>
    <d v="2027-10-19T00:00:00"/>
    <s v="Valid"/>
    <d v="2027-10-19T00:00:00"/>
    <s v="Valid"/>
    <d v="2023-11-03T00:00:00"/>
    <s v="Valid"/>
    <d v="2020-12-10T00:00:00"/>
    <d v="2018-12-19T00:00:00"/>
    <d v="2023-06-23T00:00:00"/>
    <m/>
    <d v="2024-02-09T00:00:00"/>
    <d v="2023-09-12T00:00:00"/>
    <m/>
    <m/>
    <m/>
    <m/>
    <m/>
    <m/>
    <m/>
    <m/>
    <m/>
    <m/>
    <m/>
    <m/>
    <s v="2023-02-24"/>
    <m/>
    <m/>
    <m/>
    <m/>
    <m/>
    <m/>
    <m/>
    <d v="2026-08-28T00:00:00"/>
    <s v="2022-01-19"/>
    <s v="2024-12-30"/>
    <m/>
    <m/>
    <d v="2014-06-09T00:00:00"/>
    <m/>
    <x v="12"/>
    <x v="1"/>
    <x v="0"/>
    <x v="0"/>
    <m/>
    <m/>
    <m/>
    <m/>
    <n v="15"/>
    <n v="15"/>
    <x v="0"/>
    <s v="93.33%"/>
    <s v="DIRECT"/>
    <s v="A1 A4"/>
    <x v="1"/>
    <x v="0"/>
    <x v="0"/>
    <x v="63"/>
    <n v="1"/>
    <m/>
    <x v="88"/>
    <m/>
    <s v="Not Trained"/>
    <s v="A null"/>
    <d v="2048-02-21T00:00:00"/>
    <s v="Valid"/>
    <s v="Eligible"/>
    <s v="Not eligible"/>
  </r>
  <r>
    <n v="110"/>
    <n v="782751"/>
    <x v="109"/>
    <x v="8"/>
    <s v="p428"/>
    <s v="JKTTLF-6"/>
    <x v="8"/>
    <d v="2027-04-10T00:00:00"/>
    <s v="Valid"/>
    <d v="2027-06-12T00:00:00"/>
    <s v="Valid"/>
    <d v="2023-03-01T00:00:00"/>
    <s v="Valid"/>
    <m/>
    <m/>
    <m/>
    <m/>
    <m/>
    <m/>
    <m/>
    <m/>
    <m/>
    <m/>
    <m/>
    <m/>
    <m/>
    <m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3-03-01T00:00:00"/>
    <n v="3"/>
    <n v="3"/>
    <x v="0"/>
    <s v="0.00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111"/>
    <n v="782752"/>
    <x v="110"/>
    <x v="8"/>
    <s v="p428"/>
    <s v="JKTTLF-6"/>
    <x v="8"/>
    <d v="2027-04-10T00:00:00"/>
    <s v="Valid"/>
    <d v="2027-06-12T00:00:00"/>
    <s v="Valid"/>
    <d v="2023-03-01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3-03-01T00:00:00"/>
    <n v="3"/>
    <n v="3"/>
    <x v="0"/>
    <s v="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12"/>
    <n v="782753"/>
    <x v="111"/>
    <x v="8"/>
    <s v="p428"/>
    <s v="JKTTLF-6"/>
    <x v="8"/>
    <d v="2027-04-10T00:00:00"/>
    <s v="Valid"/>
    <d v="2027-05-13T00:00:00"/>
    <s v="Valid"/>
    <d v="2023-03-01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3-03-01T00:00:00"/>
    <n v="3"/>
    <n v="3"/>
    <x v="0"/>
    <s v="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13"/>
    <n v="782754"/>
    <x v="112"/>
    <x v="8"/>
    <s v="p428"/>
    <s v="JKTTLF-6"/>
    <x v="8"/>
    <d v="2027-04-10T00:00:00"/>
    <s v="Valid"/>
    <d v="2027-05-13T00:00:00"/>
    <s v="Valid"/>
    <d v="2023-03-01T00:00:00"/>
    <s v="Valid"/>
    <m/>
    <m/>
    <m/>
    <m/>
    <m/>
    <m/>
    <m/>
    <m/>
    <m/>
    <m/>
    <m/>
    <m/>
    <m/>
    <m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3-03-01T00:00:00"/>
    <n v="3"/>
    <n v="3"/>
    <x v="0"/>
    <s v="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14"/>
    <n v="582691"/>
    <x v="113"/>
    <x v="3"/>
    <s v="p414"/>
    <s v="JKTTLF-6"/>
    <x v="8"/>
    <d v="2027-11-16T00:00:00"/>
    <s v="Valid"/>
    <d v="2027-11-16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8-03-01T00:00:00"/>
    <s v="Valid"/>
    <d v="2024-09-13T00:00:00"/>
    <s v="Valid"/>
    <d v="2019-02-08T00:00:00"/>
    <d v="2020-10-26T00:00:00"/>
    <d v="2023-01-20T00:00:00"/>
    <d v="2024-11-24T00:00:00"/>
    <d v="2024-03-16T00:00:00"/>
    <d v="2024-02-27T00:00:00"/>
    <m/>
    <m/>
    <m/>
    <m/>
    <m/>
    <m/>
    <m/>
    <m/>
    <m/>
    <m/>
    <m/>
    <m/>
    <s v="2024-11-22"/>
    <m/>
    <m/>
    <m/>
    <m/>
    <m/>
    <m/>
    <m/>
    <d v="2027-01-22T00:00:00"/>
    <s v="2022-09-16"/>
    <s v="2018-04-11"/>
    <m/>
    <d v="2014-09-08T00:00:00"/>
    <m/>
    <m/>
    <x v="60"/>
    <x v="3"/>
    <x v="5"/>
    <x v="0"/>
    <m/>
    <m/>
    <m/>
    <m/>
    <n v="15"/>
    <n v="15"/>
    <x v="0"/>
    <s v="100.00%"/>
    <s v="DIRECT"/>
    <s v="A1 A4"/>
    <x v="3"/>
    <x v="0"/>
    <x v="0"/>
    <x v="64"/>
    <n v="1"/>
    <m/>
    <x v="89"/>
    <d v="2026-10-28T00:00:00"/>
    <s v="Expiring"/>
    <s v="A null"/>
    <d v="2050-11-12T00:00:00"/>
    <s v="Not Trained"/>
    <s v="Eligible"/>
    <s v="Not eligible"/>
  </r>
  <r>
    <n v="115"/>
    <n v="582232"/>
    <x v="114"/>
    <x v="5"/>
    <s v="p422"/>
    <s v="JKTTLF-6"/>
    <x v="8"/>
    <d v="2028-01-14T00:00:00"/>
    <s v="Valid"/>
    <d v="2028-01-14T00:00:00"/>
    <s v="Valid"/>
    <d v="2028-05-15T00:00:00"/>
    <s v="Valid"/>
    <d v="2028-05-15T00:00:00"/>
    <s v="Valid"/>
    <d v="2028-05-15T00:00:00"/>
    <s v="Valid"/>
    <d v="2028-05-15T00:00:00"/>
    <s v="Valid"/>
    <d v="2028-05-15T00:00:00"/>
    <s v="Valid"/>
    <d v="2028-05-15T00:00:00"/>
    <s v="Valid"/>
    <d v="2028-05-15T00:00:00"/>
    <s v="Valid"/>
    <d v="2023-11-19T00:00:00"/>
    <s v="Valid"/>
    <d v="2020-01-25T00:00:00"/>
    <d v="2025-11-24T00:00:00"/>
    <d v="2020-08-06T00:00:00"/>
    <m/>
    <m/>
    <m/>
    <m/>
    <m/>
    <m/>
    <m/>
    <m/>
    <m/>
    <m/>
    <m/>
    <m/>
    <m/>
    <m/>
    <m/>
    <m/>
    <m/>
    <m/>
    <m/>
    <m/>
    <m/>
    <m/>
    <m/>
    <d v="2026-10-30T00:00:00"/>
    <s v="2022-01-19"/>
    <s v="2024-12-29"/>
    <m/>
    <m/>
    <m/>
    <m/>
    <x v="61"/>
    <x v="2"/>
    <x v="4"/>
    <x v="0"/>
    <m/>
    <m/>
    <m/>
    <m/>
    <n v="15"/>
    <n v="15"/>
    <x v="0"/>
    <s v="92.31%"/>
    <s v="DIRECT"/>
    <s v="A1 A3 A4"/>
    <x v="2"/>
    <x v="0"/>
    <x v="0"/>
    <x v="65"/>
    <m/>
    <m/>
    <x v="90"/>
    <d v="2028-06-12T00:00:00"/>
    <s v="Valid"/>
    <s v="A null"/>
    <d v="2051-04-25T00:00:00"/>
    <s v="Valid"/>
    <s v="Eligible"/>
    <s v="Not eligible"/>
  </r>
  <r>
    <n v="116"/>
    <n v="582701"/>
    <x v="115"/>
    <x v="3"/>
    <s v="p414"/>
    <s v="JKTTLF-6"/>
    <x v="8"/>
    <d v="2028-01-18T00:00:00"/>
    <s v="Valid"/>
    <d v="2028-01-18T00:00:00"/>
    <s v="Valid"/>
    <d v="2028-02-16T00:00:00"/>
    <s v="Valid"/>
    <d v="2028-02-16T00:00:00"/>
    <s v="Valid"/>
    <d v="2028-02-16T00:00:00"/>
    <s v="Valid"/>
    <d v="2028-02-16T00:00:00"/>
    <s v="Valid"/>
    <d v="2028-02-16T00:00:00"/>
    <s v="Valid"/>
    <d v="2028-02-16T00:00:00"/>
    <s v="Valid"/>
    <d v="2028-02-16T00:00:00"/>
    <s v="Valid"/>
    <d v="2024-04-21T00:00:00"/>
    <s v="Valid"/>
    <d v="2018-07-27T00:00:00"/>
    <d v="2024-11-29T00:00:00"/>
    <d v="2023-12-17T00:00:00"/>
    <d v="2026-01-11T00:00:00"/>
    <d v="2024-09-15T00:00:00"/>
    <m/>
    <m/>
    <m/>
    <m/>
    <m/>
    <m/>
    <m/>
    <m/>
    <m/>
    <m/>
    <m/>
    <m/>
    <m/>
    <s v="2025-01-24"/>
    <m/>
    <m/>
    <m/>
    <m/>
    <m/>
    <m/>
    <m/>
    <d v="2026-10-30T00:00:00"/>
    <s v="2022-11-18"/>
    <s v="2024-12-29"/>
    <m/>
    <d v="2014-09-08T00:00:00"/>
    <m/>
    <m/>
    <x v="62"/>
    <x v="3"/>
    <x v="0"/>
    <x v="0"/>
    <m/>
    <m/>
    <m/>
    <m/>
    <n v="15"/>
    <n v="15"/>
    <x v="0"/>
    <s v="100.00%"/>
    <s v="DIRECT"/>
    <s v="A1 A4"/>
    <x v="3"/>
    <x v="0"/>
    <x v="0"/>
    <x v="66"/>
    <m/>
    <m/>
    <x v="91"/>
    <d v="2028-12-18T00:00:00"/>
    <s v="Valid"/>
    <s v="A null"/>
    <d v="2052-04-27T00:00:00"/>
    <s v="Valid"/>
    <s v="Eligible"/>
    <s v="Not eligible"/>
  </r>
  <r>
    <n v="117"/>
    <n v="582602"/>
    <x v="116"/>
    <x v="9"/>
    <s v="p427"/>
    <s v="JKTTLF-6"/>
    <x v="7"/>
    <d v="2028-01-21T00:00:00"/>
    <s v="Valid"/>
    <d v="2028-01-21T00:00:00"/>
    <s v="Valid"/>
    <d v="2026-08-19T00:00:00"/>
    <s v="Expiring"/>
    <d v="2028-06-25T00:00:00"/>
    <s v="Valid"/>
    <d v="2028-06-26T00:00:00"/>
    <s v="Valid"/>
    <d v="2028-06-26T00:00:00"/>
    <s v="Valid"/>
    <d v="2028-06-26T00:00:00"/>
    <s v="Valid"/>
    <d v="2028-06-26T00:00:00"/>
    <s v="Valid"/>
    <d v="2028-06-26T00:00:00"/>
    <s v="Valid"/>
    <d v="2024-04-07T00:00:00"/>
    <s v="Valid"/>
    <d v="2021-02-08T00:00:00"/>
    <m/>
    <m/>
    <m/>
    <m/>
    <m/>
    <m/>
    <m/>
    <m/>
    <m/>
    <m/>
    <m/>
    <m/>
    <m/>
    <m/>
    <m/>
    <m/>
    <m/>
    <m/>
    <m/>
    <m/>
    <m/>
    <m/>
    <m/>
    <m/>
    <m/>
    <d v="2023-07-26T00:00:00"/>
    <s v="2022-10-05"/>
    <s v="2017-10-11"/>
    <m/>
    <m/>
    <m/>
    <m/>
    <x v="0"/>
    <x v="0"/>
    <x v="0"/>
    <x v="0"/>
    <m/>
    <m/>
    <m/>
    <m/>
    <n v="12"/>
    <n v="12"/>
    <x v="0"/>
    <s v="100.00%"/>
    <s v="DIRECT"/>
    <s v="A1 A3 A4"/>
    <x v="0"/>
    <x v="0"/>
    <x v="0"/>
    <x v="0"/>
    <m/>
    <m/>
    <x v="92"/>
    <m/>
    <s v="Not Trained"/>
    <s v="A null"/>
    <d v="2046-03-09T00:00:00"/>
    <s v="Valid"/>
    <s v="Not eligible"/>
    <s v="Not eligible"/>
  </r>
  <r>
    <n v="118"/>
    <n v="582706"/>
    <x v="117"/>
    <x v="3"/>
    <s v="p414"/>
    <s v="JKTTLF-6"/>
    <x v="8"/>
    <d v="2028-01-28T00:00:00"/>
    <s v="Valid"/>
    <d v="2028-01-28T00:00:00"/>
    <s v="Valid"/>
    <d v="2027-07-12T00:00:00"/>
    <s v="Valid"/>
    <d v="2028-07-01T00:00:00"/>
    <s v="Valid"/>
    <d v="2028-07-01T00:00:00"/>
    <s v="Valid"/>
    <d v="2028-07-01T00:00:00"/>
    <s v="Valid"/>
    <d v="2028-07-01T00:00:00"/>
    <s v="Valid"/>
    <d v="2028-07-01T00:00:00"/>
    <s v="Valid"/>
    <d v="2027-10-19T00:00:00"/>
    <s v="Valid"/>
    <d v="2024-06-13T00:00:00"/>
    <s v="Valid"/>
    <d v="2019-02-08T00:00:00"/>
    <d v="2025-08-01T00:00:00"/>
    <d v="2024-04-07T00:00:00"/>
    <m/>
    <d v="2025-07-14T00:00:00"/>
    <m/>
    <m/>
    <m/>
    <m/>
    <m/>
    <m/>
    <m/>
    <s v="2018-04-20"/>
    <m/>
    <m/>
    <m/>
    <m/>
    <m/>
    <m/>
    <m/>
    <m/>
    <m/>
    <m/>
    <m/>
    <m/>
    <m/>
    <d v="2026-03-20T00:00:00"/>
    <s v="2022-11-18"/>
    <s v="2024-12-31"/>
    <m/>
    <d v="2014-09-08T00:00:00"/>
    <m/>
    <m/>
    <x v="40"/>
    <x v="4"/>
    <x v="0"/>
    <x v="0"/>
    <m/>
    <m/>
    <m/>
    <m/>
    <n v="15"/>
    <n v="15"/>
    <x v="0"/>
    <s v="86.67%"/>
    <s v="DIRECT"/>
    <s v="A1 A4"/>
    <x v="4"/>
    <x v="0"/>
    <x v="0"/>
    <x v="67"/>
    <m/>
    <m/>
    <x v="93"/>
    <d v="2026-10-29T00:00:00"/>
    <s v="Expiring"/>
    <s v="A null"/>
    <d v="2051-08-05T00:00:00"/>
    <s v="Valid"/>
    <s v="Eligible"/>
    <s v="Not eligible"/>
  </r>
  <r>
    <n v="119"/>
    <n v="583743"/>
    <x v="118"/>
    <x v="5"/>
    <s v="p422"/>
    <s v="JKTTLF-6"/>
    <x v="8"/>
    <d v="2028-02-22T00:00:00"/>
    <s v="Valid"/>
    <d v="2028-02-22T00:00:00"/>
    <s v="Valid"/>
    <d v="2027-07-16T00:00:00"/>
    <s v="Valid"/>
    <d v="2027-07-16T00:00:00"/>
    <s v="Valid"/>
    <d v="2027-07-16T00:00:00"/>
    <s v="Valid"/>
    <d v="2027-07-16T00:00:00"/>
    <s v="Valid"/>
    <d v="2027-07-16T00:00:00"/>
    <s v="Valid"/>
    <d v="2027-07-16T00:00:00"/>
    <s v="Valid"/>
    <d v="2027-07-16T00:00:00"/>
    <s v="Valid"/>
    <d v="2023-07-22T00:00:00"/>
    <s v="Valid"/>
    <d v="2024-02-04T00:00:00"/>
    <d v="2026-08-27T00:00:00"/>
    <d v="2024-03-20T00:00:00"/>
    <d v="2025-08-19T00:00:00"/>
    <m/>
    <d v="2024-01-16T00:00:00"/>
    <m/>
    <m/>
    <m/>
    <m/>
    <m/>
    <m/>
    <m/>
    <m/>
    <m/>
    <m/>
    <m/>
    <m/>
    <m/>
    <m/>
    <m/>
    <m/>
    <m/>
    <m/>
    <m/>
    <m/>
    <d v="2025-09-22T00:00:00"/>
    <s v="2022-08-31"/>
    <d v="2025-06-13T00:00:00"/>
    <m/>
    <d v="2017-09-05T00:00:00"/>
    <m/>
    <m/>
    <x v="59"/>
    <x v="3"/>
    <x v="0"/>
    <x v="0"/>
    <m/>
    <m/>
    <m/>
    <m/>
    <n v="15"/>
    <n v="15"/>
    <x v="0"/>
    <s v="92.31%"/>
    <s v="DIRECT"/>
    <s v="C1 C2 C4"/>
    <x v="3"/>
    <x v="0"/>
    <x v="0"/>
    <x v="68"/>
    <m/>
    <m/>
    <x v="94"/>
    <d v="2027-08-19T00:00:00"/>
    <s v="Valid"/>
    <s v="A null"/>
    <d v="2056-04-23T00:00:00"/>
    <s v="Valid"/>
    <s v="Eligible"/>
    <s v="Not eligible"/>
  </r>
  <r>
    <n v="120"/>
    <n v="533476"/>
    <x v="119"/>
    <x v="11"/>
    <s v="p413"/>
    <s v="JKTTLF-6"/>
    <x v="8"/>
    <d v="2028-02-18T00:00:00"/>
    <s v="Valid"/>
    <d v="2028-02-18T00:00:00"/>
    <s v="Valid"/>
    <d v="2026-09-10T00:00:00"/>
    <s v="Expiring"/>
    <d v="2026-09-10T00:00:00"/>
    <s v="Expiring"/>
    <d v="2026-09-10T00:00:00"/>
    <s v="Expiring"/>
    <d v="2026-09-10T00:00:00"/>
    <s v="Expiring"/>
    <d v="2026-09-10T00:00:00"/>
    <s v="Expiring"/>
    <d v="2026-09-10T00:00:00"/>
    <s v="Expiring"/>
    <d v="2026-09-10T00:00:00"/>
    <s v="Expiring"/>
    <d v="2024-09-29T00:00:00"/>
    <s v="Valid"/>
    <d v="2011-10-27T00:00:00"/>
    <d v="2019-05-08T00:00:00"/>
    <d v="2018-08-10T00:00:00"/>
    <d v="2021-03-14T00:00:00"/>
    <d v="2024-11-10T00:00:00"/>
    <d v="2025-02-11T00:00:00"/>
    <m/>
    <m/>
    <m/>
    <m/>
    <m/>
    <m/>
    <m/>
    <m/>
    <m/>
    <m/>
    <m/>
    <m/>
    <m/>
    <m/>
    <m/>
    <m/>
    <m/>
    <m/>
    <m/>
    <m/>
    <d v="2025-08-25T00:00:00"/>
    <s v="2011-12-02"/>
    <s v="2024-12-29"/>
    <m/>
    <m/>
    <m/>
    <m/>
    <x v="63"/>
    <x v="2"/>
    <x v="3"/>
    <x v="3"/>
    <m/>
    <s v="2023-03-20"/>
    <m/>
    <m/>
    <n v="17"/>
    <n v="17"/>
    <x v="0"/>
    <s v="93.33%"/>
    <s v="DIRECT"/>
    <s v="A1 A4"/>
    <x v="2"/>
    <x v="3"/>
    <x v="1"/>
    <x v="69"/>
    <n v="3"/>
    <s v="12965"/>
    <x v="95"/>
    <d v="2028-10-21T00:00:00"/>
    <s v="Valid"/>
    <s v="A null"/>
    <d v="2047-01-14T00:00:00"/>
    <s v="Valid"/>
    <s v="Eligible"/>
    <s v="Eligible"/>
  </r>
  <r>
    <n v="121"/>
    <n v="581763"/>
    <x v="120"/>
    <x v="5"/>
    <s v="p422"/>
    <s v="JKTTLF-6"/>
    <x v="8"/>
    <d v="2028-02-22T00:00:00"/>
    <s v="Valid"/>
    <d v="2028-02-22T00:00:00"/>
    <s v="Valid"/>
    <d v="2028-03-04T00:00:00"/>
    <s v="Valid"/>
    <d v="2028-03-04T00:00:00"/>
    <s v="Valid"/>
    <d v="2028-03-04T00:00:00"/>
    <s v="Valid"/>
    <d v="2028-03-04T00:00:00"/>
    <s v="Valid"/>
    <d v="2028-03-04T00:00:00"/>
    <s v="Valid"/>
    <d v="2028-03-04T00:00:00"/>
    <s v="Valid"/>
    <d v="2028-03-04T00:00:00"/>
    <s v="Valid"/>
    <d v="2024-05-14T00:00:00"/>
    <s v="Valid"/>
    <d v="2023-07-09T00:00:00"/>
    <d v="2024-06-28T00:00:00"/>
    <d v="2022-02-25T00:00:00"/>
    <d v="2023-03-30T00:00:00"/>
    <d v="2018-04-05T00:00:00"/>
    <m/>
    <m/>
    <m/>
    <m/>
    <m/>
    <m/>
    <m/>
    <m/>
    <m/>
    <m/>
    <m/>
    <m/>
    <m/>
    <m/>
    <m/>
    <m/>
    <m/>
    <m/>
    <m/>
    <m/>
    <m/>
    <d v="2026-08-28T00:00:00"/>
    <s v="2022-01-19"/>
    <s v="2018-04-11"/>
    <m/>
    <m/>
    <m/>
    <m/>
    <x v="64"/>
    <x v="1"/>
    <x v="2"/>
    <x v="0"/>
    <m/>
    <m/>
    <m/>
    <m/>
    <n v="15"/>
    <n v="15"/>
    <x v="0"/>
    <s v="100.00%"/>
    <s v="DIRECT"/>
    <s v="A1 A3 A4"/>
    <x v="1"/>
    <x v="2"/>
    <x v="0"/>
    <x v="70"/>
    <m/>
    <m/>
    <x v="96"/>
    <d v="2028-11-21T00:00:00"/>
    <s v="Valid"/>
    <s v="A null"/>
    <d v="2051-09-21T00:00:00"/>
    <s v="Valid"/>
    <s v="Eligible"/>
    <s v="Eligible"/>
  </r>
  <r>
    <n v="122"/>
    <n v="533482"/>
    <x v="121"/>
    <x v="3"/>
    <s v="p414"/>
    <s v="JKTTLF-6"/>
    <x v="8"/>
    <d v="2028-02-25T00:00:00"/>
    <s v="Valid"/>
    <d v="2028-02-25T00:00:00"/>
    <s v="Valid"/>
    <d v="2028-05-20T00:00:00"/>
    <s v="Valid"/>
    <d v="2028-05-06T00:00:00"/>
    <s v="Valid"/>
    <d v="2028-05-06T00:00:00"/>
    <s v="Valid"/>
    <d v="2028-05-06T00:00:00"/>
    <s v="Valid"/>
    <d v="2028-05-06T00:00:00"/>
    <s v="Valid"/>
    <d v="2028-05-20T00:00:00"/>
    <s v="Valid"/>
    <d v="2027-09-16T00:00:00"/>
    <s v="Valid"/>
    <d v="2024-04-24T00:00:00"/>
    <s v="Valid"/>
    <d v="2011-10-27T00:00:00"/>
    <d v="2023-04-07T00:00:00"/>
    <d v="2020-02-21T00:00:00"/>
    <m/>
    <d v="2025-08-12T00:00:00"/>
    <d v="2026-03-10T00:00:00"/>
    <m/>
    <m/>
    <m/>
    <m/>
    <m/>
    <m/>
    <m/>
    <m/>
    <m/>
    <m/>
    <m/>
    <m/>
    <s v="2024-03-08"/>
    <m/>
    <m/>
    <m/>
    <m/>
    <m/>
    <m/>
    <m/>
    <d v="2026-08-21T00:00:00"/>
    <s v="2011-12-02"/>
    <s v="2025-01-25"/>
    <m/>
    <m/>
    <m/>
    <m/>
    <x v="65"/>
    <x v="1"/>
    <x v="2"/>
    <x v="0"/>
    <m/>
    <m/>
    <m/>
    <m/>
    <n v="15"/>
    <n v="15"/>
    <x v="0"/>
    <s v="86.67%"/>
    <s v="DIRECT"/>
    <s v="A1 A4"/>
    <x v="1"/>
    <x v="2"/>
    <x v="0"/>
    <x v="71"/>
    <n v="2"/>
    <m/>
    <x v="97"/>
    <d v="2028-03-05T00:00:00"/>
    <s v="Valid"/>
    <s v="A null"/>
    <d v="2047-12-18T00:00:00"/>
    <s v="Valid"/>
    <s v="Eligible"/>
    <s v="Eligible"/>
  </r>
  <r>
    <n v="123"/>
    <n v="582608"/>
    <x v="122"/>
    <x v="5"/>
    <s v="p422"/>
    <s v="JKTTLF-6"/>
    <x v="8"/>
    <d v="2028-02-25T00:00:00"/>
    <s v="Valid"/>
    <d v="2028-02-25T00:00:00"/>
    <s v="Valid"/>
    <d v="2028-05-20T00:00:00"/>
    <s v="Valid"/>
    <d v="2028-05-20T00:00:00"/>
    <s v="Valid"/>
    <d v="2028-05-20T00:00:00"/>
    <s v="Valid"/>
    <d v="2028-05-20T00:00:00"/>
    <s v="Valid"/>
    <d v="2028-05-20T00:00:00"/>
    <s v="Valid"/>
    <d v="2028-05-20T00:00:00"/>
    <s v="Valid"/>
    <d v="2028-05-20T00:00:00"/>
    <s v="Valid"/>
    <d v="2024-05-31T00:00:00"/>
    <s v="Valid"/>
    <d v="2021-04-24T00:00:00"/>
    <d v="2020-10-12T00:00:00"/>
    <d v="2020-02-20T00:00:00"/>
    <d v="2023-06-19T00:00:00"/>
    <d v="2025-10-13T00:00:00"/>
    <m/>
    <m/>
    <m/>
    <m/>
    <m/>
    <m/>
    <m/>
    <m/>
    <m/>
    <m/>
    <m/>
    <m/>
    <m/>
    <m/>
    <m/>
    <m/>
    <m/>
    <m/>
    <m/>
    <m/>
    <m/>
    <d v="2026-01-17T00:00:00"/>
    <s v="2017-10-26"/>
    <s v="2017-12-07"/>
    <m/>
    <m/>
    <m/>
    <m/>
    <x v="52"/>
    <x v="1"/>
    <x v="2"/>
    <x v="0"/>
    <m/>
    <m/>
    <m/>
    <m/>
    <n v="15"/>
    <n v="15"/>
    <x v="0"/>
    <s v="100.00%"/>
    <s v="DIRECT"/>
    <s v="A1 A4"/>
    <x v="1"/>
    <x v="2"/>
    <x v="0"/>
    <x v="72"/>
    <m/>
    <m/>
    <x v="98"/>
    <d v="2026-10-21T00:00:00"/>
    <s v="Expiring"/>
    <s v="A null"/>
    <d v="2050-04-06T00:00:00"/>
    <s v="Valid"/>
    <s v="Eligible"/>
    <s v="Eligible"/>
  </r>
  <r>
    <n v="124"/>
    <n v="581769"/>
    <x v="123"/>
    <x v="4"/>
    <s v="p414"/>
    <s v="JKTTLF-6"/>
    <x v="3"/>
    <d v="2028-03-08T00:00:00"/>
    <s v="Valid"/>
    <d v="2028-03-08T00:00:00"/>
    <s v="Valid"/>
    <d v="2027-02-28T00:00:00"/>
    <s v="Valid"/>
    <d v="2027-02-28T00:00:00"/>
    <s v="Valid"/>
    <d v="2027-02-28T00:00:00"/>
    <s v="Valid"/>
    <d v="2027-02-28T00:00:00"/>
    <s v="Valid"/>
    <d v="2027-02-28T00:00:00"/>
    <s v="Valid"/>
    <d v="2027-02-28T00:00:00"/>
    <s v="Valid"/>
    <d v="2027-06-11T00:00:00"/>
    <s v="Valid"/>
    <d v="2022-05-09T00:00:00"/>
    <s v="Valid"/>
    <d v="2020-02-26T00:00:00"/>
    <d v="2020-07-02T00:00:00"/>
    <d v="2020-07-13T00:00:00"/>
    <d v="2024-03-04T00:00:00"/>
    <d v="2023-03-03T00:00:00"/>
    <d v="2023-03-15T00:00:00"/>
    <m/>
    <m/>
    <m/>
    <m/>
    <m/>
    <m/>
    <m/>
    <m/>
    <m/>
    <m/>
    <m/>
    <m/>
    <s v="2023-11-10"/>
    <m/>
    <m/>
    <m/>
    <m/>
    <m/>
    <m/>
    <m/>
    <d v="2026-05-02T00:00:00"/>
    <m/>
    <s v="2024-12-30"/>
    <m/>
    <m/>
    <m/>
    <m/>
    <x v="53"/>
    <x v="6"/>
    <x v="7"/>
    <x v="4"/>
    <s v="2021-04-22"/>
    <m/>
    <m/>
    <m/>
    <n v="9"/>
    <n v="9"/>
    <x v="0"/>
    <s v="93.33%"/>
    <s v="DIRECT"/>
    <s v="A1 A4"/>
    <x v="6"/>
    <x v="9"/>
    <x v="0"/>
    <x v="73"/>
    <n v="2"/>
    <m/>
    <x v="99"/>
    <d v="2029-05-13T00:00:00"/>
    <s v="Valid"/>
    <s v="A null"/>
    <d v="2051-07-13T00:00:00"/>
    <s v="Valid"/>
    <s v="Eligible"/>
    <s v="Eligible"/>
  </r>
  <r>
    <n v="125"/>
    <n v="584036"/>
    <x v="124"/>
    <x v="5"/>
    <s v="p422"/>
    <s v="JKTTLF-6"/>
    <x v="8"/>
    <d v="2028-04-12T00:00:00"/>
    <s v="Valid"/>
    <d v="2028-04-12T00:00:00"/>
    <s v="Valid"/>
    <d v="2028-07-03T00:00:00"/>
    <s v="Valid"/>
    <d v="2028-07-03T00:00:00"/>
    <s v="Valid"/>
    <d v="2028-07-03T00:00:00"/>
    <s v="Valid"/>
    <d v="2028-07-03T00:00:00"/>
    <s v="Valid"/>
    <d v="2028-07-03T00:00:00"/>
    <s v="Valid"/>
    <d v="2026-10-07T00:00:00"/>
    <s v="Expiring"/>
    <d v="2028-07-03T00:00:00"/>
    <s v="Valid"/>
    <d v="2026-07-19T00:00:00"/>
    <s v="Valid"/>
    <d v="2025-09-29T00:00:00"/>
    <m/>
    <m/>
    <m/>
    <m/>
    <m/>
    <m/>
    <m/>
    <m/>
    <m/>
    <m/>
    <m/>
    <m/>
    <m/>
    <m/>
    <m/>
    <m/>
    <m/>
    <m/>
    <m/>
    <m/>
    <m/>
    <m/>
    <m/>
    <m/>
    <m/>
    <d v="2027-02-26T00:00:00"/>
    <m/>
    <s v="2024-08-06"/>
    <m/>
    <m/>
    <m/>
    <m/>
    <x v="66"/>
    <x v="4"/>
    <x v="0"/>
    <x v="0"/>
    <s v="2024-12-05"/>
    <m/>
    <m/>
    <m/>
    <n v="15"/>
    <n v="14"/>
    <x v="1"/>
    <s v="84.62%"/>
    <s v="DIRECT"/>
    <m/>
    <x v="0"/>
    <x v="0"/>
    <x v="0"/>
    <x v="0"/>
    <m/>
    <m/>
    <x v="100"/>
    <m/>
    <s v="Not Trained"/>
    <s v="A null"/>
    <d v="2057-09-02T00:00:00"/>
    <s v="Valid"/>
    <s v="Not eligible"/>
    <s v="Not eligible"/>
  </r>
  <r>
    <n v="126"/>
    <n v="584034"/>
    <x v="125"/>
    <x v="5"/>
    <s v="p422"/>
    <s v="JKTTLF-6"/>
    <x v="8"/>
    <d v="2028-04-12T00:00:00"/>
    <s v="Valid"/>
    <d v="2028-04-12T00:00:00"/>
    <s v="Valid"/>
    <d v="2026-09-06T00:00:00"/>
    <s v="Expiring"/>
    <d v="2026-08-08T00:00:00"/>
    <s v="Expiring"/>
    <d v="2026-08-08T00:00:00"/>
    <s v="Expiring"/>
    <d v="2026-08-08T00:00:00"/>
    <s v="Expiring"/>
    <d v="2026-08-09T00:00:00"/>
    <s v="Expiring"/>
    <d v="2026-10-07T00:00:00"/>
    <s v="Expiring"/>
    <d v="2026-10-25T00:00:00"/>
    <s v="Expiring"/>
    <d v="2026-07-19T00:00:00"/>
    <s v="Valid"/>
    <d v="2025-09-29T00:00:00"/>
    <d v="2026-04-20T00:00:00"/>
    <d v="2026-06-08T00:00:00"/>
    <m/>
    <m/>
    <m/>
    <m/>
    <m/>
    <m/>
    <m/>
    <m/>
    <m/>
    <m/>
    <m/>
    <m/>
    <m/>
    <m/>
    <m/>
    <m/>
    <m/>
    <m/>
    <m/>
    <m/>
    <m/>
    <m/>
    <m/>
    <d v="2025-06-10T00:00:00"/>
    <m/>
    <s v="2024-08-06"/>
    <m/>
    <m/>
    <m/>
    <m/>
    <x v="66"/>
    <x v="4"/>
    <x v="0"/>
    <x v="0"/>
    <s v="2024-12-05"/>
    <m/>
    <m/>
    <m/>
    <n v="15"/>
    <n v="15"/>
    <x v="0"/>
    <s v="76.92%"/>
    <s v="DIRECT"/>
    <m/>
    <x v="0"/>
    <x v="0"/>
    <x v="0"/>
    <x v="0"/>
    <m/>
    <m/>
    <x v="101"/>
    <m/>
    <s v="Not Trained"/>
    <s v="A null"/>
    <d v="2056-07-29T00:00:00"/>
    <s v="Valid"/>
    <s v="Not eligible"/>
    <s v="Not eligible"/>
  </r>
  <r>
    <n v="127"/>
    <n v="583620"/>
    <x v="126"/>
    <x v="5"/>
    <s v="p422"/>
    <s v="JKTTLF-6"/>
    <x v="8"/>
    <d v="2028-04-19T00:00:00"/>
    <s v="Valid"/>
    <d v="2028-04-19T00:00:00"/>
    <s v="Valid"/>
    <d v="2027-07-07T00:00:00"/>
    <s v="Valid"/>
    <d v="2026-09-27T00:00:00"/>
    <s v="Expiring"/>
    <d v="2027-07-07T00:00:00"/>
    <s v="Valid"/>
    <d v="2026-09-27T00:00:00"/>
    <s v="Expiring"/>
    <d v="2026-09-27T00:00:00"/>
    <s v="Expiring"/>
    <d v="2026-09-27T00:00:00"/>
    <s v="Expiring"/>
    <d v="2027-09-05T00:00:00"/>
    <s v="Valid"/>
    <d v="2024-09-15T00:00:00"/>
    <s v="Valid"/>
    <d v="2022-09-25T00:00:00"/>
    <d v="2025-07-07T00:00:00"/>
    <d v="2025-05-26T00:00:00"/>
    <m/>
    <d v="2023-03-15T00:00:00"/>
    <m/>
    <m/>
    <m/>
    <m/>
    <m/>
    <m/>
    <m/>
    <m/>
    <m/>
    <m/>
    <m/>
    <m/>
    <m/>
    <m/>
    <m/>
    <m/>
    <m/>
    <m/>
    <m/>
    <m/>
    <m/>
    <d v="2025-04-14T00:00:00"/>
    <s v="2022-10-19"/>
    <s v="2020-07-01"/>
    <m/>
    <m/>
    <m/>
    <m/>
    <x v="67"/>
    <x v="2"/>
    <x v="0"/>
    <x v="0"/>
    <m/>
    <m/>
    <m/>
    <m/>
    <n v="15"/>
    <n v="15"/>
    <x v="0"/>
    <s v="84.62%"/>
    <s v="DIRECT"/>
    <s v="A1 A4"/>
    <x v="0"/>
    <x v="0"/>
    <x v="0"/>
    <x v="0"/>
    <m/>
    <m/>
    <x v="102"/>
    <m/>
    <s v="Not Trained"/>
    <s v="A null"/>
    <d v="2054-08-02T00:00:00"/>
    <s v="Valid"/>
    <s v="Not eligible"/>
    <s v="Not eligible"/>
  </r>
  <r>
    <n v="128"/>
    <n v="581767"/>
    <x v="127"/>
    <x v="5"/>
    <s v="p422"/>
    <s v="JKTTLF-6"/>
    <x v="8"/>
    <d v="2028-05-20T00:00:00"/>
    <s v="Valid"/>
    <d v="2028-05-20T00:00:00"/>
    <s v="Valid"/>
    <d v="2026-08-16T00:00:00"/>
    <s v="Expiring"/>
    <d v="2026-08-16T00:00:00"/>
    <s v="Expiring"/>
    <d v="2026-08-16T00:00:00"/>
    <s v="Expiring"/>
    <d v="2026-08-16T00:00:00"/>
    <s v="Expiring"/>
    <d v="2026-08-16T00:00:00"/>
    <s v="Expiring"/>
    <d v="2026-08-16T00:00:00"/>
    <s v="Expiring"/>
    <d v="2026-08-16T00:00:00"/>
    <s v="Expiring"/>
    <d v="2024-08-16T00:00:00"/>
    <s v="Valid"/>
    <d v="2023-04-28T00:00:00"/>
    <d v="2024-09-13T00:00:00"/>
    <d v="2021-09-17T00:00:00"/>
    <m/>
    <d v="2018-02-28T00:00:00"/>
    <m/>
    <m/>
    <m/>
    <m/>
    <m/>
    <m/>
    <m/>
    <m/>
    <m/>
    <m/>
    <m/>
    <m/>
    <m/>
    <m/>
    <m/>
    <m/>
    <m/>
    <m/>
    <m/>
    <m/>
    <m/>
    <d v="2027-03-19T00:00:00"/>
    <s v="2018-11-09"/>
    <s v="2025-01-02"/>
    <m/>
    <m/>
    <m/>
    <m/>
    <x v="24"/>
    <x v="3"/>
    <x v="0"/>
    <x v="0"/>
    <m/>
    <m/>
    <m/>
    <m/>
    <n v="15"/>
    <n v="15"/>
    <x v="0"/>
    <s v="100.00%"/>
    <s v="DIRECT"/>
    <s v="A1 A4"/>
    <x v="3"/>
    <x v="0"/>
    <x v="0"/>
    <x v="74"/>
    <m/>
    <m/>
    <x v="103"/>
    <d v="2029-01-19T00:00:00"/>
    <s v="Valid"/>
    <s v="A null"/>
    <d v="2050-12-31T00:00:00"/>
    <s v="Valid"/>
    <s v="Eligible"/>
    <s v="Not eligible"/>
  </r>
  <r>
    <n v="129"/>
    <n v="582597"/>
    <x v="128"/>
    <x v="7"/>
    <s v="p427"/>
    <s v="JKTTLF-6"/>
    <x v="8"/>
    <d v="2028-06-24T00:00:00"/>
    <s v="Valid"/>
    <d v="2028-06-24T00:00:00"/>
    <s v="Valid"/>
    <d v="2026-08-16T00:00:00"/>
    <s v="Expiring"/>
    <d v="2026-08-16T00:00:00"/>
    <s v="Expiring"/>
    <d v="2026-08-16T00:00:00"/>
    <s v="Expiring"/>
    <d v="2026-08-16T00:00:00"/>
    <s v="Expiring"/>
    <d v="2026-08-16T00:00:00"/>
    <s v="Expiring"/>
    <d v="2026-08-16T00:00:00"/>
    <s v="Expiring"/>
    <d v="2027-08-15T00:00:00"/>
    <s v="Valid"/>
    <d v="2024-08-16T00:00:00"/>
    <s v="Valid"/>
    <d v="2022-02-26T00:00:00"/>
    <d v="2022-06-28T00:00:00"/>
    <d v="2023-08-16T00:00:00"/>
    <d v="2024-02-16T00:00:00"/>
    <m/>
    <m/>
    <m/>
    <m/>
    <m/>
    <m/>
    <m/>
    <m/>
    <m/>
    <m/>
    <m/>
    <m/>
    <m/>
    <m/>
    <m/>
    <m/>
    <m/>
    <m/>
    <m/>
    <m/>
    <m/>
    <m/>
    <d v="2024-11-20T00:00:00"/>
    <s v="2022-11-18"/>
    <s v="2017-10-11"/>
    <m/>
    <m/>
    <m/>
    <m/>
    <x v="47"/>
    <x v="1"/>
    <x v="2"/>
    <x v="0"/>
    <m/>
    <m/>
    <m/>
    <m/>
    <n v="13"/>
    <n v="13"/>
    <x v="0"/>
    <s v="100.00%"/>
    <s v="DIRECT"/>
    <s v="A1 A4"/>
    <x v="1"/>
    <x v="0"/>
    <x v="0"/>
    <x v="75"/>
    <m/>
    <m/>
    <x v="104"/>
    <d v="2026-11-13T00:00:00"/>
    <s v="Valid"/>
    <s v="A null"/>
    <d v="2051-09-02T00:00:00"/>
    <e v="#REF!"/>
    <s v="Eligible"/>
    <s v="Not eligible"/>
  </r>
  <r>
    <n v="130"/>
    <n v="783293"/>
    <x v="129"/>
    <x v="13"/>
    <s v="p427"/>
    <s v="JKTTLF-6"/>
    <x v="8"/>
    <d v="2028-02-05T00:00:00"/>
    <s v="Valid"/>
    <d v="2028-02-17T00:00:00"/>
    <s v="Valid"/>
    <d v="2024-09-30T00:00:00"/>
    <s v="Valid"/>
    <m/>
    <m/>
    <m/>
    <m/>
    <m/>
    <m/>
    <m/>
    <m/>
    <m/>
    <m/>
    <m/>
    <m/>
    <m/>
    <m/>
    <d v="2026-10-07T00:00:00"/>
    <m/>
    <m/>
    <m/>
    <m/>
    <m/>
    <m/>
    <m/>
    <m/>
    <m/>
    <m/>
    <m/>
    <m/>
    <m/>
    <m/>
    <m/>
    <m/>
    <m/>
    <m/>
    <m/>
    <m/>
    <m/>
    <m/>
    <m/>
    <m/>
    <m/>
    <d v="2026-04-13T00:00:00"/>
    <m/>
    <s v="2024-11-26"/>
    <m/>
    <m/>
    <m/>
    <m/>
    <x v="0"/>
    <x v="0"/>
    <x v="0"/>
    <x v="0"/>
    <m/>
    <m/>
    <m/>
    <d v="2024-09-30T00:00:00"/>
    <n v="3"/>
    <n v="3"/>
    <x v="0"/>
    <s v="18.18%"/>
    <s v="DIRECT"/>
    <m/>
    <x v="0"/>
    <x v="0"/>
    <x v="0"/>
    <x v="0"/>
    <m/>
    <m/>
    <x v="0"/>
    <m/>
    <s v="Not Trained"/>
    <s v="A null"/>
    <m/>
    <e v="#REF!"/>
    <s v="Not eligible"/>
    <s v="Not eligible"/>
  </r>
  <r>
    <n v="131"/>
    <n v="533511"/>
    <x v="130"/>
    <x v="3"/>
    <s v="p414"/>
    <s v="JKTTLF-6"/>
    <x v="8"/>
    <d v="2026-11-07T00:00:00"/>
    <s v="Valid"/>
    <d v="2026-11-07T00:00:00"/>
    <s v="Valid"/>
    <d v="2027-01-22T00:00:00"/>
    <s v="Valid"/>
    <d v="2027-07-07T00:00:00"/>
    <s v="Valid"/>
    <d v="2027-01-22T00:00:00"/>
    <s v="Valid"/>
    <d v="2027-01-22T00:00:00"/>
    <s v="Valid"/>
    <d v="2027-01-22T00:00:00"/>
    <s v="Valid"/>
    <d v="2027-01-22T00:00:00"/>
    <s v="Valid"/>
    <d v="2027-01-22T00:00:00"/>
    <s v="Valid"/>
    <d v="2023-01-22T00:00:00"/>
    <s v="Valid"/>
    <d v="2011-11-09T00:00:00"/>
    <d v="2019-04-07T00:00:00"/>
    <d v="2019-02-08T00:00:00"/>
    <d v="2018-02-03T00:00:00"/>
    <d v="2023-01-20T00:00:00"/>
    <d v="2023-02-14T00:00:00"/>
    <m/>
    <m/>
    <m/>
    <m/>
    <m/>
    <m/>
    <m/>
    <m/>
    <m/>
    <m/>
    <m/>
    <m/>
    <m/>
    <m/>
    <m/>
    <m/>
    <m/>
    <m/>
    <m/>
    <m/>
    <d v="2026-07-17T00:00:00"/>
    <s v="2011-09-12"/>
    <s v="2024-12-30"/>
    <m/>
    <m/>
    <m/>
    <m/>
    <x v="33"/>
    <x v="2"/>
    <x v="3"/>
    <x v="0"/>
    <m/>
    <m/>
    <m/>
    <m/>
    <n v="15"/>
    <n v="15"/>
    <x v="0"/>
    <s v="100.00%"/>
    <s v="DIRECT"/>
    <s v="C1 C2 C4"/>
    <x v="2"/>
    <x v="0"/>
    <x v="0"/>
    <x v="76"/>
    <n v="1"/>
    <m/>
    <x v="105"/>
    <d v="2028-08-23T00:00:00"/>
    <s v="Valid"/>
    <s v="A null"/>
    <d v="2047-05-10T00:00:00"/>
    <s v="Not Trained"/>
    <s v="Eligible"/>
    <s v="Not eligible"/>
  </r>
  <r>
    <n v="132"/>
    <n v="783400"/>
    <x v="131"/>
    <x v="8"/>
    <s v="p427"/>
    <s v="JKTTLF-6"/>
    <x v="8"/>
    <d v="2027-01-07T00:00:00"/>
    <s v="Valid"/>
    <d v="2027-01-03T00:00:00"/>
    <s v="Valid"/>
    <d v="2025-01-03T00:00:00"/>
    <s v="Valid"/>
    <m/>
    <m/>
    <m/>
    <m/>
    <m/>
    <m/>
    <m/>
    <m/>
    <m/>
    <m/>
    <m/>
    <m/>
    <m/>
    <m/>
    <d v="2027-01-10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5-01-03T00:00:00"/>
    <n v="3"/>
    <n v="3"/>
    <x v="0"/>
    <s v="18.18%"/>
    <s v="DIRECT"/>
    <s v="C1 C2 C4"/>
    <x v="0"/>
    <x v="0"/>
    <x v="0"/>
    <x v="0"/>
    <m/>
    <m/>
    <x v="0"/>
    <m/>
    <s v="Not Trained"/>
    <s v="A null"/>
    <m/>
    <s v="Valid"/>
    <s v="Not eligible"/>
    <s v="Not eligible"/>
  </r>
  <r>
    <n v="133"/>
    <n v="783026"/>
    <x v="132"/>
    <x v="8"/>
    <s v="p428"/>
    <s v="JKTTLF-6"/>
    <x v="8"/>
    <d v="2027-09-09T00:00:00"/>
    <s v="Valid"/>
    <d v="2027-07-10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34"/>
    <n v="529186"/>
    <x v="133"/>
    <x v="6"/>
    <s v="p404"/>
    <s v="JKTTLF-6"/>
    <x v="8"/>
    <d v="2027-02-10T00:00:00"/>
    <s v="Valid"/>
    <d v="2027-02-10T00:00:00"/>
    <s v="Valid"/>
    <d v="2027-02-23T00:00:00"/>
    <s v="Valid"/>
    <d v="2027-02-23T00:00:00"/>
    <s v="Valid"/>
    <d v="2027-02-23T00:00:00"/>
    <s v="Valid"/>
    <d v="2027-02-23T00:00:00"/>
    <s v="Valid"/>
    <d v="2027-02-23T00:00:00"/>
    <s v="Valid"/>
    <d v="2027-02-23T00:00:00"/>
    <s v="Valid"/>
    <d v="2027-02-23T00:00:00"/>
    <s v="Valid"/>
    <d v="2021-02-15T00:00:00"/>
    <s v="Valid"/>
    <d v="2012-03-30T00:00:00"/>
    <d v="2005-06-10T00:00:00"/>
    <d v="2015-02-18T00:00:00"/>
    <d v="2015-07-01T00:00:00"/>
    <m/>
    <d v="2014-03-18T00:00:00"/>
    <m/>
    <m/>
    <m/>
    <m/>
    <m/>
    <m/>
    <m/>
    <m/>
    <d v="2025-10-01T00:00:00"/>
    <d v="2018-11-04T00:00:00"/>
    <d v="2019-09-14T00:00:00"/>
    <d v="2019-02-20T00:00:00"/>
    <m/>
    <m/>
    <m/>
    <m/>
    <m/>
    <m/>
    <m/>
    <m/>
    <m/>
    <s v="2010-07-29"/>
    <s v="1993-09-14"/>
    <m/>
    <m/>
    <m/>
    <m/>
    <x v="68"/>
    <x v="1"/>
    <x v="2"/>
    <x v="0"/>
    <m/>
    <m/>
    <m/>
    <m/>
    <n v="14"/>
    <n v="14"/>
    <x v="0"/>
    <s v="100.00%"/>
    <s v="INDIRECT"/>
    <s v="C1 C2 C4"/>
    <x v="1"/>
    <x v="2"/>
    <x v="0"/>
    <x v="77"/>
    <m/>
    <m/>
    <x v="106"/>
    <d v="2028-03-23T00:00:00"/>
    <s v="Valid"/>
    <s v="A null"/>
    <d v="2028-03-23T00:00:00"/>
    <s v="Not Trained"/>
    <s v="Eligible"/>
    <s v="Eligible"/>
  </r>
  <r>
    <n v="135"/>
    <n v="582607"/>
    <x v="134"/>
    <x v="5"/>
    <s v="p422"/>
    <s v="JKTTLF-6"/>
    <x v="8"/>
    <d v="2027-02-20T00:00:00"/>
    <s v="Valid"/>
    <d v="2027-02-20T00:00:00"/>
    <s v="Valid"/>
    <d v="2026-08-15T00:00:00"/>
    <s v="Expiring"/>
    <d v="2026-08-15T00:00:00"/>
    <s v="Expiring"/>
    <d v="2026-08-15T00:00:00"/>
    <s v="Expiring"/>
    <d v="2026-08-15T00:00:00"/>
    <s v="Expiring"/>
    <d v="2026-08-15T00:00:00"/>
    <s v="Expiring"/>
    <d v="2026-08-15T00:00:00"/>
    <s v="Expiring"/>
    <d v="2026-08-15T00:00:00"/>
    <s v="Expiring"/>
    <d v="2024-10-09T00:00:00"/>
    <s v="Valid"/>
    <d v="2023-07-09T00:00:00"/>
    <d v="2020-05-18T00:00:00"/>
    <d v="2021-01-20T00:00:00"/>
    <m/>
    <d v="2022-09-21T00:00:00"/>
    <m/>
    <m/>
    <m/>
    <m/>
    <m/>
    <m/>
    <m/>
    <m/>
    <m/>
    <m/>
    <m/>
    <m/>
    <m/>
    <m/>
    <m/>
    <m/>
    <m/>
    <m/>
    <m/>
    <m/>
    <m/>
    <d v="2026-02-21T00:00:00"/>
    <s v="2022-10-05"/>
    <s v="2017-12-07"/>
    <m/>
    <m/>
    <m/>
    <m/>
    <x v="60"/>
    <x v="3"/>
    <x v="0"/>
    <x v="0"/>
    <m/>
    <s v="2025-01-10"/>
    <m/>
    <m/>
    <n v="15"/>
    <n v="15"/>
    <x v="0"/>
    <s v="100.00%"/>
    <s v="DIRECT"/>
    <s v="A1 A4"/>
    <x v="3"/>
    <x v="0"/>
    <x v="0"/>
    <x v="78"/>
    <m/>
    <m/>
    <x v="107"/>
    <d v="2027-09-27T00:00:00"/>
    <s v="Valid"/>
    <s v="A null"/>
    <d v="2051-04-07T00:00:00"/>
    <s v="Valid"/>
    <s v="Eligible"/>
    <s v="Not eligible"/>
  </r>
  <r>
    <n v="136"/>
    <n v="783027"/>
    <x v="135"/>
    <x v="8"/>
    <s v="p428"/>
    <s v="JKTTLF-6"/>
    <x v="8"/>
    <d v="2027-09-09T00:00:00"/>
    <s v="Valid"/>
    <d v="2027-07-10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137"/>
    <n v="783028"/>
    <x v="136"/>
    <x v="8"/>
    <s v="p428"/>
    <s v="JKTTLF-6"/>
    <x v="8"/>
    <d v="2027-09-09T00:00:00"/>
    <s v="Valid"/>
    <d v="2027-08-13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38"/>
    <n v="783029"/>
    <x v="137"/>
    <x v="8"/>
    <s v="p428"/>
    <s v="JKTTLF-6"/>
    <x v="8"/>
    <d v="2027-09-09T00:00:00"/>
    <s v="Valid"/>
    <d v="2027-08-13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39"/>
    <n v="783030"/>
    <x v="138"/>
    <x v="8"/>
    <s v="p428"/>
    <s v="JKTTLF-6"/>
    <x v="8"/>
    <d v="2027-10-09T00:00:00"/>
    <s v="Valid"/>
    <d v="2027-10-15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40"/>
    <n v="783031"/>
    <x v="139"/>
    <x v="8"/>
    <s v="p428"/>
    <s v="JKTTLF-6"/>
    <x v="2"/>
    <d v="2027-11-06T00:00:00"/>
    <s v="Valid"/>
    <d v="2027-10-15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41"/>
    <n v="783045"/>
    <x v="140"/>
    <x v="8"/>
    <s v="p428"/>
    <s v="JKTTLF-6"/>
    <x v="8"/>
    <d v="2027-09-09T00:00:00"/>
    <s v="Valid"/>
    <d v="2027-08-13T00:00:00"/>
    <s v="Valid"/>
    <d v="2023-12-05T00:00:00"/>
    <s v="Valid"/>
    <m/>
    <m/>
    <m/>
    <m/>
    <m/>
    <m/>
    <m/>
    <m/>
    <m/>
    <m/>
    <m/>
    <m/>
    <m/>
    <m/>
    <d v="2025-12-13T00:00:00"/>
    <m/>
    <m/>
    <m/>
    <m/>
    <m/>
    <m/>
    <m/>
    <m/>
    <m/>
    <m/>
    <m/>
    <m/>
    <m/>
    <m/>
    <m/>
    <m/>
    <m/>
    <m/>
    <m/>
    <m/>
    <m/>
    <m/>
    <m/>
    <m/>
    <m/>
    <m/>
    <m/>
    <s v="2024-06-04"/>
    <m/>
    <m/>
    <m/>
    <m/>
    <x v="0"/>
    <x v="0"/>
    <x v="0"/>
    <x v="0"/>
    <m/>
    <m/>
    <m/>
    <d v="2023-12-05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42"/>
    <n v="783401"/>
    <x v="141"/>
    <x v="8"/>
    <s v="p428"/>
    <s v="JKTTLF-6"/>
    <x v="8"/>
    <d v="2028-05-12T00:00:00"/>
    <s v="Valid"/>
    <d v="2027-01-03T00:00:00"/>
    <s v="Valid"/>
    <d v="2025-01-03T00:00:00"/>
    <s v="Valid"/>
    <m/>
    <m/>
    <m/>
    <m/>
    <m/>
    <m/>
    <m/>
    <m/>
    <m/>
    <m/>
    <m/>
    <m/>
    <m/>
    <m/>
    <d v="2027-01-10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d v="2025-01-03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43"/>
    <n v="783496"/>
    <x v="142"/>
    <x v="8"/>
    <m/>
    <m/>
    <x v="8"/>
    <d v="2027-09-25T00:00:00"/>
    <s v="Valid"/>
    <d v="2027-09-25T00:00:00"/>
    <s v="Valid"/>
    <d v="2027-09-25T00:00:00"/>
    <s v="Valid"/>
    <m/>
    <m/>
    <m/>
    <m/>
    <m/>
    <m/>
    <m/>
    <m/>
    <m/>
    <m/>
    <m/>
    <m/>
    <m/>
    <m/>
    <d v="2026-02-24T00:00:00"/>
    <m/>
    <m/>
    <m/>
    <m/>
    <m/>
    <m/>
    <m/>
    <m/>
    <m/>
    <m/>
    <m/>
    <m/>
    <m/>
    <m/>
    <m/>
    <m/>
    <m/>
    <m/>
    <m/>
    <m/>
    <m/>
    <m/>
    <m/>
    <m/>
    <m/>
    <m/>
    <m/>
    <d v="2026-01-07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44"/>
    <n v="783497"/>
    <x v="143"/>
    <x v="8"/>
    <m/>
    <m/>
    <x v="8"/>
    <d v="2027-09-25T00:00:00"/>
    <s v="Valid"/>
    <d v="2027-09-25T00:00:00"/>
    <s v="Valid"/>
    <d v="2027-09-25T00:00:00"/>
    <s v="Valid"/>
    <m/>
    <m/>
    <m/>
    <m/>
    <m/>
    <m/>
    <m/>
    <m/>
    <m/>
    <m/>
    <m/>
    <m/>
    <m/>
    <m/>
    <d v="2026-02-24T00:00:00"/>
    <m/>
    <m/>
    <m/>
    <m/>
    <m/>
    <m/>
    <m/>
    <m/>
    <m/>
    <m/>
    <m/>
    <m/>
    <m/>
    <m/>
    <m/>
    <m/>
    <m/>
    <m/>
    <m/>
    <m/>
    <m/>
    <m/>
    <m/>
    <m/>
    <m/>
    <m/>
    <m/>
    <d v="2025-11-04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45"/>
    <n v="783498"/>
    <x v="144"/>
    <x v="8"/>
    <m/>
    <m/>
    <x v="6"/>
    <d v="2027-09-25T00:00:00"/>
    <s v="Valid"/>
    <d v="2027-09-25T00:00:00"/>
    <s v="Valid"/>
    <d v="2027-09-25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04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46"/>
    <n v="783556"/>
    <x v="145"/>
    <x v="8"/>
    <m/>
    <m/>
    <x v="8"/>
    <d v="2027-10-23T00:00:00"/>
    <s v="Valid"/>
    <d v="2027-10-23T00:00:00"/>
    <s v="Valid"/>
    <d v="2027-10-23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11-04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47"/>
    <n v="526956"/>
    <x v="146"/>
    <x v="7"/>
    <s v="p423"/>
    <s v="JKTTLF-7"/>
    <x v="9"/>
    <d v="2026-08-05T00:00:00"/>
    <s v="Expiring"/>
    <d v="2026-08-05T00:00:00"/>
    <s v="Expiring"/>
    <d v="2027-11-15T00:00:00"/>
    <s v="Valid"/>
    <d v="2027-11-03T00:00:00"/>
    <s v="Valid"/>
    <d v="2027-11-03T00:00:00"/>
    <s v="Valid"/>
    <d v="2027-11-03T00:00:00"/>
    <s v="Valid"/>
    <d v="2027-11-03T00:00:00"/>
    <s v="Valid"/>
    <d v="2027-11-15T00:00:00"/>
    <s v="Valid"/>
    <d v="2027-06-10T00:00:00"/>
    <s v="Valid"/>
    <d v="2023-06-17T00:00:00"/>
    <s v="Valid"/>
    <m/>
    <d v="2019-07-28T00:00:00"/>
    <m/>
    <m/>
    <m/>
    <d v="2019-02-22T00:00:00"/>
    <m/>
    <m/>
    <m/>
    <m/>
    <m/>
    <m/>
    <s v="2001-09-13"/>
    <s v="2002-03-28"/>
    <m/>
    <m/>
    <m/>
    <m/>
    <m/>
    <m/>
    <m/>
    <m/>
    <m/>
    <m/>
    <m/>
    <m/>
    <m/>
    <s v="2012-01-13"/>
    <s v="1991-11-01"/>
    <m/>
    <m/>
    <m/>
    <m/>
    <x v="0"/>
    <x v="0"/>
    <x v="0"/>
    <x v="0"/>
    <m/>
    <m/>
    <m/>
    <m/>
    <n v="13"/>
    <n v="12"/>
    <x v="2"/>
    <s v="84.62%"/>
    <s v="DIRECT"/>
    <m/>
    <x v="0"/>
    <x v="0"/>
    <x v="0"/>
    <x v="0"/>
    <m/>
    <m/>
    <x v="108"/>
    <m/>
    <s v="Not Trained"/>
    <s v="A null"/>
    <d v="2026-07-05T00:00:00"/>
    <s v="Not Trained"/>
    <s v="Not eligible"/>
    <s v="Not eligible"/>
  </r>
  <r>
    <n v="148"/>
    <n v="527238"/>
    <x v="147"/>
    <x v="7"/>
    <s v="p423"/>
    <s v="JKTTLF-7"/>
    <x v="9"/>
    <d v="2027-09-24T00:00:00"/>
    <s v="Valid"/>
    <d v="2027-09-24T00:00:00"/>
    <s v="Valid"/>
    <d v="2027-10-04T00:00:00"/>
    <s v="Valid"/>
    <d v="2027-07-31T00:00:00"/>
    <s v="Valid"/>
    <d v="2027-07-31T00:00:00"/>
    <s v="Valid"/>
    <d v="2027-07-31T00:00:00"/>
    <s v="Valid"/>
    <d v="2027-07-31T00:00:00"/>
    <s v="Valid"/>
    <d v="2027-10-04T00:00:00"/>
    <s v="Valid"/>
    <d v="2027-10-05T00:00:00"/>
    <s v="Valid"/>
    <d v="2024-01-06T00:00:00"/>
    <s v="Valid"/>
    <m/>
    <d v="2024-11-29T00:00:00"/>
    <m/>
    <m/>
    <m/>
    <d v="2013-04-16T00:00:00"/>
    <m/>
    <m/>
    <m/>
    <m/>
    <m/>
    <m/>
    <s v="2001-10-12"/>
    <s v="2012-04-25"/>
    <m/>
    <m/>
    <m/>
    <m/>
    <m/>
    <m/>
    <m/>
    <m/>
    <m/>
    <m/>
    <m/>
    <m/>
    <m/>
    <m/>
    <s v="1991-11-01"/>
    <m/>
    <m/>
    <m/>
    <m/>
    <x v="0"/>
    <x v="0"/>
    <x v="0"/>
    <x v="0"/>
    <m/>
    <m/>
    <m/>
    <m/>
    <n v="13"/>
    <n v="12"/>
    <x v="2"/>
    <s v="84.62%"/>
    <s v="DIRECT"/>
    <m/>
    <x v="0"/>
    <x v="0"/>
    <x v="0"/>
    <x v="0"/>
    <m/>
    <m/>
    <x v="109"/>
    <m/>
    <s v="Not Trained"/>
    <s v="A null"/>
    <d v="2027-03-08T00:00:00"/>
    <s v="Expired"/>
    <s v="Not eligible"/>
    <s v="Not eligible"/>
  </r>
  <r>
    <n v="149"/>
    <n v="582161"/>
    <x v="148"/>
    <x v="12"/>
    <s v="p428"/>
    <s v="JKTTLF-7"/>
    <x v="9"/>
    <d v="2027-12-10T00:00:00"/>
    <s v="Valid"/>
    <d v="2027-12-10T00:00:00"/>
    <s v="Valid"/>
    <d v="2027-11-14T00:00:00"/>
    <s v="Valid"/>
    <d v="2027-06-23T00:00:00"/>
    <s v="Valid"/>
    <d v="2027-06-23T00:00:00"/>
    <s v="Valid"/>
    <d v="2027-06-23T00:00:00"/>
    <s v="Valid"/>
    <d v="2027-06-23T00:00:00"/>
    <s v="Valid"/>
    <d v="2027-11-14T00:00:00"/>
    <s v="Valid"/>
    <d v="2027-11-14T00:00:00"/>
    <s v="Valid"/>
    <d v="2024-01-06T00:00:00"/>
    <s v="Valid"/>
    <d v="2025-09-29T00:00:00"/>
    <d v="2022-06-08T00:00:00"/>
    <d v="2019-04-05T00:00:00"/>
    <m/>
    <m/>
    <m/>
    <m/>
    <m/>
    <m/>
    <m/>
    <m/>
    <m/>
    <m/>
    <m/>
    <m/>
    <m/>
    <m/>
    <m/>
    <m/>
    <m/>
    <m/>
    <m/>
    <m/>
    <m/>
    <m/>
    <m/>
    <m/>
    <m/>
    <s v="2017-09-14"/>
    <m/>
    <m/>
    <m/>
    <m/>
    <x v="0"/>
    <x v="0"/>
    <x v="0"/>
    <x v="0"/>
    <m/>
    <m/>
    <m/>
    <m/>
    <n v="12"/>
    <n v="12"/>
    <x v="0"/>
    <s v="90.91%"/>
    <s v="DIRECT"/>
    <m/>
    <x v="0"/>
    <x v="0"/>
    <x v="0"/>
    <x v="0"/>
    <m/>
    <m/>
    <x v="110"/>
    <m/>
    <s v="Not Trained"/>
    <s v="A null"/>
    <d v="2040-11-17T00:00:00"/>
    <s v="Valid"/>
    <s v="Not eligible"/>
    <s v="Not eligible"/>
  </r>
  <r>
    <n v="150"/>
    <n v="581219"/>
    <x v="149"/>
    <x v="14"/>
    <s v="p418"/>
    <s v="JKTTLF-7"/>
    <x v="9"/>
    <d v="2027-05-25T00:00:00"/>
    <s v="Valid"/>
    <d v="2027-05-25T00:00:00"/>
    <s v="Valid"/>
    <d v="2026-10-23T00:00:00"/>
    <s v="Valid"/>
    <d v="2026-10-23T00:00:00"/>
    <s v="Valid"/>
    <d v="2026-10-23T00:00:00"/>
    <s v="Valid"/>
    <d v="2026-10-23T00:00:00"/>
    <s v="Valid"/>
    <d v="2025-07-04T00:00:00"/>
    <s v="Valid"/>
    <d v="2026-10-23T00:00:00"/>
    <s v="Valid"/>
    <d v="2027-01-21T00:00:00"/>
    <s v="Valid"/>
    <d v="2024-09-01T00:00:00"/>
    <s v="Valid"/>
    <m/>
    <d v="2018-10-07T00:00:00"/>
    <d v="2022-12-14T00:00:00"/>
    <m/>
    <d v="2022-10-20T00:00:00"/>
    <d v="2016-05-24T00:00:00"/>
    <m/>
    <m/>
    <d v="2016-11-16T00:00:00"/>
    <m/>
    <m/>
    <m/>
    <s v="D 2020-04-20 (competencies)"/>
    <m/>
    <m/>
    <m/>
    <m/>
    <m/>
    <m/>
    <m/>
    <m/>
    <m/>
    <m/>
    <m/>
    <m/>
    <m/>
    <m/>
    <m/>
    <s v="2015-12-18"/>
    <m/>
    <m/>
    <d v="2016-02-17T00:00:00"/>
    <m/>
    <x v="0"/>
    <x v="0"/>
    <x v="0"/>
    <x v="0"/>
    <m/>
    <m/>
    <m/>
    <m/>
    <n v="14"/>
    <n v="14"/>
    <x v="0"/>
    <s v="87.50%"/>
    <s v="DIRECT"/>
    <m/>
    <x v="0"/>
    <x v="0"/>
    <x v="0"/>
    <x v="0"/>
    <m/>
    <m/>
    <x v="111"/>
    <m/>
    <s v="Not Trained"/>
    <s v="A null"/>
    <d v="2048-09-01T00:00:00"/>
    <s v="Valid"/>
    <s v="Not eligible"/>
    <s v="Not eligible"/>
  </r>
  <r>
    <n v="151"/>
    <n v="527717"/>
    <x v="150"/>
    <x v="15"/>
    <s v="p410"/>
    <s v="JKTTLF-7"/>
    <x v="9"/>
    <d v="2027-05-07T00:00:00"/>
    <s v="Valid"/>
    <d v="2027-05-07T00:00:00"/>
    <s v="Valid"/>
    <d v="2025-07-03T00:00:00"/>
    <s v="Valid"/>
    <d v="2026-10-06T00:00:00"/>
    <s v="Valid"/>
    <d v="2026-10-06T00:00:00"/>
    <s v="Valid"/>
    <d v="2026-10-06T00:00:00"/>
    <s v="Valid"/>
    <d v="2026-10-06T00:00:00"/>
    <s v="Valid"/>
    <d v="2025-07-03T00:00:00"/>
    <s v="Valid"/>
    <d v="2025-10-30T00:00:00"/>
    <s v="Valid"/>
    <d v="2023-04-16T00:00:00"/>
    <s v="Valid"/>
    <m/>
    <d v="2024-06-08T00:00:00"/>
    <d v="2025-08-27T00:00:00"/>
    <m/>
    <m/>
    <d v="2019-10-22T00:00:00"/>
    <m/>
    <m/>
    <m/>
    <m/>
    <m/>
    <m/>
    <m/>
    <m/>
    <m/>
    <d v="2018-07-27T00:00:00"/>
    <m/>
    <m/>
    <d v="2025-12-03T00:00:00"/>
    <m/>
    <m/>
    <m/>
    <m/>
    <m/>
    <m/>
    <m/>
    <m/>
    <m/>
    <s v="1992-06-26"/>
    <m/>
    <m/>
    <m/>
    <m/>
    <x v="0"/>
    <x v="0"/>
    <x v="0"/>
    <x v="0"/>
    <m/>
    <m/>
    <m/>
    <m/>
    <n v="13"/>
    <n v="13"/>
    <x v="0"/>
    <s v="87.50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152"/>
    <n v="533503"/>
    <x v="151"/>
    <x v="3"/>
    <s v="p414"/>
    <s v="JKTTLF-7"/>
    <x v="9"/>
    <d v="2028-01-25T00:00:00"/>
    <s v="Valid"/>
    <d v="2028-01-25T00:00:00"/>
    <s v="Valid"/>
    <d v="2028-02-10T00:00:00"/>
    <s v="Valid"/>
    <d v="2028-02-10T00:00:00"/>
    <s v="Valid"/>
    <d v="2028-02-10T00:00:00"/>
    <s v="Valid"/>
    <d v="2028-02-10T00:00:00"/>
    <s v="Valid"/>
    <d v="2028-02-10T00:00:00"/>
    <s v="Valid"/>
    <d v="2028-02-10T00:00:00"/>
    <s v="Valid"/>
    <d v="2028-02-10T00:00:00"/>
    <s v="Valid"/>
    <d v="2024-03-29T00:00:00"/>
    <s v="Valid"/>
    <d v="2011-10-27T00:00:00"/>
    <d v="2025-07-07T00:00:00"/>
    <d v="2019-12-13T00:00:00"/>
    <m/>
    <d v="2025-06-16T00:00:00"/>
    <d v="2024-09-10T00:00:00"/>
    <m/>
    <m/>
    <m/>
    <m/>
    <m/>
    <m/>
    <m/>
    <m/>
    <m/>
    <m/>
    <m/>
    <m/>
    <m/>
    <m/>
    <m/>
    <m/>
    <m/>
    <m/>
    <m/>
    <m/>
    <d v="2025-09-22T00:00:00"/>
    <s v="2016-11-18"/>
    <s v="2024-12-29"/>
    <m/>
    <m/>
    <m/>
    <m/>
    <x v="69"/>
    <x v="1"/>
    <x v="0"/>
    <x v="0"/>
    <m/>
    <m/>
    <m/>
    <m/>
    <n v="15"/>
    <n v="15"/>
    <x v="0"/>
    <s v="80.00%"/>
    <s v="DIRECT"/>
    <s v="C1 C2 C4"/>
    <x v="1"/>
    <x v="0"/>
    <x v="0"/>
    <x v="79"/>
    <n v="1"/>
    <m/>
    <x v="112"/>
    <d v="2028-04-07T00:00:00"/>
    <s v="Valid"/>
    <s v="A null"/>
    <d v="2047-03-16T00:00:00"/>
    <e v="#REF!"/>
    <s v="Eligible"/>
    <s v="Not eligible"/>
  </r>
  <r>
    <n v="153"/>
    <n v="580647"/>
    <x v="152"/>
    <x v="6"/>
    <s v="p404"/>
    <s v="JKTTLF-7"/>
    <x v="9"/>
    <d v="2028-02-11T00:00:00"/>
    <s v="Valid"/>
    <d v="2028-02-11T00:00:00"/>
    <s v="Valid"/>
    <d v="2024-10-22T00:00:00"/>
    <s v="Valid"/>
    <d v="2027-06-12T00:00:00"/>
    <s v="Valid"/>
    <d v="2027-06-12T00:00:00"/>
    <s v="Valid"/>
    <d v="2027-06-12T00:00:00"/>
    <s v="Valid"/>
    <d v="2027-06-12T00:00:00"/>
    <s v="Valid"/>
    <d v="2023-10-30T00:00:00"/>
    <s v="Valid"/>
    <d v="2023-10-30T00:00:00"/>
    <s v="Valid"/>
    <d v="2020-09-10T00:00:00"/>
    <s v="Valid"/>
    <m/>
    <d v="2016-02-19T00:00:00"/>
    <d v="2018-01-18T00:00:00"/>
    <m/>
    <m/>
    <d v="2017-12-19T00:00:00"/>
    <m/>
    <m/>
    <m/>
    <m/>
    <m/>
    <m/>
    <s v="2018-04-20"/>
    <m/>
    <d v="2025-07-25T00:00:00"/>
    <d v="2023-07-01T00:00:00"/>
    <d v="2022-10-22T00:00:00"/>
    <d v="2022-06-25T00:00:00"/>
    <s v="2020-06-12"/>
    <m/>
    <m/>
    <m/>
    <m/>
    <m/>
    <m/>
    <m/>
    <m/>
    <m/>
    <s v="2014-01-09"/>
    <m/>
    <m/>
    <m/>
    <m/>
    <x v="0"/>
    <x v="0"/>
    <x v="0"/>
    <x v="0"/>
    <m/>
    <m/>
    <m/>
    <m/>
    <n v="14"/>
    <n v="14"/>
    <x v="0"/>
    <s v="100.00%"/>
    <s v="INDIRECT"/>
    <m/>
    <x v="0"/>
    <x v="0"/>
    <x v="0"/>
    <x v="0"/>
    <m/>
    <m/>
    <x v="0"/>
    <m/>
    <s v="Not Trained"/>
    <s v="A null"/>
    <m/>
    <s v="Valid"/>
    <s v="Not eligible"/>
    <s v="Not eligible"/>
  </r>
  <r>
    <n v="154"/>
    <n v="783229"/>
    <x v="153"/>
    <x v="8"/>
    <s v="p428"/>
    <s v="JKTTLF-7"/>
    <x v="9"/>
    <d v="2028-02-05T00:00:00"/>
    <s v="Valid"/>
    <d v="2028-02-17T00:00:00"/>
    <s v="Valid"/>
    <d v="2024-07-03T00:00:00"/>
    <s v="Valid"/>
    <m/>
    <m/>
    <m/>
    <m/>
    <m/>
    <m/>
    <m/>
    <m/>
    <m/>
    <m/>
    <m/>
    <m/>
    <m/>
    <m/>
    <d v="2026-07-31T00:00:00"/>
    <m/>
    <m/>
    <m/>
    <m/>
    <m/>
    <m/>
    <m/>
    <m/>
    <m/>
    <m/>
    <m/>
    <m/>
    <m/>
    <m/>
    <m/>
    <m/>
    <m/>
    <m/>
    <m/>
    <m/>
    <m/>
    <m/>
    <m/>
    <m/>
    <m/>
    <m/>
    <m/>
    <s v="2024-08-06"/>
    <m/>
    <m/>
    <m/>
    <m/>
    <x v="0"/>
    <x v="0"/>
    <x v="0"/>
    <x v="0"/>
    <m/>
    <m/>
    <m/>
    <d v="2024-07-03T00:00:00"/>
    <n v="3"/>
    <n v="3"/>
    <x v="0"/>
    <s v="18.18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55"/>
    <n v="783262"/>
    <x v="154"/>
    <x v="8"/>
    <s v="p428"/>
    <s v="JKTTLF-7"/>
    <x v="9"/>
    <d v="2028-06-18T00:00:00"/>
    <s v="Valid"/>
    <d v="2028-06-14T00:00:00"/>
    <s v="Valid"/>
    <d v="2024-09-17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24-10-22"/>
    <m/>
    <m/>
    <m/>
    <m/>
    <x v="0"/>
    <x v="0"/>
    <x v="0"/>
    <x v="0"/>
    <m/>
    <m/>
    <m/>
    <d v="2024-09-17T00:00:00"/>
    <n v="3"/>
    <n v="3"/>
    <x v="0"/>
    <s v="9.09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56"/>
    <n v="581292"/>
    <x v="155"/>
    <x v="2"/>
    <m/>
    <m/>
    <x v="3"/>
    <d v="2026-12-19T00:00:00"/>
    <s v="Valid"/>
    <d v="2026-12-19T00:00:00"/>
    <s v="Valid"/>
    <d v="2020-07-24T00:00:00"/>
    <s v="Valid"/>
    <d v="2027-01-09T00:00:00"/>
    <s v="Valid"/>
    <d v="2027-01-09T00:00:00"/>
    <s v="Valid"/>
    <d v="2027-01-09T00:00:00"/>
    <s v="Valid"/>
    <d v="2027-01-10T00:00:00"/>
    <s v="Valid"/>
    <d v="2016-02-09T00:00:00"/>
    <s v="Valid"/>
    <d v="2015-09-30T00:00:00"/>
    <s v="Valid"/>
    <d v="2019-12-06T00:00:00"/>
    <s v="Valid"/>
    <m/>
    <m/>
    <m/>
    <m/>
    <m/>
    <m/>
    <d v="2016-04-08T00:00:00"/>
    <m/>
    <m/>
    <m/>
    <m/>
    <m/>
    <m/>
    <m/>
    <d v="2025-06-26T00:00:00"/>
    <d v="2022-05-30T00:00:00"/>
    <m/>
    <d v="2021-05-27T00:00:00"/>
    <m/>
    <d v="2022-05-24T00:00:00"/>
    <m/>
    <m/>
    <m/>
    <m/>
    <m/>
    <m/>
    <m/>
    <m/>
    <d v="2015-11-13T00:00:00"/>
    <m/>
    <m/>
    <d v="2016-09-16T00:00:00"/>
    <m/>
    <x v="0"/>
    <x v="0"/>
    <x v="0"/>
    <x v="0"/>
    <m/>
    <m/>
    <m/>
    <m/>
    <n v="12"/>
    <n v="12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57"/>
    <n v="581291"/>
    <x v="156"/>
    <x v="4"/>
    <m/>
    <m/>
    <x v="3"/>
    <d v="2027-06-16T00:00:00"/>
    <s v="Valid"/>
    <d v="2027-06-16T00:00:00"/>
    <s v="Valid"/>
    <d v="2023-01-09T00:00:00"/>
    <s v="Valid"/>
    <d v="2023-01-09T00:00:00"/>
    <s v="Valid"/>
    <d v="2023-01-09T00:00:00"/>
    <s v="Valid"/>
    <d v="2023-01-09T00:00:00"/>
    <s v="Valid"/>
    <d v="2023-01-09T00:00:00"/>
    <s v="Valid"/>
    <d v="2023-01-09T00:00:00"/>
    <s v="Valid"/>
    <d v="2023-01-09T00:00:00"/>
    <s v="Valid"/>
    <d v="2020-02-18T00:00:00"/>
    <s v="Valid"/>
    <d v="2024-04-04T00:00:00"/>
    <m/>
    <m/>
    <m/>
    <m/>
    <d v="2023-11-29T00:00:00"/>
    <d v="2017-07-17T00:00:00"/>
    <d v="2016-11-21T00:00:00"/>
    <d v="2016-03-29T00:00:00"/>
    <m/>
    <m/>
    <m/>
    <m/>
    <m/>
    <m/>
    <m/>
    <d v="2024-02-19T00:00:00"/>
    <d v="2024-09-23T00:00:00"/>
    <d v="2023-02-22T00:00:00"/>
    <m/>
    <m/>
    <m/>
    <m/>
    <m/>
    <m/>
    <m/>
    <d v="2023-11-20T00:00:00"/>
    <m/>
    <d v="2015-11-11T00:00:00"/>
    <m/>
    <m/>
    <d v="2015-12-02T00:00:00"/>
    <m/>
    <x v="70"/>
    <x v="0"/>
    <x v="0"/>
    <x v="0"/>
    <m/>
    <m/>
    <m/>
    <m/>
    <n v="9"/>
    <n v="9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58"/>
    <n v="581312"/>
    <x v="157"/>
    <x v="7"/>
    <s v="p423"/>
    <s v="JKTTLF-8"/>
    <x v="10"/>
    <d v="2027-05-25T00:00:00"/>
    <s v="Valid"/>
    <d v="2027-05-25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7-04-24T00:00:00"/>
    <s v="Valid"/>
    <d v="2023-04-17T00:00:00"/>
    <s v="Valid"/>
    <d v="2023-04-28T00:00:00"/>
    <d v="2020-08-10T00:00:00"/>
    <m/>
    <m/>
    <m/>
    <m/>
    <m/>
    <m/>
    <d v="2016-05-02T00:00:00"/>
    <m/>
    <m/>
    <m/>
    <m/>
    <m/>
    <m/>
    <m/>
    <m/>
    <m/>
    <m/>
    <m/>
    <m/>
    <m/>
    <m/>
    <m/>
    <m/>
    <m/>
    <d v="2026-07-17T00:00:00"/>
    <s v="2022-05-25"/>
    <s v="2017-02-08"/>
    <m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113"/>
    <m/>
    <s v="Not Trained"/>
    <s v="A null"/>
    <d v="2041-09-22T00:00:00"/>
    <s v="Not Trained"/>
    <s v="Not eligible"/>
    <s v="Not eligible"/>
  </r>
  <r>
    <n v="159"/>
    <n v="582600"/>
    <x v="158"/>
    <x v="7"/>
    <s v="p423"/>
    <s v="JKTTLF-8"/>
    <x v="10"/>
    <d v="2027-12-14T00:00:00"/>
    <s v="Valid"/>
    <d v="2027-12-14T00:00:00"/>
    <s v="Valid"/>
    <d v="2027-06-12T00:00:00"/>
    <s v="Valid"/>
    <d v="2027-12-05T00:00:00"/>
    <s v="Valid"/>
    <d v="2027-06-12T00:00:00"/>
    <s v="Valid"/>
    <d v="2027-12-05T00:00:00"/>
    <s v="Valid"/>
    <d v="2027-12-05T00:00:00"/>
    <s v="Valid"/>
    <d v="2027-06-12T00:00:00"/>
    <s v="Valid"/>
    <d v="2027-06-12T00:00:00"/>
    <s v="Valid"/>
    <d v="2022-08-11T00:00:00"/>
    <s v="Valid"/>
    <d v="2021-04-24T00:00:00"/>
    <d v="2021-01-25T00:00:00"/>
    <m/>
    <m/>
    <m/>
    <d v="2025-11-12T00:00:00"/>
    <m/>
    <m/>
    <m/>
    <m/>
    <m/>
    <m/>
    <m/>
    <m/>
    <m/>
    <m/>
    <m/>
    <m/>
    <d v="2026-03-06T00:00:00"/>
    <m/>
    <m/>
    <m/>
    <m/>
    <m/>
    <m/>
    <m/>
    <d v="2026-07-24T00:00:00"/>
    <m/>
    <s v="2017-10-11"/>
    <m/>
    <m/>
    <m/>
    <m/>
    <x v="0"/>
    <x v="0"/>
    <x v="0"/>
    <x v="0"/>
    <m/>
    <m/>
    <m/>
    <m/>
    <n v="13"/>
    <n v="13"/>
    <x v="0"/>
    <s v="100.00%"/>
    <s v="DIRECT"/>
    <s v="A1 A4"/>
    <x v="0"/>
    <x v="0"/>
    <x v="0"/>
    <x v="0"/>
    <m/>
    <m/>
    <x v="114"/>
    <m/>
    <s v="Not Trained"/>
    <s v="A null"/>
    <d v="2051-11-27T00:00:00"/>
    <s v="Valid"/>
    <s v="Not eligible"/>
    <s v="Not eligible"/>
  </r>
  <r>
    <n v="160"/>
    <n v="783186"/>
    <x v="159"/>
    <x v="15"/>
    <s v="p410"/>
    <s v="JKTTLF-8"/>
    <x v="10"/>
    <d v="2028-04-15T00:00:00"/>
    <s v="Valid"/>
    <d v="2028-04-15T00:00:00"/>
    <s v="Valid"/>
    <d v="2028-04-15T00:00:00"/>
    <s v="Valid"/>
    <d v="2028-04-15T00:00:00"/>
    <s v="Valid"/>
    <d v="2028-04-15T00:00:00"/>
    <s v="Valid"/>
    <d v="2028-04-15T00:00:00"/>
    <s v="Valid"/>
    <d v="2028-04-15T00:00:00"/>
    <s v="Valid"/>
    <d v="2028-04-15T00:00:00"/>
    <s v="Valid"/>
    <d v="2028-04-14T00:00:00"/>
    <s v="Valid"/>
    <d v="2024-09-16T00:00:00"/>
    <s v="Valid"/>
    <d v="2000-07-19T00:00:00"/>
    <d v="2007-09-16T00:00:00"/>
    <d v="2014-12-21T00:00:00"/>
    <d v="2004-10-27T00:00:00"/>
    <d v="2006-06-23T00:00:00"/>
    <m/>
    <m/>
    <m/>
    <m/>
    <m/>
    <m/>
    <m/>
    <m/>
    <m/>
    <m/>
    <d v="2016-01-22T00:00:00"/>
    <m/>
    <m/>
    <d v="2026-01-26T00:00:00"/>
    <m/>
    <m/>
    <m/>
    <m/>
    <m/>
    <m/>
    <m/>
    <m/>
    <m/>
    <s v="1989-03-02"/>
    <m/>
    <m/>
    <m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161"/>
    <n v="580641"/>
    <x v="160"/>
    <x v="15"/>
    <s v="p410"/>
    <s v="JKTTLF-8"/>
    <x v="10"/>
    <d v="2028-04-26T00:00:00"/>
    <s v="Valid"/>
    <d v="2028-04-26T00:00:00"/>
    <s v="Valid"/>
    <d v="2026-10-07T00:00:00"/>
    <s v="Valid"/>
    <d v="2026-03-31T00:00:00"/>
    <s v="Valid"/>
    <d v="2026-10-07T00:00:00"/>
    <s v="Valid"/>
    <d v="2026-03-31T00:00:00"/>
    <s v="Valid"/>
    <d v="2025-07-10T00:00:00"/>
    <s v="Valid"/>
    <d v="2026-10-07T00:00:00"/>
    <s v="Valid"/>
    <d v="2026-03-31T00:00:00"/>
    <s v="Valid"/>
    <d v="2024-04-08T00:00:00"/>
    <s v="Valid"/>
    <m/>
    <d v="2018-05-27T00:00:00"/>
    <d v="2020-02-21T00:00:00"/>
    <m/>
    <m/>
    <d v="2020-12-22T00:00:00"/>
    <m/>
    <s v="2021-03-26"/>
    <m/>
    <m/>
    <m/>
    <m/>
    <m/>
    <m/>
    <m/>
    <m/>
    <m/>
    <m/>
    <s v="2021-07-28"/>
    <m/>
    <m/>
    <m/>
    <m/>
    <m/>
    <m/>
    <m/>
    <m/>
    <m/>
    <s v="2024-12-29"/>
    <m/>
    <m/>
    <d v="2014-02-17T00:00:00"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62"/>
    <n v="581663"/>
    <x v="161"/>
    <x v="15"/>
    <s v="p418"/>
    <s v="JKTTLF-8"/>
    <x v="10"/>
    <d v="2028-04-26T00:00:00"/>
    <s v="Valid"/>
    <d v="2028-04-26T00:00:00"/>
    <s v="Valid"/>
    <d v="2025-06-21T00:00:00"/>
    <s v="Valid"/>
    <d v="2025-06-21T00:00:00"/>
    <s v="Valid"/>
    <d v="2025-06-21T00:00:00"/>
    <s v="Valid"/>
    <d v="2025-06-21T00:00:00"/>
    <s v="Valid"/>
    <d v="2025-07-16T00:00:00"/>
    <s v="Valid"/>
    <d v="2025-07-30T00:00:00"/>
    <s v="Valid"/>
    <d v="2025-07-30T00:00:00"/>
    <s v="Valid"/>
    <d v="2023-01-29T00:00:00"/>
    <s v="Valid"/>
    <d v="2019-02-08T00:00:00"/>
    <d v="2024-06-28T00:00:00"/>
    <d v="2025-11-24T00:00:00"/>
    <m/>
    <m/>
    <d v="2026-02-11T00:00:00"/>
    <s v="2016-10-28"/>
    <m/>
    <d v="2025-06-18T00:00:00"/>
    <m/>
    <m/>
    <m/>
    <m/>
    <m/>
    <m/>
    <m/>
    <m/>
    <m/>
    <d v="2025-10-22T00:00:00"/>
    <m/>
    <m/>
    <m/>
    <m/>
    <m/>
    <m/>
    <m/>
    <m/>
    <s v="2022-08-31"/>
    <s v="2017-12-07"/>
    <m/>
    <m/>
    <m/>
    <m/>
    <x v="0"/>
    <x v="0"/>
    <x v="0"/>
    <x v="0"/>
    <m/>
    <m/>
    <m/>
    <m/>
    <n v="13"/>
    <n v="13"/>
    <x v="0"/>
    <s v="75.00%"/>
    <s v="DIRECT"/>
    <s v="C1 C2 C4"/>
    <x v="0"/>
    <x v="0"/>
    <x v="0"/>
    <x v="0"/>
    <m/>
    <m/>
    <x v="115"/>
    <m/>
    <s v="Not Trained"/>
    <s v="A null"/>
    <d v="2046-06-12T00:00:00"/>
    <s v="Not Trained"/>
    <s v="Not eligible"/>
    <s v="Not eligible"/>
  </r>
  <r>
    <n v="163"/>
    <n v="580642"/>
    <x v="162"/>
    <x v="15"/>
    <s v="p410"/>
    <s v="JKTTLF-8"/>
    <x v="10"/>
    <d v="2028-04-26T00:00:00"/>
    <s v="Valid"/>
    <d v="2028-04-26T00:00:00"/>
    <s v="Valid"/>
    <d v="2026-09-02T00:00:00"/>
    <s v="Valid"/>
    <d v="2026-09-02T00:00:00"/>
    <s v="Valid"/>
    <d v="2026-03-26T00:00:00"/>
    <s v="Valid"/>
    <d v="2026-03-26T00:00:00"/>
    <s v="Valid"/>
    <d v="2026-03-26T00:00:00"/>
    <s v="Valid"/>
    <d v="2026-10-07T00:00:00"/>
    <s v="Valid"/>
    <d v="2026-03-26T00:00:00"/>
    <s v="Valid"/>
    <d v="2024-04-08T00:00:00"/>
    <s v="Valid"/>
    <m/>
    <d v="2018-04-15T00:00:00"/>
    <d v="2025-07-16T00:00:00"/>
    <m/>
    <m/>
    <d v="2020-07-07T00:00:00"/>
    <s v="2017-11-17"/>
    <s v="2021-04-23"/>
    <m/>
    <m/>
    <m/>
    <m/>
    <s v="2018-04-20"/>
    <m/>
    <m/>
    <m/>
    <m/>
    <m/>
    <s v="2020-02-07"/>
    <m/>
    <m/>
    <m/>
    <m/>
    <m/>
    <m/>
    <m/>
    <m/>
    <m/>
    <s v="2014-01-09"/>
    <m/>
    <m/>
    <d v="2014-06-09T00:00:00"/>
    <m/>
    <x v="0"/>
    <x v="0"/>
    <x v="0"/>
    <x v="0"/>
    <m/>
    <m/>
    <m/>
    <m/>
    <n v="13"/>
    <n v="13"/>
    <x v="0"/>
    <s v="87.50%"/>
    <s v="DIRECT"/>
    <m/>
    <x v="0"/>
    <x v="0"/>
    <x v="0"/>
    <x v="0"/>
    <m/>
    <m/>
    <x v="0"/>
    <m/>
    <s v="Not Trained"/>
    <s v="A null"/>
    <m/>
    <s v="Valid"/>
    <s v="Not eligible"/>
    <s v="Not eligible"/>
  </r>
  <r>
    <n v="164"/>
    <n v="580457"/>
    <x v="163"/>
    <x v="15"/>
    <s v="p410"/>
    <s v="JKTTLF-8"/>
    <x v="10"/>
    <d v="2026-11-14T00:00:00"/>
    <s v="Valid"/>
    <d v="2026-11-14T00:00:00"/>
    <s v="Valid"/>
    <d v="2026-09-10T00:00:00"/>
    <s v="Valid"/>
    <d v="2026-09-10T00:00:00"/>
    <s v="Valid"/>
    <d v="2026-09-10T00:00:00"/>
    <s v="Valid"/>
    <d v="2026-10-17T00:00:00"/>
    <s v="Valid"/>
    <d v="2025-07-23T00:00:00"/>
    <s v="Valid"/>
    <d v="2026-09-10T00:00:00"/>
    <s v="Valid"/>
    <d v="2025-07-23T00:00:00"/>
    <s v="Valid"/>
    <d v="2023-02-05T00:00:00"/>
    <s v="Valid"/>
    <m/>
    <d v="2024-04-25T00:00:00"/>
    <d v="2023-04-07T00:00:00"/>
    <m/>
    <m/>
    <d v="2026-01-13T00:00:00"/>
    <s v="2013-03-01"/>
    <m/>
    <m/>
    <m/>
    <m/>
    <m/>
    <m/>
    <m/>
    <m/>
    <d v="2017-11-24T00:00:00"/>
    <d v="2017-09-14T00:00:00"/>
    <m/>
    <d v="2025-07-23T00:00:00"/>
    <m/>
    <m/>
    <m/>
    <m/>
    <m/>
    <m/>
    <m/>
    <m/>
    <m/>
    <s v="2024-12-29"/>
    <m/>
    <m/>
    <d v="2012-12-05T00:00:00"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65"/>
    <n v="580620"/>
    <x v="164"/>
    <x v="6"/>
    <s v="p404"/>
    <s v="JKTTLF-8"/>
    <x v="10"/>
    <d v="2027-01-13T00:00:00"/>
    <s v="Valid"/>
    <d v="2027-01-13T00:00:00"/>
    <s v="Valid"/>
    <d v="2024-09-03T00:00:00"/>
    <s v="Valid"/>
    <d v="2027-06-17T00:00:00"/>
    <s v="Valid"/>
    <d v="2027-06-17T00:00:00"/>
    <s v="Valid"/>
    <d v="2027-06-17T00:00:00"/>
    <s v="Valid"/>
    <d v="2027-06-17T00:00:00"/>
    <s v="Valid"/>
    <d v="2021-03-16T00:00:00"/>
    <s v="Valid"/>
    <d v="2021-03-22T00:00:00"/>
    <s v="Valid"/>
    <d v="2021-03-16T00:00:00"/>
    <s v="Valid"/>
    <m/>
    <d v="2016-08-26T00:00:00"/>
    <d v="2016-10-26T00:00:00"/>
    <m/>
    <m/>
    <d v="2016-04-12T00:00:00"/>
    <m/>
    <m/>
    <m/>
    <m/>
    <m/>
    <m/>
    <m/>
    <m/>
    <d v="2025-11-19T00:00:00"/>
    <d v="2022-03-13T00:00:00"/>
    <d v="2022-12-10T00:00:00"/>
    <d v="2021-10-30T00:00:00"/>
    <m/>
    <m/>
    <m/>
    <m/>
    <m/>
    <m/>
    <m/>
    <s v="2014-09-29"/>
    <m/>
    <m/>
    <s v="2024-12-30"/>
    <m/>
    <m/>
    <d v="2014-02-17T00:00:00"/>
    <m/>
    <x v="0"/>
    <x v="0"/>
    <x v="0"/>
    <x v="0"/>
    <m/>
    <m/>
    <m/>
    <m/>
    <n v="14"/>
    <n v="14"/>
    <x v="0"/>
    <s v="100.00%"/>
    <s v="INDIRECT"/>
    <m/>
    <x v="0"/>
    <x v="0"/>
    <x v="0"/>
    <x v="0"/>
    <m/>
    <m/>
    <x v="0"/>
    <m/>
    <s v="Not Trained"/>
    <s v=" null"/>
    <m/>
    <s v="Not Trained"/>
    <s v="Not eligible"/>
    <s v="Not eligible"/>
  </r>
  <r>
    <n v="166"/>
    <n v="581868"/>
    <x v="165"/>
    <x v="15"/>
    <s v="p410"/>
    <s v="JKTTLF-8"/>
    <x v="10"/>
    <d v="2027-01-13T00:00:00"/>
    <s v="Valid"/>
    <d v="2027-01-13T00:00:00"/>
    <s v="Valid"/>
    <d v="2026-10-09T00:00:00"/>
    <s v="Valid"/>
    <d v="2026-10-09T00:00:00"/>
    <s v="Valid"/>
    <d v="2026-10-09T00:00:00"/>
    <s v="Valid"/>
    <d v="2026-10-09T00:00:00"/>
    <s v="Valid"/>
    <d v="2025-10-22T00:00:00"/>
    <s v="Valid"/>
    <d v="2026-05-14T00:00:00"/>
    <s v="Valid"/>
    <d v="2026-05-14T00:00:00"/>
    <s v="Valid"/>
    <d v="2018-10-21T00:00:00"/>
    <s v="Valid"/>
    <m/>
    <d v="2020-04-27T00:00:00"/>
    <d v="2023-02-19T00:00:00"/>
    <m/>
    <m/>
    <d v="2017-10-17T00:00:00"/>
    <m/>
    <s v="2020-09-18"/>
    <m/>
    <m/>
    <m/>
    <m/>
    <s v="2018-04-20"/>
    <m/>
    <m/>
    <m/>
    <m/>
    <m/>
    <s v="2021-07-28"/>
    <m/>
    <m/>
    <m/>
    <m/>
    <m/>
    <m/>
    <m/>
    <m/>
    <m/>
    <s v="2017-12-07"/>
    <m/>
    <m/>
    <d v="2018-10-29T00:00:00"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67"/>
    <n v="581958"/>
    <x v="166"/>
    <x v="15"/>
    <s v="p410"/>
    <s v="JKTTLF-8"/>
    <x v="10"/>
    <d v="2027-03-05T00:00:00"/>
    <s v="Valid"/>
    <d v="2027-03-05T00:00:00"/>
    <s v="Valid"/>
    <d v="2026-04-24T00:00:00"/>
    <s v="Valid"/>
    <d v="2026-10-07T00:00:00"/>
    <s v="Valid"/>
    <d v="2026-10-07T00:00:00"/>
    <s v="Valid"/>
    <d v="2026-10-07T00:00:00"/>
    <s v="Valid"/>
    <d v="2026-04-24T00:00:00"/>
    <s v="Valid"/>
    <d v="2026-04-24T00:00:00"/>
    <s v="Valid"/>
    <d v="2026-04-24T00:00:00"/>
    <s v="Valid"/>
    <d v="2018-11-08T00:00:00"/>
    <s v="Valid"/>
    <m/>
    <d v="2024-10-18T00:00:00"/>
    <d v="2025-03-15T00:00:00"/>
    <m/>
    <m/>
    <d v="2023-02-14T00:00:00"/>
    <s v="2018-03-16"/>
    <s v="2020-12-04"/>
    <m/>
    <m/>
    <m/>
    <m/>
    <m/>
    <m/>
    <m/>
    <m/>
    <m/>
    <m/>
    <s v="2021-09-15"/>
    <m/>
    <m/>
    <m/>
    <m/>
    <m/>
    <m/>
    <m/>
    <m/>
    <s v="2017-01-19"/>
    <s v="2017-04-07"/>
    <m/>
    <m/>
    <d v="2018-03-22T00:00:00"/>
    <m/>
    <x v="0"/>
    <x v="0"/>
    <x v="0"/>
    <x v="0"/>
    <m/>
    <m/>
    <m/>
    <m/>
    <n v="13"/>
    <n v="13"/>
    <x v="0"/>
    <s v="100.00%"/>
    <s v="DIRECT"/>
    <m/>
    <x v="0"/>
    <x v="0"/>
    <x v="0"/>
    <x v="0"/>
    <m/>
    <m/>
    <x v="0"/>
    <m/>
    <s v="Not Trained"/>
    <s v="A null"/>
    <m/>
    <s v="Not Trained"/>
    <s v="Not eligible"/>
    <s v="Not eligible"/>
  </r>
  <r>
    <n v="168"/>
    <n v="581961"/>
    <x v="167"/>
    <x v="16"/>
    <m/>
    <m/>
    <x v="11"/>
    <d v="2026-10-21T00:00:00"/>
    <s v="Expiring"/>
    <d v="2026-10-21T00:00:00"/>
    <s v="Expiring"/>
    <d v="2019-02-07T00:00:00"/>
    <s v="Valid"/>
    <d v="2027-02-25T00:00:00"/>
    <s v="Valid"/>
    <d v="2027-02-25T00:00:00"/>
    <s v="Valid"/>
    <d v="2027-02-25T00:00:00"/>
    <s v="Valid"/>
    <d v="2027-02-25T00:00:00"/>
    <s v="Valid"/>
    <d v="2017-01-10T00:00:00"/>
    <s v="Valid"/>
    <d v="2017-02-13T00:00:00"/>
    <s v="Valid"/>
    <d v="2019-12-05T00:00:00"/>
    <s v="Valid"/>
    <m/>
    <m/>
    <m/>
    <m/>
    <m/>
    <d v="2022-05-25T00:00:00"/>
    <m/>
    <d v="2017-03-13T00:00:00"/>
    <d v="2016-11-16T00:00:00"/>
    <m/>
    <m/>
    <m/>
    <m/>
    <m/>
    <m/>
    <m/>
    <m/>
    <m/>
    <d v="2024-01-17T00:00:00"/>
    <m/>
    <m/>
    <m/>
    <m/>
    <m/>
    <m/>
    <m/>
    <d v="2025-06-10T00:00:00"/>
    <m/>
    <d v="2017-05-02T00:00:00"/>
    <m/>
    <m/>
    <d v="2018-10-29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69"/>
    <n v="581987"/>
    <x v="168"/>
    <x v="6"/>
    <m/>
    <m/>
    <x v="11"/>
    <d v="2028-07-08T00:00:00"/>
    <s v="Valid"/>
    <d v="2028-07-08T00:00:00"/>
    <s v="Valid"/>
    <d v="2019-03-05T00:00:00"/>
    <s v="Valid"/>
    <d v="2027-02-25T00:00:00"/>
    <s v="Valid"/>
    <d v="2027-02-25T00:00:00"/>
    <s v="Valid"/>
    <d v="2027-02-25T00:00:00"/>
    <s v="Valid"/>
    <d v="2027-02-25T00:00:00"/>
    <s v="Valid"/>
    <d v="2017-02-16T00:00:00"/>
    <s v="Valid"/>
    <d v="2018-04-19T00:00:00"/>
    <s v="Valid"/>
    <d v="2017-08-24T00:00:00"/>
    <s v="Valid"/>
    <m/>
    <m/>
    <m/>
    <m/>
    <m/>
    <d v="2021-08-18T00:00:00"/>
    <d v="2017-11-06T00:00:00"/>
    <d v="2018-10-15T00:00:00"/>
    <d v="2021-07-14T00:00:00"/>
    <m/>
    <m/>
    <m/>
    <m/>
    <m/>
    <d v="2025-09-17T00:00:00"/>
    <m/>
    <m/>
    <d v="2025-10-06T00:00:00"/>
    <d v="2023-10-26T00:00:00"/>
    <m/>
    <m/>
    <m/>
    <m/>
    <m/>
    <m/>
    <m/>
    <d v="2023-10-26T00:00:00"/>
    <m/>
    <d v="2017-05-02T00:00:00"/>
    <m/>
    <m/>
    <d v="2020-11-23T00:00:00"/>
    <m/>
    <x v="0"/>
    <x v="0"/>
    <x v="0"/>
    <x v="0"/>
    <m/>
    <m/>
    <m/>
    <m/>
    <n v="14"/>
    <n v="12"/>
    <x v="5"/>
    <m/>
    <m/>
    <m/>
    <x v="0"/>
    <x v="0"/>
    <x v="0"/>
    <x v="0"/>
    <m/>
    <m/>
    <x v="0"/>
    <m/>
    <s v="Not Trained"/>
    <m/>
    <m/>
    <s v="Not Trained"/>
    <s v="Not eligible"/>
    <s v="Not eligible"/>
  </r>
  <r>
    <n v="170"/>
    <n v="582192"/>
    <x v="169"/>
    <x v="4"/>
    <m/>
    <m/>
    <x v="3"/>
    <d v="2027-04-16T00:00:00"/>
    <s v="Valid"/>
    <d v="2027-04-16T00:00:00"/>
    <s v="Valid"/>
    <d v="2019-11-20T00:00:00"/>
    <s v="Valid"/>
    <d v="2027-03-04T00:00:00"/>
    <s v="Valid"/>
    <d v="2027-03-04T00:00:00"/>
    <s v="Valid"/>
    <d v="2027-03-04T00:00:00"/>
    <s v="Valid"/>
    <d v="2027-03-04T00:00:00"/>
    <s v="Valid"/>
    <d v="2019-11-20T00:00:00"/>
    <s v="Valid"/>
    <d v="2019-03-11T00:00:00"/>
    <s v="Valid"/>
    <d v="2020-06-13T00:00:00"/>
    <s v="Valid"/>
    <m/>
    <m/>
    <m/>
    <m/>
    <m/>
    <d v="2022-05-18T00:00:00"/>
    <m/>
    <d v="2021-06-21T00:00:00"/>
    <d v="2026-01-21T00:00:00"/>
    <m/>
    <m/>
    <m/>
    <m/>
    <m/>
    <d v="2025-11-19T00:00:00"/>
    <m/>
    <m/>
    <m/>
    <d v="2024-06-12T00:00:00"/>
    <m/>
    <m/>
    <m/>
    <m/>
    <m/>
    <m/>
    <m/>
    <d v="2025-07-21T00:00:00"/>
    <m/>
    <d v="2017-02-06T00:00:00"/>
    <m/>
    <m/>
    <d v="2018-01-16T00:00:00"/>
    <m/>
    <x v="0"/>
    <x v="0"/>
    <x v="0"/>
    <x v="0"/>
    <m/>
    <m/>
    <m/>
    <m/>
    <n v="9"/>
    <n v="8"/>
    <x v="6"/>
    <m/>
    <m/>
    <m/>
    <x v="0"/>
    <x v="0"/>
    <x v="0"/>
    <x v="0"/>
    <m/>
    <m/>
    <x v="0"/>
    <m/>
    <s v="Not Trained"/>
    <m/>
    <m/>
    <s v="Not Trained"/>
    <s v="Not eligible"/>
    <s v="Not eligible"/>
  </r>
  <r>
    <n v="171"/>
    <n v="582498"/>
    <x v="170"/>
    <x v="16"/>
    <m/>
    <m/>
    <x v="11"/>
    <d v="2027-08-13T00:00:00"/>
    <s v="Valid"/>
    <d v="2027-08-13T00:00:00"/>
    <s v="Valid"/>
    <d v="2017-08-24T00:00:00"/>
    <s v="Valid"/>
    <d v="2027-07-09T00:00:00"/>
    <s v="Valid"/>
    <d v="2027-07-09T00:00:00"/>
    <s v="Valid"/>
    <d v="2027-07-09T00:00:00"/>
    <s v="Valid"/>
    <d v="2027-07-09T00:00:00"/>
    <s v="Valid"/>
    <d v="2017-08-14T00:00:00"/>
    <s v="Valid"/>
    <d v="2019-03-11T00:00:00"/>
    <s v="Valid"/>
    <d v="2019-07-11T00:00:00"/>
    <s v="Valid"/>
    <m/>
    <m/>
    <m/>
    <m/>
    <m/>
    <d v="2025-06-18T00:00:00"/>
    <m/>
    <d v="2018-07-16T00:00:00"/>
    <d v="2021-01-18T00:00:00"/>
    <m/>
    <m/>
    <m/>
    <m/>
    <m/>
    <m/>
    <m/>
    <m/>
    <m/>
    <d v="2025-03-19T00:00:00"/>
    <m/>
    <m/>
    <m/>
    <m/>
    <m/>
    <m/>
    <m/>
    <d v="2025-03-19T00:00:00"/>
    <m/>
    <d v="2017-08-08T00:00:00"/>
    <m/>
    <m/>
    <d v="2018-03-22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2"/>
    <n v="581949"/>
    <x v="171"/>
    <x v="16"/>
    <m/>
    <m/>
    <x v="11"/>
    <d v="2028-06-17T00:00:00"/>
    <s v="Valid"/>
    <d v="2028-06-17T00:00:00"/>
    <s v="Valid"/>
    <d v="2021-06-03T00:00:00"/>
    <s v="Valid"/>
    <d v="2027-07-16T00:00:00"/>
    <s v="Valid"/>
    <d v="2027-07-25T00:00:00"/>
    <s v="Valid"/>
    <d v="2027-07-25T00:00:00"/>
    <s v="Valid"/>
    <d v="2027-07-25T00:00:00"/>
    <s v="Valid"/>
    <d v="2016-07-19T00:00:00"/>
    <s v="Valid"/>
    <d v="2022-06-14T00:00:00"/>
    <s v="Valid"/>
    <d v="2020-12-07T00:00:00"/>
    <s v="Valid"/>
    <m/>
    <m/>
    <m/>
    <m/>
    <m/>
    <d v="2025-01-13T00:00:00"/>
    <d v="2018-04-09T00:00:00"/>
    <d v="2018-07-16T00:00:00"/>
    <d v="2016-11-16T00:00:00"/>
    <m/>
    <m/>
    <m/>
    <m/>
    <m/>
    <m/>
    <m/>
    <m/>
    <m/>
    <d v="2025-08-19T00:00:00"/>
    <m/>
    <m/>
    <m/>
    <m/>
    <m/>
    <m/>
    <m/>
    <d v="2025-03-18T00:00:00"/>
    <m/>
    <d v="2024-05-18T00:00:00"/>
    <m/>
    <m/>
    <d v="2025-09-29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3"/>
    <n v="581990"/>
    <x v="172"/>
    <x v="17"/>
    <m/>
    <m/>
    <x v="11"/>
    <d v="2027-06-04T00:00:00"/>
    <s v="Valid"/>
    <d v="2027-06-04T00:00:00"/>
    <s v="Valid"/>
    <d v="2019-08-29T00:00:00"/>
    <s v="Valid"/>
    <d v="2027-07-16T00:00:00"/>
    <s v="Valid"/>
    <d v="2027-07-16T00:00:00"/>
    <s v="Valid"/>
    <d v="2027-07-29T00:00:00"/>
    <s v="Valid"/>
    <d v="2027-07-16T00:00:00"/>
    <s v="Valid"/>
    <d v="2018-02-09T00:00:00"/>
    <s v="Valid"/>
    <d v="2020-07-01T00:00:00"/>
    <s v="Valid"/>
    <d v="2020-02-07T00:00:00"/>
    <s v="Valid"/>
    <m/>
    <m/>
    <m/>
    <m/>
    <m/>
    <d v="2023-11-29T00:00:00"/>
    <d v="2016-10-17T00:00:00"/>
    <m/>
    <d v="2017-08-22T00:00:00"/>
    <m/>
    <m/>
    <m/>
    <m/>
    <m/>
    <m/>
    <m/>
    <m/>
    <m/>
    <d v="2023-07-18T00:00:00"/>
    <m/>
    <m/>
    <m/>
    <m/>
    <m/>
    <m/>
    <m/>
    <d v="2025-07-14T00:00:00"/>
    <m/>
    <d v="2017-05-02T00:00:00"/>
    <m/>
    <m/>
    <d v="2018-10-29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4"/>
    <n v="581066"/>
    <x v="173"/>
    <x v="17"/>
    <m/>
    <m/>
    <x v="11"/>
    <d v="2026-10-21T00:00:00"/>
    <s v="Expiring"/>
    <d v="2026-10-21T00:00:00"/>
    <s v="Expiring"/>
    <d v="2019-03-05T00:00:00"/>
    <s v="Valid"/>
    <d v="2027-03-03T00:00:00"/>
    <s v="Valid"/>
    <d v="2027-03-03T00:00:00"/>
    <s v="Valid"/>
    <d v="2027-03-03T00:00:00"/>
    <s v="Valid"/>
    <d v="2027-03-03T00:00:00"/>
    <s v="Valid"/>
    <d v="2018-09-06T00:00:00"/>
    <s v="Valid"/>
    <d v="2018-04-13T00:00:00"/>
    <s v="Valid"/>
    <d v="2018-10-18T00:00:00"/>
    <s v="Valid"/>
    <m/>
    <m/>
    <m/>
    <m/>
    <m/>
    <d v="2023-10-04T00:00:00"/>
    <d v="2018-03-05T00:00:00"/>
    <m/>
    <d v="2026-07-15T00:00:00"/>
    <m/>
    <m/>
    <m/>
    <m/>
    <m/>
    <m/>
    <m/>
    <m/>
    <m/>
    <d v="2024-10-09T00:00:00"/>
    <m/>
    <m/>
    <m/>
    <m/>
    <m/>
    <m/>
    <m/>
    <d v="2025-06-10T00:00:00"/>
    <m/>
    <d v="2014-12-17T00:00:00"/>
    <m/>
    <m/>
    <d v="2016-02-17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5"/>
    <n v="581276"/>
    <x v="174"/>
    <x v="17"/>
    <m/>
    <m/>
    <x v="11"/>
    <d v="2027-06-09T00:00:00"/>
    <s v="Valid"/>
    <d v="2027-06-09T00:00:00"/>
    <s v="Valid"/>
    <d v="2019-03-18T00:00:00"/>
    <s v="Valid"/>
    <d v="2027-03-04T00:00:00"/>
    <s v="Valid"/>
    <d v="2027-03-04T00:00:00"/>
    <s v="Valid"/>
    <d v="2027-03-04T00:00:00"/>
    <s v="Valid"/>
    <d v="2027-03-04T00:00:00"/>
    <s v="Valid"/>
    <d v="2017-01-10T00:00:00"/>
    <s v="Valid"/>
    <d v="2019-02-11T00:00:00"/>
    <s v="Valid"/>
    <d v="2016-08-29T00:00:00"/>
    <s v="Valid"/>
    <m/>
    <m/>
    <m/>
    <m/>
    <m/>
    <d v="2024-01-30T00:00:00"/>
    <d v="2017-02-13T00:00:00"/>
    <d v="2022-01-10T00:00:00"/>
    <d v="2021-08-04T00:00:00"/>
    <m/>
    <m/>
    <m/>
    <m/>
    <m/>
    <m/>
    <m/>
    <m/>
    <m/>
    <d v="2024-03-06T00:00:00"/>
    <m/>
    <m/>
    <m/>
    <m/>
    <m/>
    <m/>
    <m/>
    <d v="2025-07-28T00:00:00"/>
    <m/>
    <d v="2015-11-11T00:00:00"/>
    <m/>
    <m/>
    <d v="2016-10-05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6"/>
    <n v="582830"/>
    <x v="175"/>
    <x v="17"/>
    <m/>
    <m/>
    <x v="11"/>
    <d v="2028-03-11T00:00:00"/>
    <s v="Valid"/>
    <d v="2028-03-11T00:00:00"/>
    <s v="Valid"/>
    <d v="2019-06-27T00:00:00"/>
    <s v="Valid"/>
    <d v="2027-03-04T00:00:00"/>
    <s v="Valid"/>
    <d v="2027-03-04T00:00:00"/>
    <s v="Valid"/>
    <d v="2027-03-04T00:00:00"/>
    <s v="Valid"/>
    <d v="2027-03-04T00:00:00"/>
    <s v="Valid"/>
    <d v="2018-08-23T00:00:00"/>
    <s v="Valid"/>
    <d v="2018-05-03T00:00:00"/>
    <s v="Valid"/>
    <d v="2018-09-24T00:00:00"/>
    <s v="Valid"/>
    <m/>
    <m/>
    <m/>
    <m/>
    <m/>
    <d v="2025-07-09T00:00:00"/>
    <d v="2018-03-05T00:00:00"/>
    <d v="2018-03-21T00:00:00"/>
    <d v="2020-09-28T00:00:00"/>
    <m/>
    <m/>
    <m/>
    <m/>
    <m/>
    <m/>
    <m/>
    <m/>
    <m/>
    <d v="2025-07-23T00:00:00"/>
    <m/>
    <m/>
    <m/>
    <m/>
    <m/>
    <m/>
    <m/>
    <d v="2025-06-23T00:00:00"/>
    <m/>
    <d v="2018-04-09T00:00:00"/>
    <m/>
    <m/>
    <d v="2019-01-22T00:00:00"/>
    <m/>
    <x v="0"/>
    <x v="0"/>
    <x v="0"/>
    <x v="0"/>
    <d v="2026-06-25T00:00:00"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7"/>
    <n v="581042"/>
    <x v="176"/>
    <x v="17"/>
    <m/>
    <m/>
    <x v="11"/>
    <d v="2026-09-26T00:00:00"/>
    <s v="Expiring"/>
    <d v="2026-09-26T00:00:00"/>
    <s v="Expiring"/>
    <d v="2018-04-19T00:00:00"/>
    <s v="Valid"/>
    <d v="2027-07-30T00:00:00"/>
    <s v="Valid"/>
    <d v="2027-07-30T00:00:00"/>
    <s v="Valid"/>
    <d v="2027-07-30T00:00:00"/>
    <s v="Valid"/>
    <d v="2027-07-30T00:00:00"/>
    <s v="Valid"/>
    <d v="2017-03-15T00:00:00"/>
    <s v="Valid"/>
    <d v="2016-12-15T00:00:00"/>
    <s v="Valid"/>
    <d v="2015-03-23T00:00:00"/>
    <s v="Valid"/>
    <m/>
    <m/>
    <m/>
    <m/>
    <m/>
    <d v="2023-03-21T00:00:00"/>
    <d v="2015-04-06T00:00:00"/>
    <d v="2023-07-24T00:00:00"/>
    <d v="2025-06-18T00:00:00"/>
    <m/>
    <m/>
    <m/>
    <m/>
    <m/>
    <m/>
    <m/>
    <m/>
    <m/>
    <d v="2023-11-08T00:00:00"/>
    <m/>
    <m/>
    <m/>
    <m/>
    <m/>
    <m/>
    <m/>
    <d v="2025-08-25T00:00:00"/>
    <m/>
    <d v="2024-05-15T00:00:00"/>
    <m/>
    <m/>
    <d v="2016-04-20T00:00:00"/>
    <m/>
    <x v="0"/>
    <x v="0"/>
    <x v="0"/>
    <x v="0"/>
    <m/>
    <m/>
    <m/>
    <m/>
    <n v="16"/>
    <n v="16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8"/>
    <n v="582690"/>
    <x v="177"/>
    <x v="18"/>
    <m/>
    <m/>
    <x v="11"/>
    <d v="2026-10-02T00:00:00"/>
    <s v="Expiring"/>
    <d v="2026-10-02T00:00:00"/>
    <s v="Expiring"/>
    <d v="2020-05-20T00:00:00"/>
    <s v="Valid"/>
    <d v="2027-06-15T00:00:00"/>
    <s v="Valid"/>
    <d v="2027-06-15T00:00:00"/>
    <s v="Valid"/>
    <d v="2027-06-15T00:00:00"/>
    <s v="Valid"/>
    <d v="2027-06-15T00:00:00"/>
    <s v="Valid"/>
    <d v="2022-10-31T00:00:00"/>
    <s v="Valid"/>
    <d v="2022-11-28T00:00:00"/>
    <s v="Valid"/>
    <d v="2018-03-13T00:00:00"/>
    <s v="Valid"/>
    <m/>
    <m/>
    <m/>
    <m/>
    <m/>
    <m/>
    <d v="2024-06-11T00:00:00"/>
    <m/>
    <d v="2025-09-24T00:00:00"/>
    <m/>
    <m/>
    <m/>
    <m/>
    <m/>
    <m/>
    <m/>
    <m/>
    <m/>
    <d v="2024-03-06T00:00:00"/>
    <m/>
    <m/>
    <m/>
    <m/>
    <m/>
    <m/>
    <m/>
    <d v="2024-03-06T00:00:00"/>
    <m/>
    <d v="2024-05-15T00:00:00"/>
    <m/>
    <m/>
    <d v="2017-07-28T00:00:00"/>
    <m/>
    <x v="0"/>
    <x v="0"/>
    <x v="0"/>
    <x v="0"/>
    <m/>
    <m/>
    <m/>
    <m/>
    <n v="14"/>
    <n v="14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79"/>
    <n v="783227"/>
    <x v="178"/>
    <x v="19"/>
    <m/>
    <m/>
    <x v="11"/>
    <d v="2028-07-09T00:00:00"/>
    <s v="Valid"/>
    <d v="2026-09-19T00:00:00"/>
    <s v="Expiring"/>
    <d v="2024-09-19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4-08-06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80"/>
    <n v="584434"/>
    <x v="179"/>
    <x v="18"/>
    <m/>
    <m/>
    <x v="11"/>
    <d v="2027-11-06T00:00:00"/>
    <s v="Valid"/>
    <d v="2027-10-15T00:00:00"/>
    <s v="Valid"/>
    <d v="2027-12-04T00:00:00"/>
    <s v="Valid"/>
    <d v="2027-10-19T00:00:00"/>
    <s v="Valid"/>
    <d v="2027-10-19T00:00:00"/>
    <s v="Valid"/>
    <d v="2027-10-19T00:00:00"/>
    <s v="Valid"/>
    <d v="2027-10-20T00:00:00"/>
    <s v="Valid"/>
    <d v="2027-10-16T00:00:00"/>
    <s v="Valid"/>
    <d v="2027-12-18T00:00:00"/>
    <s v="Valid"/>
    <d v="2028-02-23T00:00:00"/>
    <s v="Valid"/>
    <m/>
    <m/>
    <m/>
    <m/>
    <m/>
    <m/>
    <m/>
    <m/>
    <d v="2026-01-21T00:00:00"/>
    <m/>
    <m/>
    <m/>
    <m/>
    <m/>
    <m/>
    <m/>
    <m/>
    <m/>
    <m/>
    <m/>
    <m/>
    <m/>
    <m/>
    <m/>
    <m/>
    <m/>
    <d v="2025-11-24T00:00:00"/>
    <m/>
    <d v="2026-01-07T00:00:00"/>
    <m/>
    <m/>
    <m/>
    <m/>
    <x v="0"/>
    <x v="0"/>
    <x v="0"/>
    <x v="0"/>
    <m/>
    <m/>
    <m/>
    <m/>
    <n v="14"/>
    <n v="13"/>
    <x v="4"/>
    <m/>
    <m/>
    <m/>
    <x v="0"/>
    <x v="0"/>
    <x v="0"/>
    <x v="0"/>
    <m/>
    <m/>
    <x v="0"/>
    <m/>
    <s v="Not Trained"/>
    <m/>
    <m/>
    <s v="Not Trained"/>
    <s v="Not eligible"/>
    <s v="Not eligible"/>
  </r>
  <r>
    <n v="181"/>
    <n v="584373"/>
    <x v="180"/>
    <x v="20"/>
    <m/>
    <m/>
    <x v="11"/>
    <d v="2028-07-27T00:00:00"/>
    <s v="Valid"/>
    <d v="2028-07-27T00:00:00"/>
    <s v="Valid"/>
    <d v="2026-10-14T00:00:00"/>
    <s v="Valid"/>
    <d v="2026-10-15T00:00:00"/>
    <s v="Expiring"/>
    <d v="2026-10-15T00:00:00"/>
    <s v="Expiring"/>
    <d v="2026-10-15T00:00:00"/>
    <s v="Expiring"/>
    <d v="2026-10-16T00:00:00"/>
    <s v="Expiring"/>
    <d v="2026-10-17T00:00:00"/>
    <s v="Valid"/>
    <d v="2026-10-21T00:00:00"/>
    <s v="Valid"/>
    <d v="2026-10-28T00:00:00"/>
    <s v="Valid"/>
    <m/>
    <m/>
    <m/>
    <m/>
    <m/>
    <m/>
    <m/>
    <d v="2026-05-04T00:00:00"/>
    <d v="2028-07-15T00:00:00"/>
    <m/>
    <m/>
    <m/>
    <m/>
    <m/>
    <m/>
    <m/>
    <m/>
    <m/>
    <m/>
    <m/>
    <m/>
    <m/>
    <m/>
    <m/>
    <m/>
    <m/>
    <m/>
    <m/>
    <d v="2023-09-11T00:00:00"/>
    <m/>
    <d v="2023-10-02T00:00:00"/>
    <m/>
    <m/>
    <x v="0"/>
    <x v="0"/>
    <x v="0"/>
    <x v="0"/>
    <m/>
    <m/>
    <m/>
    <m/>
    <n v="14"/>
    <n v="13"/>
    <x v="4"/>
    <m/>
    <m/>
    <m/>
    <x v="0"/>
    <x v="0"/>
    <x v="0"/>
    <x v="0"/>
    <m/>
    <m/>
    <x v="0"/>
    <m/>
    <s v="Not Trained"/>
    <m/>
    <m/>
    <s v="Not Trained"/>
    <s v="Not eligible"/>
    <s v="Not eligible"/>
  </r>
  <r>
    <n v="182"/>
    <n v="533521"/>
    <x v="181"/>
    <x v="21"/>
    <s v="p414"/>
    <s v="JKTTLC-4"/>
    <x v="12"/>
    <d v="2027-06-11T00:00:00"/>
    <s v="Valid"/>
    <d v="2027-06-11T00:00:00"/>
    <s v="Valid"/>
    <d v="2027-08-26T00:00:00"/>
    <s v="Valid"/>
    <d v="2028-03-04T00:00:00"/>
    <s v="Valid"/>
    <d v="2028-03-04T00:00:00"/>
    <s v="Valid"/>
    <d v="2028-03-04T00:00:00"/>
    <s v="Valid"/>
    <d v="2028-03-04T00:00:00"/>
    <s v="Valid"/>
    <d v="2028-03-04T00:00:00"/>
    <s v="Valid"/>
    <d v="2027-08-26T00:00:00"/>
    <s v="Valid"/>
    <d v="2023-09-06T00:00:00"/>
    <s v="Valid"/>
    <d v="2011-10-27T00:00:00"/>
    <d v="2017-08-28T00:00:00"/>
    <d v="2017-01-14T00:00:00"/>
    <d v="2024-09-23T00:00:00"/>
    <d v="2022-06-23T00:00:00"/>
    <d v="2018-08-21T00:00:00"/>
    <m/>
    <m/>
    <m/>
    <m/>
    <m/>
    <m/>
    <m/>
    <m/>
    <m/>
    <m/>
    <m/>
    <m/>
    <d v="2024-03-08T00:00:00"/>
    <m/>
    <m/>
    <m/>
    <m/>
    <m/>
    <m/>
    <m/>
    <d v="2025-08-23T00:00:00"/>
    <s v="2020-03-18"/>
    <m/>
    <m/>
    <m/>
    <m/>
    <m/>
    <x v="30"/>
    <x v="3"/>
    <x v="8"/>
    <x v="0"/>
    <m/>
    <m/>
    <m/>
    <m/>
    <n v="15"/>
    <n v="14"/>
    <x v="1"/>
    <s v="100.00%"/>
    <s v="DIRECT"/>
    <s v="C1 C2 C4"/>
    <x v="3"/>
    <x v="7"/>
    <x v="0"/>
    <x v="80"/>
    <m/>
    <m/>
    <x v="116"/>
    <d v="2028-07-04T00:00:00"/>
    <s v="Valid"/>
    <s v="A null"/>
    <d v="2048-04-20T00:00:00"/>
    <s v="Not Trained"/>
    <s v="Eligible"/>
    <s v="Eligible"/>
  </r>
  <r>
    <n v="183"/>
    <n v="533501"/>
    <x v="182"/>
    <x v="10"/>
    <s v="p414"/>
    <s v="JKTTLC-4"/>
    <x v="12"/>
    <d v="2027-08-24T00:00:00"/>
    <s v="Valid"/>
    <d v="2027-08-24T00:00:00"/>
    <s v="Valid"/>
    <d v="2027-07-30T00:00:00"/>
    <s v="Valid"/>
    <d v="2027-07-30T00:00:00"/>
    <s v="Valid"/>
    <d v="2027-07-30T00:00:00"/>
    <s v="Valid"/>
    <d v="2027-07-30T00:00:00"/>
    <s v="Valid"/>
    <d v="2027-07-30T00:00:00"/>
    <s v="Valid"/>
    <d v="2027-07-30T00:00:00"/>
    <s v="Valid"/>
    <d v="2027-07-30T00:00:00"/>
    <s v="Valid"/>
    <d v="2023-09-06T00:00:00"/>
    <s v="Valid"/>
    <d v="2011-11-04T00:00:00"/>
    <d v="2017-10-30T00:00:00"/>
    <d v="2019-02-08T00:00:00"/>
    <d v="2024-11-24T00:00:00"/>
    <d v="2024-02-09T00:00:00"/>
    <d v="2021-09-21T00:00:00"/>
    <m/>
    <m/>
    <m/>
    <m/>
    <m/>
    <m/>
    <m/>
    <m/>
    <m/>
    <m/>
    <m/>
    <m/>
    <s v="2024-01-19"/>
    <m/>
    <m/>
    <m/>
    <m/>
    <m/>
    <m/>
    <m/>
    <d v="2026-03-15T00:00:00"/>
    <s v="2022-10-05"/>
    <s v="2024-12-31"/>
    <m/>
    <m/>
    <m/>
    <m/>
    <x v="8"/>
    <x v="4"/>
    <x v="8"/>
    <x v="2"/>
    <m/>
    <m/>
    <m/>
    <m/>
    <n v="15"/>
    <n v="15"/>
    <x v="0"/>
    <s v="100.00%"/>
    <s v="DIRECT"/>
    <s v="A1 A4"/>
    <x v="4"/>
    <x v="7"/>
    <x v="0"/>
    <x v="81"/>
    <m/>
    <m/>
    <x v="117"/>
    <d v="2028-12-10T00:00:00"/>
    <s v="Valid"/>
    <s v="A null"/>
    <d v="2045-09-27T00:00:00"/>
    <s v="Valid"/>
    <s v="Eligible"/>
    <s v="Eligible"/>
  </r>
  <r>
    <n v="184"/>
    <n v="582712"/>
    <x v="183"/>
    <x v="3"/>
    <s v="p414"/>
    <s v="JKTTLC-4"/>
    <x v="12"/>
    <d v="2027-12-03T00:00:00"/>
    <s v="Valid"/>
    <d v="2027-12-03T00:00:00"/>
    <s v="Valid"/>
    <d v="2026-11-02T00:00:00"/>
    <s v="Expiring"/>
    <d v="2028-01-13T00:00:00"/>
    <s v="Valid"/>
    <d v="2028-01-13T00:00:00"/>
    <s v="Valid"/>
    <d v="2028-01-13T00:00:00"/>
    <s v="Valid"/>
    <d v="2028-01-13T00:00:00"/>
    <s v="Valid"/>
    <d v="2028-02-11T00:00:00"/>
    <s v="Valid"/>
    <d v="2026-10-30T00:00:00"/>
    <s v="Expiring"/>
    <d v="2024-11-05T00:00:00"/>
    <s v="Valid"/>
    <d v="2019-02-08T00:00:00"/>
    <d v="2024-08-02T00:00:00"/>
    <d v="2023-12-17T00:00:00"/>
    <d v="2025-01-19T00:00:00"/>
    <d v="2023-09-09T00:00:00"/>
    <d v="2025-10-08T00:00:00"/>
    <m/>
    <m/>
    <m/>
    <m/>
    <m/>
    <m/>
    <s v="2018-04-20"/>
    <m/>
    <m/>
    <m/>
    <m/>
    <m/>
    <m/>
    <m/>
    <m/>
    <m/>
    <m/>
    <m/>
    <m/>
    <m/>
    <d v="2026-01-24T00:00:00"/>
    <s v="2022-11-09"/>
    <s v="2024-12-31"/>
    <m/>
    <d v="2014-09-08T00:00:00"/>
    <m/>
    <m/>
    <x v="24"/>
    <x v="3"/>
    <x v="8"/>
    <x v="0"/>
    <m/>
    <s v="2023-10-27"/>
    <m/>
    <m/>
    <n v="15"/>
    <n v="15"/>
    <x v="0"/>
    <s v="100.00%"/>
    <s v="DIRECT"/>
    <s v="A1 A4"/>
    <x v="3"/>
    <x v="0"/>
    <x v="0"/>
    <x v="82"/>
    <n v="1"/>
    <m/>
    <x v="118"/>
    <d v="2028-09-29T00:00:00"/>
    <s v="Valid"/>
    <s v="A null"/>
    <d v="2051-10-15T00:00:00"/>
    <s v="Valid"/>
    <s v="Eligible"/>
    <s v="Not eligible"/>
  </r>
  <r>
    <n v="185"/>
    <n v="783124"/>
    <x v="184"/>
    <x v="13"/>
    <s v="p427"/>
    <s v="JKTTLC-4"/>
    <x v="12"/>
    <d v="2027-11-06T00:00:00"/>
    <s v="Valid"/>
    <d v="2027-12-18T00:00:00"/>
    <s v="Valid"/>
    <d v="2024-02-12T00:00:00"/>
    <s v="Valid"/>
    <m/>
    <m/>
    <m/>
    <m/>
    <m/>
    <m/>
    <m/>
    <m/>
    <m/>
    <m/>
    <m/>
    <m/>
    <m/>
    <m/>
    <d v="2026-02-07T00:00:00"/>
    <m/>
    <m/>
    <m/>
    <m/>
    <m/>
    <m/>
    <m/>
    <m/>
    <m/>
    <m/>
    <m/>
    <m/>
    <m/>
    <m/>
    <m/>
    <m/>
    <m/>
    <m/>
    <m/>
    <m/>
    <m/>
    <m/>
    <m/>
    <m/>
    <m/>
    <d v="2025-07-28T00:00:00"/>
    <m/>
    <s v="2025-02-18"/>
    <m/>
    <m/>
    <m/>
    <m/>
    <x v="0"/>
    <x v="0"/>
    <x v="0"/>
    <x v="0"/>
    <m/>
    <m/>
    <m/>
    <d v="2024-02-12T00:00:00"/>
    <n v="3"/>
    <n v="3"/>
    <x v="0"/>
    <s v="18.18%"/>
    <s v="DIRECT"/>
    <s v="A1 A3 A4"/>
    <x v="0"/>
    <x v="0"/>
    <x v="0"/>
    <x v="0"/>
    <m/>
    <m/>
    <x v="0"/>
    <m/>
    <s v="Not Trained"/>
    <s v="A null"/>
    <m/>
    <s v="Valid"/>
    <s v="Not eligible"/>
    <s v="Not eligible"/>
  </r>
  <r>
    <n v="186"/>
    <n v="533597"/>
    <x v="185"/>
    <x v="6"/>
    <s v="p404"/>
    <s v="JKTTLC-4"/>
    <x v="12"/>
    <d v="2028-01-18T00:00:00"/>
    <s v="Valid"/>
    <d v="2028-01-18T00:00:00"/>
    <s v="Valid"/>
    <d v="2026-11-03T00:00:00"/>
    <s v="Valid"/>
    <d v="2027-02-06T00:00:00"/>
    <s v="Valid"/>
    <d v="2026-10-29T00:00:00"/>
    <s v="Expiring"/>
    <d v="2027-02-06T00:00:00"/>
    <s v="Valid"/>
    <d v="2027-02-06T00:00:00"/>
    <s v="Valid"/>
    <d v="2027-07-29T00:00:00"/>
    <s v="Valid"/>
    <d v="2026-10-29T00:00:00"/>
    <s v="Valid"/>
    <d v="2021-03-08T00:00:00"/>
    <s v="Valid"/>
    <d v="2011-07-08T00:00:00"/>
    <d v="2012-09-21T00:00:00"/>
    <d v="2013-02-21T00:00:00"/>
    <d v="2016-10-12T00:00:00"/>
    <d v="2018-04-05T00:00:00"/>
    <d v="2016-05-24T00:00:00"/>
    <m/>
    <m/>
    <m/>
    <m/>
    <m/>
    <m/>
    <m/>
    <m/>
    <d v="2025-11-19T00:00:00"/>
    <d v="2024-07-22T00:00:00"/>
    <d v="2024-03-30T00:00:00"/>
    <d v="2024-08-31T00:00:00"/>
    <m/>
    <m/>
    <m/>
    <m/>
    <m/>
    <m/>
    <m/>
    <m/>
    <m/>
    <s v="2022-09-16"/>
    <s v="2011-09-22"/>
    <m/>
    <m/>
    <m/>
    <m/>
    <x v="65"/>
    <x v="1"/>
    <x v="8"/>
    <x v="5"/>
    <m/>
    <m/>
    <m/>
    <m/>
    <n v="14"/>
    <n v="14"/>
    <x v="0"/>
    <s v="100.00%"/>
    <s v="INDIRECT"/>
    <s v="A1 A4"/>
    <x v="1"/>
    <x v="7"/>
    <x v="2"/>
    <x v="83"/>
    <m/>
    <m/>
    <x v="119"/>
    <d v="2029-04-04T00:00:00"/>
    <s v="Valid"/>
    <s v=" null"/>
    <d v="2033-07-01T00:00:00"/>
    <s v="Not Trained"/>
    <s v="Eligible"/>
    <s v="Eligible"/>
  </r>
  <r>
    <n v="187"/>
    <n v="582699"/>
    <x v="186"/>
    <x v="11"/>
    <s v="p413"/>
    <s v="JKTTLC-4"/>
    <x v="12"/>
    <d v="2028-01-21T00:00:00"/>
    <s v="Valid"/>
    <d v="2028-01-21T00:00:00"/>
    <s v="Valid"/>
    <d v="2028-03-11T00:00:00"/>
    <s v="Valid"/>
    <d v="2028-03-03T00:00:00"/>
    <s v="Valid"/>
    <d v="2028-03-03T00:00:00"/>
    <s v="Valid"/>
    <d v="2028-03-03T00:00:00"/>
    <s v="Valid"/>
    <d v="2028-03-03T00:00:00"/>
    <s v="Valid"/>
    <d v="2028-03-03T00:00:00"/>
    <s v="Valid"/>
    <d v="2028-03-03T00:00:00"/>
    <s v="Valid"/>
    <d v="2024-03-03T00:00:00"/>
    <s v="Valid"/>
    <d v="2019-02-08T00:00:00"/>
    <d v="2020-08-10T00:00:00"/>
    <d v="2023-02-19T00:00:00"/>
    <d v="2024-08-02T00:00:00"/>
    <d v="2024-03-24T00:00:00"/>
    <d v="2023-01-17T00:00:00"/>
    <m/>
    <m/>
    <m/>
    <m/>
    <m/>
    <m/>
    <s v="2018-04-20"/>
    <m/>
    <m/>
    <m/>
    <m/>
    <m/>
    <m/>
    <m/>
    <m/>
    <m/>
    <m/>
    <m/>
    <m/>
    <m/>
    <d v="2026-01-17T00:00:00"/>
    <s v="2020-03-18"/>
    <s v="2024-12-29"/>
    <m/>
    <d v="2014-09-08T00:00:00"/>
    <m/>
    <m/>
    <x v="60"/>
    <x v="3"/>
    <x v="8"/>
    <x v="0"/>
    <m/>
    <s v="2024-02-23"/>
    <m/>
    <m/>
    <n v="17"/>
    <n v="17"/>
    <x v="0"/>
    <s v="100.00%"/>
    <s v="DIRECT"/>
    <s v="A1 A4"/>
    <x v="3"/>
    <x v="0"/>
    <x v="0"/>
    <x v="84"/>
    <n v="1"/>
    <s v="13538"/>
    <x v="120"/>
    <d v="2029-05-06T00:00:00"/>
    <s v="Valid"/>
    <s v="C 2025-05-06"/>
    <d v="2052-08-30T00:00:00"/>
    <s v="Valid"/>
    <s v="Eligible"/>
    <s v="Not eligible"/>
  </r>
  <r>
    <n v="188"/>
    <n v="580742"/>
    <x v="187"/>
    <x v="6"/>
    <m/>
    <m/>
    <x v="13"/>
    <d v="2027-05-14T00:00:00"/>
    <s v="Valid"/>
    <d v="2027-05-14T00:00:00"/>
    <s v="Valid"/>
    <d v="2019-10-24T00:00:00"/>
    <s v="Valid"/>
    <d v="2027-06-09T00:00:00"/>
    <s v="Valid"/>
    <d v="2027-06-09T00:00:00"/>
    <s v="Valid"/>
    <d v="2027-06-09T00:00:00"/>
    <s v="Valid"/>
    <d v="2027-06-09T00:00:00"/>
    <s v="Valid"/>
    <d v="2016-02-15T00:00:00"/>
    <s v="Valid"/>
    <d v="2016-03-23T00:00:00"/>
    <s v="Valid"/>
    <d v="2015-01-15T00:00:00"/>
    <s v="Valid"/>
    <m/>
    <m/>
    <m/>
    <m/>
    <m/>
    <m/>
    <d v="2016-05-23T00:00:00"/>
    <d v="2015-03-23T00:00:00"/>
    <m/>
    <m/>
    <m/>
    <m/>
    <m/>
    <m/>
    <d v="2025-07-25T00:00:00"/>
    <d v="2021-06-23T00:00:00"/>
    <d v="2020-08-25T00:00:00"/>
    <d v="2018-11-27T00:00:00"/>
    <m/>
    <m/>
    <m/>
    <m/>
    <m/>
    <m/>
    <m/>
    <m/>
    <m/>
    <m/>
    <d v="2014-01-07T00:00:00"/>
    <m/>
    <m/>
    <d v="2014-02-17T00:00:00"/>
    <m/>
    <x v="0"/>
    <x v="0"/>
    <x v="0"/>
    <x v="0"/>
    <m/>
    <m/>
    <m/>
    <m/>
    <n v="14"/>
    <n v="14"/>
    <x v="0"/>
    <m/>
    <m/>
    <m/>
    <x v="0"/>
    <x v="0"/>
    <x v="0"/>
    <x v="0"/>
    <m/>
    <m/>
    <x v="0"/>
    <m/>
    <s v="Not Trained"/>
    <m/>
    <m/>
    <s v="Valid"/>
    <s v="Not eligible"/>
    <s v="Not eligible"/>
  </r>
  <r>
    <n v="189"/>
    <n v="783423"/>
    <x v="188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0"/>
    <n v="783424"/>
    <x v="189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1"/>
    <n v="783425"/>
    <x v="190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d v="2025-10-20T00:00:00"/>
    <m/>
    <m/>
    <m/>
    <m/>
    <m/>
    <m/>
    <m/>
    <m/>
    <m/>
    <m/>
    <m/>
    <m/>
    <m/>
    <m/>
    <m/>
    <m/>
    <m/>
    <m/>
    <m/>
    <m/>
    <m/>
    <m/>
    <m/>
    <m/>
    <m/>
    <d v="2026-04-15T00:00:00"/>
    <m/>
    <d v="2025-06-11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2"/>
    <n v="783462"/>
    <x v="191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3"/>
    <n v="783463"/>
    <x v="192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4"/>
    <n v="783464"/>
    <x v="193"/>
    <x v="8"/>
    <s v="AIRCRAFT CABIN TECHNICIAN"/>
    <s v="View"/>
    <x v="8"/>
    <d v="2027-07-27T00:00:00"/>
    <s v="Valid"/>
    <d v="2027-07-27T00:00:00"/>
    <s v="Valid"/>
    <d v="2027-07-27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5"/>
    <n v="783435"/>
    <x v="194"/>
    <x v="19"/>
    <s v="ASSISTANT STAFF OFFICER"/>
    <m/>
    <x v="13"/>
    <d v="2027-07-27T00:00:00"/>
    <s v="Valid"/>
    <d v="2027-07-27T00:00:00"/>
    <s v="Valid"/>
    <d v="2027-07-27T00:00:00"/>
    <s v="Valid"/>
    <d v="2028-02-11T00:00:00"/>
    <m/>
    <d v="2028-02-11T00:00:00"/>
    <m/>
    <d v="2028-02-11T00:00:00"/>
    <m/>
    <d v="2028-02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m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196"/>
    <n v="584477"/>
    <x v="195"/>
    <x v="5"/>
    <m/>
    <m/>
    <x v="8"/>
    <d v="2028-03-05T00:00:00"/>
    <s v="Valid"/>
    <d v="2028-03-08T00:00:00"/>
    <s v="Valid"/>
    <d v="2028-03-10T00:00:00"/>
    <s v="Valid"/>
    <d v="2028-04-08T00:00:00"/>
    <s v="Valid"/>
    <d v="2028-04-08T00:00:00"/>
    <s v="Valid"/>
    <d v="2028-04-08T00:00:00"/>
    <s v="Valid"/>
    <d v="2028-04-09T00:00:00"/>
    <s v="Valid"/>
    <d v="2028-04-23T00:00:00"/>
    <s v="Valid"/>
    <d v="2028-03-12T00:00:00"/>
    <s v="Valid"/>
    <d v="2028-04-29T00:00:00"/>
    <s v="Valid"/>
    <m/>
    <m/>
    <m/>
    <m/>
    <m/>
    <m/>
    <m/>
    <m/>
    <m/>
    <m/>
    <m/>
    <m/>
    <m/>
    <m/>
    <m/>
    <m/>
    <m/>
    <m/>
    <m/>
    <m/>
    <m/>
    <m/>
    <m/>
    <m/>
    <m/>
    <m/>
    <d v="2026-02-18T00:00:00"/>
    <m/>
    <d v="2026-01-07T00:00:00"/>
    <m/>
    <m/>
    <m/>
    <m/>
    <x v="0"/>
    <x v="0"/>
    <x v="0"/>
    <x v="0"/>
    <m/>
    <m/>
    <m/>
    <m/>
    <n v="15"/>
    <n v="12"/>
    <x v="7"/>
    <m/>
    <m/>
    <m/>
    <x v="0"/>
    <x v="0"/>
    <x v="0"/>
    <x v="0"/>
    <m/>
    <m/>
    <x v="0"/>
    <m/>
    <s v="Not Trained"/>
    <m/>
    <m/>
    <s v="Not Trained"/>
    <s v="Not eligible"/>
    <s v="Not eligible"/>
  </r>
  <r>
    <n v="197"/>
    <n v="584541"/>
    <x v="196"/>
    <x v="7"/>
    <m/>
    <m/>
    <x v="8"/>
    <d v="2028-03-05T00:00:00"/>
    <s v="Valid"/>
    <d v="2028-03-08T00:00:00"/>
    <s v="Valid"/>
    <d v="2028-03-10T00:00:00"/>
    <s v="Valid"/>
    <d v="2028-04-08T00:00:00"/>
    <s v="Valid"/>
    <d v="2028-04-08T00:00:00"/>
    <s v="Valid"/>
    <d v="2028-04-08T00:00:00"/>
    <s v="Valid"/>
    <d v="2028-04-09T00:00:00"/>
    <s v="Valid"/>
    <d v="2028-04-23T00:00:00"/>
    <s v="Valid"/>
    <d v="2028-03-12T00:00:00"/>
    <s v="Valid"/>
    <d v="2028-04-29T00:00:00"/>
    <s v="Valid"/>
    <d v="2026-04-20T00:00:00"/>
    <m/>
    <m/>
    <m/>
    <m/>
    <m/>
    <m/>
    <m/>
    <m/>
    <m/>
    <m/>
    <m/>
    <m/>
    <m/>
    <m/>
    <m/>
    <m/>
    <m/>
    <m/>
    <m/>
    <m/>
    <m/>
    <m/>
    <m/>
    <m/>
    <m/>
    <d v="2026-06-22T00:00:00"/>
    <m/>
    <d v="2026-04-16T00:00:00"/>
    <m/>
    <m/>
    <m/>
    <m/>
    <x v="0"/>
    <x v="0"/>
    <x v="0"/>
    <x v="0"/>
    <m/>
    <m/>
    <m/>
    <m/>
    <n v="13"/>
    <n v="12"/>
    <x v="2"/>
    <m/>
    <m/>
    <m/>
    <x v="0"/>
    <x v="0"/>
    <x v="0"/>
    <x v="0"/>
    <m/>
    <m/>
    <x v="0"/>
    <m/>
    <s v="Not Trained"/>
    <m/>
    <m/>
    <s v="Not Trained"/>
    <s v="Not eligible"/>
    <s v="Not eligible"/>
  </r>
  <r>
    <n v="198"/>
    <n v="584556"/>
    <x v="197"/>
    <x v="7"/>
    <m/>
    <m/>
    <x v="8"/>
    <d v="2028-04-08T00:00:00"/>
    <s v="Valid"/>
    <d v="2028-04-23T00:00:00"/>
    <s v="Valid"/>
    <d v="2028-04-29T00:00:00"/>
    <s v="Valid"/>
    <d v="2028-05-18T00:00:00"/>
    <s v="Valid"/>
    <d v="2028-05-18T00:00:00"/>
    <s v="Valid"/>
    <d v="2028-05-18T00:00:00"/>
    <s v="Valid"/>
    <d v="2028-05-19T00:00:00"/>
    <s v="Valid"/>
    <d v="2028-05-12T00:00:00"/>
    <s v="Valid"/>
    <d v="2028-07-09T00:00:00"/>
    <s v="Valid"/>
    <d v="2028-06-11T00:00:00"/>
    <s v="Valid"/>
    <d v="2026-04-20T00:00:00"/>
    <m/>
    <m/>
    <m/>
    <m/>
    <m/>
    <m/>
    <m/>
    <m/>
    <m/>
    <m/>
    <m/>
    <m/>
    <m/>
    <m/>
    <m/>
    <m/>
    <m/>
    <m/>
    <m/>
    <m/>
    <m/>
    <m/>
    <m/>
    <m/>
    <m/>
    <d v="2026-06-17T00:00:00"/>
    <m/>
    <d v="2026-04-16T00:00:00"/>
    <m/>
    <m/>
    <m/>
    <m/>
    <x v="0"/>
    <x v="0"/>
    <x v="0"/>
    <x v="0"/>
    <m/>
    <m/>
    <m/>
    <m/>
    <n v="13"/>
    <n v="12"/>
    <x v="2"/>
    <m/>
    <m/>
    <m/>
    <x v="0"/>
    <x v="0"/>
    <x v="0"/>
    <x v="0"/>
    <m/>
    <m/>
    <x v="0"/>
    <m/>
    <s v="Not Trained"/>
    <m/>
    <m/>
    <s v="Not Trained"/>
    <s v="Not eligible"/>
    <s v="Not eligible"/>
  </r>
  <r>
    <n v="199"/>
    <n v="584557"/>
    <x v="198"/>
    <x v="7"/>
    <m/>
    <m/>
    <x v="8"/>
    <d v="2028-04-08T00:00:00"/>
    <s v="Valid"/>
    <d v="2028-05-07T00:00:00"/>
    <s v="Valid"/>
    <d v="2028-04-29T00:00:00"/>
    <s v="Valid"/>
    <d v="2028-06-28T00:00:00"/>
    <s v="Valid"/>
    <d v="2028-06-28T00:00:00"/>
    <s v="Valid"/>
    <d v="2028-06-28T00:00:00"/>
    <s v="Valid"/>
    <d v="2028-06-29T00:00:00"/>
    <s v="Valid"/>
    <d v="2028-05-12T00:00:00"/>
    <s v="Valid"/>
    <d v="2028-04-23T00:00:00"/>
    <s v="Valid"/>
    <m/>
    <s v="Not Trained"/>
    <m/>
    <m/>
    <m/>
    <m/>
    <m/>
    <m/>
    <m/>
    <m/>
    <m/>
    <m/>
    <m/>
    <m/>
    <m/>
    <m/>
    <m/>
    <m/>
    <m/>
    <m/>
    <m/>
    <m/>
    <m/>
    <m/>
    <m/>
    <m/>
    <m/>
    <m/>
    <d v="2026-05-18T00:00:00"/>
    <m/>
    <d v="2026-04-16T00:00:00"/>
    <m/>
    <m/>
    <m/>
    <m/>
    <x v="0"/>
    <x v="0"/>
    <x v="0"/>
    <x v="0"/>
    <m/>
    <m/>
    <m/>
    <m/>
    <n v="13"/>
    <n v="11"/>
    <x v="8"/>
    <m/>
    <m/>
    <m/>
    <x v="0"/>
    <x v="0"/>
    <x v="0"/>
    <x v="0"/>
    <m/>
    <m/>
    <x v="0"/>
    <m/>
    <s v="Not Trained"/>
    <m/>
    <m/>
    <s v="Not Trained"/>
    <s v="Not eligible"/>
    <s v="Not eligible"/>
  </r>
  <r>
    <n v="200"/>
    <n v="584569"/>
    <x v="199"/>
    <x v="7"/>
    <m/>
    <m/>
    <x v="8"/>
    <d v="2028-05-12T00:00:00"/>
    <s v="Valid"/>
    <d v="2028-05-07T00:00:00"/>
    <s v="Valid"/>
    <d v="2028-05-25T00:00:00"/>
    <s v="Valid"/>
    <d v="2028-05-18T00:00:00"/>
    <s v="Valid"/>
    <d v="2028-05-18T00:00:00"/>
    <s v="Valid"/>
    <d v="2028-05-18T00:00:00"/>
    <s v="Valid"/>
    <d v="2028-05-19T00:00:00"/>
    <s v="Valid"/>
    <d v="2028-06-14T00:00:00"/>
    <s v="Valid"/>
    <d v="2028-07-09T00:00:00"/>
    <s v="Valid"/>
    <m/>
    <s v="Not Trained"/>
    <m/>
    <m/>
    <m/>
    <m/>
    <m/>
    <m/>
    <m/>
    <m/>
    <m/>
    <m/>
    <m/>
    <m/>
    <m/>
    <m/>
    <m/>
    <m/>
    <m/>
    <m/>
    <m/>
    <m/>
    <m/>
    <m/>
    <m/>
    <m/>
    <m/>
    <m/>
    <d v="2026-05-04T00:00:00"/>
    <m/>
    <m/>
    <m/>
    <m/>
    <m/>
    <m/>
    <x v="0"/>
    <x v="0"/>
    <x v="0"/>
    <x v="0"/>
    <m/>
    <m/>
    <m/>
    <m/>
    <n v="13"/>
    <n v="10"/>
    <x v="9"/>
    <m/>
    <m/>
    <m/>
    <x v="0"/>
    <x v="0"/>
    <x v="0"/>
    <x v="0"/>
    <m/>
    <m/>
    <x v="0"/>
    <m/>
    <s v="Not Trained"/>
    <m/>
    <m/>
    <s v="Not Trained"/>
    <s v="Not eligible"/>
    <s v="Not eligible"/>
  </r>
  <r>
    <n v="201"/>
    <n v="783659"/>
    <x v="200"/>
    <x v="8"/>
    <m/>
    <m/>
    <x v="8"/>
    <d v="2028-04-29T00:00:00"/>
    <s v="Valid"/>
    <d v="2028-04-29T00:00:00"/>
    <s v="Valid"/>
    <d v="2028-04-29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m/>
    <m/>
    <m/>
    <d v="2028-04-29T00:00:00"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202"/>
    <n v="783660"/>
    <x v="201"/>
    <x v="8"/>
    <m/>
    <m/>
    <x v="8"/>
    <d v="2028-04-29T00:00:00"/>
    <s v="Valid"/>
    <d v="2028-04-29T00:00:00"/>
    <s v="Valid"/>
    <d v="2028-04-29T00:00:00"/>
    <s v="Vali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m/>
    <m/>
    <m/>
    <d v="2028-04-29T00:00:00"/>
    <n v="3"/>
    <n v="3"/>
    <x v="0"/>
    <m/>
    <m/>
    <m/>
    <x v="0"/>
    <x v="0"/>
    <x v="0"/>
    <x v="0"/>
    <m/>
    <m/>
    <x v="0"/>
    <m/>
    <s v="Not Trained"/>
    <m/>
    <m/>
    <s v="Not Trained"/>
    <s v="Not eligible"/>
    <s v="Not eligible"/>
  </r>
  <r>
    <n v="203"/>
    <n v="584600"/>
    <x v="202"/>
    <x v="7"/>
    <m/>
    <m/>
    <x v="8"/>
    <d v="2028-06-18T00:00:00"/>
    <s v="Valid"/>
    <d v="2028-06-14T00:00:00"/>
    <s v="Valid"/>
    <d v="2028-07-06T00:00:00"/>
    <s v="Valid"/>
    <d v="2027-08-06T00:00:00"/>
    <s v="Valid"/>
    <d v="2027-08-06T00:00:00"/>
    <s v="Valid"/>
    <d v="2027-08-06T00:00:00"/>
    <s v="Valid"/>
    <d v="2027-08-07T00:00:00"/>
    <s v="Valid"/>
    <d v="2027-10-16T00:00:00"/>
    <s v="Valid"/>
    <d v="2027-08-14T00:00:00"/>
    <s v="Valid"/>
    <m/>
    <s v="Not Trained"/>
    <d v="2025-07-07T00:00:00"/>
    <m/>
    <m/>
    <m/>
    <m/>
    <m/>
    <m/>
    <m/>
    <m/>
    <m/>
    <m/>
    <m/>
    <m/>
    <m/>
    <m/>
    <m/>
    <m/>
    <m/>
    <m/>
    <m/>
    <m/>
    <m/>
    <m/>
    <m/>
    <m/>
    <m/>
    <d v="2026-06-22T00:00:00"/>
    <m/>
    <d v="2025-07-17T00:00:00"/>
    <m/>
    <m/>
    <m/>
    <m/>
    <x v="0"/>
    <x v="0"/>
    <x v="0"/>
    <x v="0"/>
    <m/>
    <m/>
    <m/>
    <m/>
    <n v="13"/>
    <n v="11"/>
    <x v="8"/>
    <m/>
    <m/>
    <m/>
    <x v="0"/>
    <x v="0"/>
    <x v="0"/>
    <x v="0"/>
    <m/>
    <m/>
    <x v="0"/>
    <m/>
    <s v="Not Trained"/>
    <m/>
    <m/>
    <s v="Not Trained"/>
    <s v="Not eligible"/>
    <s v="Not eligible"/>
  </r>
  <r>
    <n v="204"/>
    <n v="584603"/>
    <x v="203"/>
    <x v="7"/>
    <m/>
    <m/>
    <x v="8"/>
    <d v="2028-07-09T00:00:00"/>
    <s v="Valid"/>
    <m/>
    <s v="Not Trained"/>
    <m/>
    <s v="Not Trained"/>
    <d v="2028-07-05T00:00:00"/>
    <s v="Valid"/>
    <d v="2028-07-05T00:00:00"/>
    <s v="Valid"/>
    <d v="2028-07-05T00:00:00"/>
    <s v="Valid"/>
    <d v="2028-07-06T00:00:00"/>
    <s v="Valid"/>
    <d v="2028-07-23T00:00:00"/>
    <s v="Valid"/>
    <m/>
    <s v="Not Trained"/>
    <m/>
    <s v="Not Trained"/>
    <m/>
    <m/>
    <m/>
    <m/>
    <m/>
    <m/>
    <m/>
    <m/>
    <m/>
    <m/>
    <m/>
    <m/>
    <m/>
    <m/>
    <m/>
    <m/>
    <m/>
    <m/>
    <m/>
    <m/>
    <m/>
    <m/>
    <m/>
    <m/>
    <m/>
    <m/>
    <d v="2026-07-15T00:00:00"/>
    <m/>
    <m/>
    <m/>
    <m/>
    <m/>
    <m/>
    <x v="0"/>
    <x v="0"/>
    <x v="0"/>
    <x v="0"/>
    <m/>
    <m/>
    <m/>
    <m/>
    <n v="13"/>
    <n v="7"/>
    <x v="10"/>
    <m/>
    <m/>
    <m/>
    <x v="0"/>
    <x v="0"/>
    <x v="0"/>
    <x v="0"/>
    <m/>
    <m/>
    <x v="0"/>
    <m/>
    <s v="Not Trained"/>
    <m/>
    <m/>
    <s v="Not Trained"/>
    <s v="Not eligible"/>
    <s v="Not eligible"/>
  </r>
  <r>
    <n v="205"/>
    <n v="584604"/>
    <x v="204"/>
    <x v="7"/>
    <m/>
    <m/>
    <x v="8"/>
    <d v="2028-07-09T00:00:00"/>
    <s v="Valid"/>
    <m/>
    <s v="Not Trained"/>
    <m/>
    <s v="Not Trained"/>
    <d v="2028-07-05T00:00:00"/>
    <s v="Valid"/>
    <d v="2028-07-05T00:00:00"/>
    <s v="Valid"/>
    <d v="2028-07-05T00:00:00"/>
    <s v="Valid"/>
    <d v="2028-07-06T00:00:00"/>
    <s v="Valid"/>
    <d v="2028-07-23T00:00:00"/>
    <s v="Valid"/>
    <m/>
    <s v="Not Trained"/>
    <m/>
    <s v="Not Trained"/>
    <m/>
    <m/>
    <m/>
    <m/>
    <m/>
    <m/>
    <m/>
    <m/>
    <m/>
    <m/>
    <m/>
    <m/>
    <m/>
    <m/>
    <m/>
    <m/>
    <m/>
    <m/>
    <m/>
    <m/>
    <m/>
    <m/>
    <m/>
    <m/>
    <m/>
    <m/>
    <d v="2026-07-15T00:00:00"/>
    <m/>
    <m/>
    <m/>
    <m/>
    <m/>
    <m/>
    <x v="0"/>
    <x v="0"/>
    <x v="0"/>
    <x v="0"/>
    <m/>
    <m/>
    <m/>
    <m/>
    <n v="13"/>
    <n v="7"/>
    <x v="10"/>
    <m/>
    <m/>
    <m/>
    <x v="0"/>
    <x v="0"/>
    <x v="0"/>
    <x v="0"/>
    <m/>
    <m/>
    <x v="0"/>
    <m/>
    <s v="Not Trained"/>
    <m/>
    <m/>
    <s v="Not Trained"/>
    <s v="Not eligible"/>
    <s v="Not eligible"/>
  </r>
  <r>
    <n v="206"/>
    <n v="584613"/>
    <x v="205"/>
    <x v="7"/>
    <m/>
    <m/>
    <x v="8"/>
    <m/>
    <s v="Not Trained"/>
    <d v="2028-07-07T00:00:00"/>
    <s v="Valid"/>
    <d v="2028-07-06T00:00:00"/>
    <s v="Valid"/>
    <d v="2027-10-19T00:00:00"/>
    <s v="Valid"/>
    <d v="2027-10-19T00:00:00"/>
    <s v="Valid"/>
    <d v="2027-10-19T00:00:00"/>
    <s v="Valid"/>
    <d v="2027-10-20T00:00:00"/>
    <s v="Valid"/>
    <d v="2028-01-29T00:00:00"/>
    <s v="Valid"/>
    <d v="2028-03-12T00:00:00"/>
    <s v="Valid"/>
    <m/>
    <s v="Not Trained"/>
    <d v="2025-07-07T00:00:00"/>
    <m/>
    <m/>
    <m/>
    <m/>
    <m/>
    <m/>
    <m/>
    <m/>
    <m/>
    <m/>
    <m/>
    <m/>
    <m/>
    <m/>
    <m/>
    <m/>
    <m/>
    <m/>
    <m/>
    <m/>
    <m/>
    <m/>
    <m/>
    <m/>
    <m/>
    <m/>
    <m/>
    <d v="2025-07-17T00:00:00"/>
    <m/>
    <m/>
    <m/>
    <m/>
    <x v="0"/>
    <x v="0"/>
    <x v="0"/>
    <x v="0"/>
    <m/>
    <m/>
    <m/>
    <m/>
    <n v="13"/>
    <n v="9"/>
    <x v="11"/>
    <m/>
    <m/>
    <m/>
    <x v="0"/>
    <x v="0"/>
    <x v="0"/>
    <x v="0"/>
    <m/>
    <m/>
    <x v="0"/>
    <m/>
    <s v="Not Trained"/>
    <m/>
    <m/>
    <s v="Not Trained"/>
    <s v="Not eligible"/>
    <s v="Not eligible"/>
  </r>
  <r>
    <n v="207"/>
    <n v="584614"/>
    <x v="206"/>
    <x v="7"/>
    <m/>
    <m/>
    <x v="8"/>
    <d v="2028-01-21T00:00:00"/>
    <s v="Valid"/>
    <d v="2028-01-21T00:00:00"/>
    <s v="Valid"/>
    <d v="2028-03-10T00:00:00"/>
    <s v="Valid"/>
    <d v="2028-08-06T00:00:00"/>
    <s v="Valid"/>
    <d v="2028-08-06T00:00:00"/>
    <s v="Valid"/>
    <d v="2028-08-06T00:00:00"/>
    <s v="Valid"/>
    <d v="2028-08-07T00:00:00"/>
    <s v="Valid"/>
    <d v="2027-09-10T00:00:00"/>
    <s v="Valid"/>
    <d v="2027-05-22T00:00:00"/>
    <s v="Valid"/>
    <m/>
    <s v="Not Trained"/>
    <d v="2025-09-29T00:00:00"/>
    <m/>
    <m/>
    <m/>
    <m/>
    <m/>
    <m/>
    <m/>
    <m/>
    <m/>
    <m/>
    <m/>
    <m/>
    <m/>
    <m/>
    <m/>
    <m/>
    <m/>
    <m/>
    <m/>
    <m/>
    <m/>
    <m/>
    <m/>
    <m/>
    <m/>
    <m/>
    <m/>
    <d v="2025-06-11T00:00:00"/>
    <m/>
    <m/>
    <m/>
    <m/>
    <x v="0"/>
    <x v="0"/>
    <x v="0"/>
    <x v="0"/>
    <m/>
    <m/>
    <m/>
    <m/>
    <n v="13"/>
    <n v="10"/>
    <x v="9"/>
    <m/>
    <m/>
    <m/>
    <x v="0"/>
    <x v="0"/>
    <x v="0"/>
    <x v="0"/>
    <m/>
    <m/>
    <x v="0"/>
    <m/>
    <s v="Not Trained"/>
    <m/>
    <m/>
    <s v="Not Trained"/>
    <s v="Not eligible"/>
    <s v="Not eligible"/>
  </r>
  <r>
    <n v="208"/>
    <n v="584615"/>
    <x v="207"/>
    <x v="7"/>
    <m/>
    <m/>
    <x v="8"/>
    <m/>
    <s v="Not Trained"/>
    <d v="2028-07-07T00:00:00"/>
    <s v="Valid"/>
    <d v="2028-07-06T00:00:00"/>
    <s v="Valid"/>
    <d v="2027-11-09T00:00:00"/>
    <s v="Valid"/>
    <d v="2027-11-09T00:00:00"/>
    <s v="Valid"/>
    <d v="2027-11-09T00:00:00"/>
    <s v="Valid"/>
    <d v="2027-11-10T00:00:00"/>
    <s v="Valid"/>
    <d v="2028-01-29T00:00:00"/>
    <s v="Valid"/>
    <m/>
    <s v="Not Trained"/>
    <m/>
    <s v="Not Trained"/>
    <d v="2025-10-01T00:00:00"/>
    <m/>
    <m/>
    <m/>
    <m/>
    <m/>
    <m/>
    <m/>
    <m/>
    <m/>
    <m/>
    <m/>
    <m/>
    <m/>
    <m/>
    <m/>
    <m/>
    <m/>
    <m/>
    <m/>
    <m/>
    <m/>
    <m/>
    <m/>
    <m/>
    <m/>
    <m/>
    <m/>
    <d v="2025-11-04T00:00:00"/>
    <m/>
    <m/>
    <m/>
    <m/>
    <x v="0"/>
    <x v="0"/>
    <x v="0"/>
    <x v="0"/>
    <m/>
    <m/>
    <m/>
    <m/>
    <n v="13"/>
    <n v="8"/>
    <x v="12"/>
    <m/>
    <m/>
    <m/>
    <x v="0"/>
    <x v="0"/>
    <x v="0"/>
    <x v="0"/>
    <m/>
    <m/>
    <x v="0"/>
    <m/>
    <s v="Not Trained"/>
    <m/>
    <m/>
    <s v="Not Trained"/>
    <s v="Not eligible"/>
    <s v="Not eligible"/>
  </r>
  <r>
    <n v="209"/>
    <n v="584626"/>
    <x v="208"/>
    <x v="3"/>
    <m/>
    <m/>
    <x v="8"/>
    <m/>
    <s v="Not Trained"/>
    <d v="2028-07-07T00:00:00"/>
    <s v="Valid"/>
    <d v="2028-07-06T00:00:00"/>
    <s v="Valid"/>
    <m/>
    <s v="Not Trained"/>
    <m/>
    <s v="Not Trained"/>
    <m/>
    <s v="Not Trained"/>
    <m/>
    <s v="Not Trained"/>
    <m/>
    <s v="Not Trained"/>
    <m/>
    <s v="Not Trained"/>
    <m/>
    <s v="Not Traine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m/>
    <m/>
    <m/>
    <m/>
    <n v="15"/>
    <n v="2"/>
    <x v="13"/>
    <m/>
    <m/>
    <m/>
    <x v="0"/>
    <x v="0"/>
    <x v="0"/>
    <x v="0"/>
    <m/>
    <m/>
    <x v="0"/>
    <m/>
    <s v="Not Trained"/>
    <m/>
    <m/>
    <s v="Not Trained"/>
    <s v="Not eligible"/>
    <s v="Not eligi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13CF4-B877-4582-915B-DC9489BEDE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X19" firstHeaderRow="1" firstDataRow="2" firstDataCol="1" rowPageCount="1" colPageCount="1"/>
  <pivotFields count="88">
    <pivotField showAll="0"/>
    <pivotField showAll="0"/>
    <pivotField dataField="1" showAll="0"/>
    <pivotField axis="axisCol" showAll="0">
      <items count="39">
        <item x="14"/>
        <item x="3"/>
        <item x="12"/>
        <item m="1" x="32"/>
        <item x="11"/>
        <item x="18"/>
        <item x="9"/>
        <item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m="1" x="37"/>
        <item m="1" x="34"/>
        <item x="21"/>
        <item m="1" x="36"/>
        <item m="1" x="22"/>
        <item x="15"/>
        <item x="10"/>
        <item x="7"/>
        <item x="17"/>
        <item x="16"/>
        <item x="5"/>
        <item m="1" x="26"/>
        <item x="0"/>
        <item x="1"/>
        <item x="2"/>
        <item x="6"/>
        <item x="8"/>
        <item x="13"/>
        <item x="4"/>
        <item x="20"/>
        <item t="default"/>
      </items>
    </pivotField>
    <pivotField showAll="0"/>
    <pivotField showAll="0"/>
    <pivotField axis="axisPage" showAll="0">
      <items count="15">
        <item x="0"/>
        <item x="1"/>
        <item x="2"/>
        <item x="6"/>
        <item x="7"/>
        <item x="5"/>
        <item x="4"/>
        <item x="8"/>
        <item x="9"/>
        <item x="3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0">
        <item m="1" x="38"/>
        <item m="1" x="33"/>
        <item m="1" x="31"/>
        <item m="1" x="24"/>
        <item m="1" x="30"/>
        <item m="1" x="32"/>
        <item m="1" x="29"/>
        <item m="1" x="34"/>
        <item m="1" x="18"/>
        <item m="1" x="23"/>
        <item m="1" x="25"/>
        <item m="1" x="35"/>
        <item m="1" x="27"/>
        <item m="1" x="26"/>
        <item m="1" x="28"/>
        <item x="0"/>
        <item m="1" x="37"/>
        <item m="1" x="36"/>
        <item x="1"/>
        <item x="2"/>
        <item x="3"/>
        <item m="1" x="19"/>
        <item m="1" x="20"/>
        <item m="1" x="21"/>
        <item x="7"/>
        <item x="4"/>
        <item x="5"/>
        <item m="1" x="22"/>
        <item m="1" x="14"/>
        <item m="1" x="17"/>
        <item x="9"/>
        <item x="6"/>
        <item m="1" x="15"/>
        <item m="1" x="16"/>
        <item x="8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0"/>
  </rowFields>
  <rowItems count="15">
    <i>
      <x v="15"/>
    </i>
    <i>
      <x v="18"/>
    </i>
    <i>
      <x v="19"/>
    </i>
    <i>
      <x v="20"/>
    </i>
    <i>
      <x v="24"/>
    </i>
    <i>
      <x v="25"/>
    </i>
    <i>
      <x v="26"/>
    </i>
    <i>
      <x v="30"/>
    </i>
    <i>
      <x v="31"/>
    </i>
    <i>
      <x v="34"/>
    </i>
    <i>
      <x v="35"/>
    </i>
    <i>
      <x v="36"/>
    </i>
    <i>
      <x v="37"/>
    </i>
    <i>
      <x v="38"/>
    </i>
    <i t="grand">
      <x/>
    </i>
  </rowItems>
  <colFields count="1">
    <field x="3"/>
  </colFields>
  <colItems count="23">
    <i>
      <x/>
    </i>
    <i>
      <x v="1"/>
    </i>
    <i>
      <x v="2"/>
    </i>
    <i>
      <x v="4"/>
    </i>
    <i>
      <x v="5"/>
    </i>
    <i>
      <x v="6"/>
    </i>
    <i>
      <x v="7"/>
    </i>
    <i>
      <x v="20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pageFields count="1">
    <pageField fld="6" hier="-1"/>
  </pageField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45109-2DA0-4CC9-A1B5-AC7EB1FA85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0"/>
        <item x="1"/>
        <item x="2"/>
        <item x="6"/>
        <item x="7"/>
        <item x="5"/>
        <item x="4"/>
        <item x="8"/>
        <item x="9"/>
        <item x="3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New Uni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4F16A-2841-47C5-A0FC-FBFA76617DE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9" firstHeaderRow="1" firstDataRow="1" firstDataCol="1" rowPageCount="3" colPageCount="1"/>
  <pivotFields count="88">
    <pivotField showAll="0"/>
    <pivotField showAll="0"/>
    <pivotField axis="axisRow" outline="0" showAll="0" defaultSubtotal="0">
      <items count="210">
        <item x="31"/>
        <item x="140"/>
        <item x="89"/>
        <item x="180"/>
        <item x="110"/>
        <item x="59"/>
        <item x="72"/>
        <item x="187"/>
        <item x="11"/>
        <item x="47"/>
        <item x="143"/>
        <item x="40"/>
        <item x="13"/>
        <item x="119"/>
        <item x="190"/>
        <item x="74"/>
        <item x="82"/>
        <item x="19"/>
        <item x="33"/>
        <item x="156"/>
        <item x="132"/>
        <item x="85"/>
        <item x="50"/>
        <item x="104"/>
        <item x="147"/>
        <item x="111"/>
        <item x="194"/>
        <item x="178"/>
        <item x="4"/>
        <item x="52"/>
        <item x="26"/>
        <item x="131"/>
        <item x="12"/>
        <item x="22"/>
        <item x="63"/>
        <item x="146"/>
        <item x="162"/>
        <item x="79"/>
        <item x="2"/>
        <item x="91"/>
        <item x="191"/>
        <item x="29"/>
        <item x="51"/>
        <item x="163"/>
        <item x="99"/>
        <item x="77"/>
        <item x="149"/>
        <item x="14"/>
        <item x="58"/>
        <item x="166"/>
        <item x="127"/>
        <item x="174"/>
        <item x="161"/>
        <item x="27"/>
        <item x="117"/>
        <item x="92"/>
        <item x="42"/>
        <item x="0"/>
        <item x="64"/>
        <item x="138"/>
        <item x="114"/>
        <item x="60"/>
        <item x="120"/>
        <item x="102"/>
        <item x="171"/>
        <item x="105"/>
        <item x="81"/>
        <item x="83"/>
        <item x="193"/>
        <item x="184"/>
        <item x="197"/>
        <item x="35"/>
        <item x="46"/>
        <item x="97"/>
        <item x="57"/>
        <item x="9"/>
        <item x="69"/>
        <item x="100"/>
        <item x="75"/>
        <item x="125"/>
        <item x="133"/>
        <item x="112"/>
        <item x="73"/>
        <item x="130"/>
        <item x="86"/>
        <item x="45"/>
        <item x="144"/>
        <item x="10"/>
        <item x="148"/>
        <item x="38"/>
        <item x="8"/>
        <item x="123"/>
        <item x="21"/>
        <item x="121"/>
        <item x="87"/>
        <item x="165"/>
        <item x="44"/>
        <item x="196"/>
        <item x="3"/>
        <item x="55"/>
        <item x="135"/>
        <item x="137"/>
        <item x="108"/>
        <item x="43"/>
        <item x="118"/>
        <item x="84"/>
        <item x="115"/>
        <item x="71"/>
        <item x="39"/>
        <item x="76"/>
        <item x="67"/>
        <item x="116"/>
        <item x="179"/>
        <item x="20"/>
        <item x="175"/>
        <item x="32"/>
        <item x="170"/>
        <item x="134"/>
        <item x="90"/>
        <item x="198"/>
        <item x="189"/>
        <item x="139"/>
        <item x="61"/>
        <item x="192"/>
        <item x="129"/>
        <item x="201"/>
        <item x="141"/>
        <item x="167"/>
        <item x="183"/>
        <item x="126"/>
        <item x="188"/>
        <item x="195"/>
        <item x="160"/>
        <item x="30"/>
        <item x="28"/>
        <item x="181"/>
        <item x="173"/>
        <item x="107"/>
        <item x="172"/>
        <item x="37"/>
        <item x="80"/>
        <item x="36"/>
        <item x="182"/>
        <item x="109"/>
        <item x="15"/>
        <item x="145"/>
        <item x="6"/>
        <item x="34"/>
        <item x="185"/>
        <item x="152"/>
        <item x="186"/>
        <item x="54"/>
        <item x="136"/>
        <item x="18"/>
        <item x="48"/>
        <item x="101"/>
        <item x="62"/>
        <item m="1" x="209"/>
        <item x="158"/>
        <item x="56"/>
        <item x="103"/>
        <item x="98"/>
        <item x="113"/>
        <item x="151"/>
        <item x="65"/>
        <item x="93"/>
        <item x="142"/>
        <item x="153"/>
        <item x="199"/>
        <item x="66"/>
        <item x="128"/>
        <item x="16"/>
        <item x="164"/>
        <item x="176"/>
        <item x="68"/>
        <item x="168"/>
        <item x="124"/>
        <item x="154"/>
        <item x="200"/>
        <item x="88"/>
        <item x="106"/>
        <item x="5"/>
        <item x="157"/>
        <item x="49"/>
        <item x="23"/>
        <item x="96"/>
        <item x="78"/>
        <item x="70"/>
        <item x="122"/>
        <item x="53"/>
        <item x="177"/>
        <item x="7"/>
        <item x="169"/>
        <item x="155"/>
        <item x="95"/>
        <item x="159"/>
        <item x="94"/>
        <item x="41"/>
        <item x="150"/>
        <item x="24"/>
        <item x="25"/>
        <item x="17"/>
        <item x="1"/>
        <item x="202"/>
        <item x="203"/>
        <item x="204"/>
        <item x="205"/>
        <item x="206"/>
        <item x="207"/>
        <item x="208"/>
      </items>
    </pivotField>
    <pivotField axis="axisPage" multipleItemSelectionAllowed="1" showAll="0">
      <items count="39">
        <item h="1" x="14"/>
        <item h="1" x="3"/>
        <item x="12"/>
        <item h="1" x="8"/>
        <item m="1" x="32"/>
        <item h="1" x="11"/>
        <item h="1" x="18"/>
        <item h="1" x="20"/>
        <item x="9"/>
        <item h="1" x="13"/>
        <item h="1"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h="1" x="6"/>
        <item h="1" x="2"/>
        <item h="1" x="0"/>
        <item m="1" x="37"/>
        <item h="1" x="4"/>
        <item m="1" x="34"/>
        <item h="1" x="21"/>
        <item m="1" x="36"/>
        <item m="1" x="22"/>
        <item h="1" x="1"/>
        <item h="1" x="15"/>
        <item h="1" x="10"/>
        <item x="7"/>
        <item h="1" x="17"/>
        <item h="1" x="16"/>
        <item x="5"/>
        <item m="1" x="26"/>
        <item t="default"/>
      </items>
    </pivotField>
    <pivotField showAll="0"/>
    <pivotField showAll="0"/>
    <pivotField axis="axisPage" multipleItemSelectionAllowed="1" showAll="0">
      <items count="15">
        <item h="1" x="0"/>
        <item h="1" x="1"/>
        <item x="2"/>
        <item x="6"/>
        <item x="7"/>
        <item x="5"/>
        <item x="4"/>
        <item x="8"/>
        <item x="9"/>
        <item h="1" x="3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outline="0" showAll="0" defaultSubtotal="0">
      <items count="126">
        <item x="1"/>
        <item x="99"/>
        <item x="69"/>
        <item x="6"/>
        <item x="120"/>
        <item x="98"/>
        <item x="89"/>
        <item x="81"/>
        <item x="43"/>
        <item x="47"/>
        <item x="48"/>
        <item x="78"/>
        <item x="62"/>
        <item x="63"/>
        <item x="30"/>
        <item x="23"/>
        <item x="42"/>
        <item x="107"/>
        <item x="68"/>
        <item x="83"/>
        <item x="118"/>
        <item x="53"/>
        <item x="96"/>
        <item x="91"/>
        <item x="52"/>
        <item x="103"/>
        <item x="65"/>
        <item x="93"/>
        <item x="104"/>
        <item x="119"/>
        <item x="87"/>
        <item x="2"/>
        <item x="25"/>
        <item x="60"/>
        <item x="67"/>
        <item x="3"/>
        <item x="8"/>
        <item x="58"/>
        <item x="38"/>
        <item x="39"/>
        <item x="95"/>
        <item x="9"/>
        <item x="22"/>
        <item x="97"/>
        <item x="117"/>
        <item x="59"/>
        <item x="11"/>
        <item x="76"/>
        <item x="28"/>
        <item x="31"/>
        <item x="66"/>
        <item x="33"/>
        <item x="5"/>
        <item x="18"/>
        <item x="7"/>
        <item x="49"/>
        <item x="70"/>
        <item x="71"/>
        <item x="106"/>
        <item x="72"/>
        <item x="26"/>
        <item x="40"/>
        <item x="44"/>
        <item x="116"/>
        <item x="73"/>
        <item x="105"/>
        <item m="1" x="123"/>
        <item x="108"/>
        <item x="109"/>
        <item x="21"/>
        <item x="57"/>
        <item x="51"/>
        <item x="112"/>
        <item m="1" x="125"/>
        <item x="16"/>
        <item x="46"/>
        <item x="10"/>
        <item x="77"/>
        <item x="111"/>
        <item x="113"/>
        <item x="79"/>
        <item x="32"/>
        <item x="13"/>
        <item x="14"/>
        <item m="1" x="121"/>
        <item x="80"/>
        <item x="82"/>
        <item x="29"/>
        <item x="17"/>
        <item x="115"/>
        <item x="35"/>
        <item x="45"/>
        <item x="37"/>
        <item x="24"/>
        <item x="110"/>
        <item x="90"/>
        <item x="20"/>
        <item x="36"/>
        <item x="114"/>
        <item x="92"/>
        <item x="19"/>
        <item x="56"/>
        <item x="55"/>
        <item x="102"/>
        <item x="84"/>
        <item x="50"/>
        <item x="86"/>
        <item m="1" x="124"/>
        <item x="85"/>
        <item m="1" x="122"/>
        <item x="4"/>
        <item x="94"/>
        <item x="101"/>
        <item x="54"/>
        <item x="100"/>
        <item x="0"/>
        <item x="12"/>
        <item x="27"/>
        <item x="41"/>
        <item x="61"/>
        <item x="64"/>
        <item x="74"/>
        <item x="75"/>
        <item x="88"/>
        <item x="15"/>
        <item x="34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 v="2"/>
    </i>
    <i>
      <x v="70"/>
    </i>
    <i>
      <x v="97"/>
    </i>
    <i>
      <x v="119"/>
    </i>
    <i>
      <x v="131"/>
    </i>
    <i>
      <x v="168"/>
    </i>
    <i>
      <x v="203"/>
    </i>
    <i>
      <x v="204"/>
    </i>
    <i>
      <x v="205"/>
    </i>
    <i>
      <x v="206"/>
    </i>
    <i>
      <x v="207"/>
    </i>
    <i>
      <x v="208"/>
    </i>
    <i t="grand">
      <x/>
    </i>
  </rowItems>
  <colItems count="1">
    <i/>
  </colItems>
  <pageFields count="3">
    <pageField fld="6" hier="-1"/>
    <pageField fld="3" hier="-1"/>
    <pageField fld="80" item="115" hier="-1"/>
  </pageFields>
  <dataFields count="1">
    <dataField name="Count of Stamp No" fld="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79677-E1EC-4953-9A61-9DD382C49B5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7:S16" firstHeaderRow="1" firstDataRow="1" firstDataCol="1" rowPageCount="4" colPageCount="1"/>
  <pivotFields count="88">
    <pivotField showAll="0"/>
    <pivotField showAll="0"/>
    <pivotField axis="axisRow" showAll="0">
      <items count="211">
        <item x="31"/>
        <item x="140"/>
        <item x="89"/>
        <item x="180"/>
        <item x="110"/>
        <item x="59"/>
        <item x="72"/>
        <item x="187"/>
        <item x="11"/>
        <item x="47"/>
        <item x="143"/>
        <item x="40"/>
        <item x="13"/>
        <item x="119"/>
        <item x="190"/>
        <item x="74"/>
        <item x="82"/>
        <item x="19"/>
        <item x="33"/>
        <item x="156"/>
        <item x="132"/>
        <item x="85"/>
        <item x="50"/>
        <item x="104"/>
        <item x="147"/>
        <item x="111"/>
        <item x="194"/>
        <item x="178"/>
        <item x="4"/>
        <item x="52"/>
        <item x="26"/>
        <item x="131"/>
        <item x="12"/>
        <item x="22"/>
        <item x="63"/>
        <item x="146"/>
        <item x="162"/>
        <item x="79"/>
        <item x="2"/>
        <item x="91"/>
        <item x="191"/>
        <item x="29"/>
        <item x="51"/>
        <item x="163"/>
        <item x="99"/>
        <item x="77"/>
        <item x="149"/>
        <item x="14"/>
        <item x="58"/>
        <item x="166"/>
        <item x="127"/>
        <item x="174"/>
        <item x="161"/>
        <item x="27"/>
        <item x="117"/>
        <item x="92"/>
        <item x="42"/>
        <item x="0"/>
        <item x="64"/>
        <item x="138"/>
        <item x="114"/>
        <item x="60"/>
        <item x="120"/>
        <item x="102"/>
        <item x="171"/>
        <item x="105"/>
        <item x="81"/>
        <item x="83"/>
        <item x="193"/>
        <item x="184"/>
        <item x="197"/>
        <item x="35"/>
        <item x="46"/>
        <item x="97"/>
        <item x="57"/>
        <item x="9"/>
        <item x="69"/>
        <item x="100"/>
        <item x="75"/>
        <item x="125"/>
        <item x="133"/>
        <item x="112"/>
        <item x="73"/>
        <item x="130"/>
        <item x="86"/>
        <item x="45"/>
        <item x="144"/>
        <item x="10"/>
        <item x="148"/>
        <item x="38"/>
        <item x="8"/>
        <item x="123"/>
        <item x="21"/>
        <item x="121"/>
        <item x="87"/>
        <item x="165"/>
        <item x="44"/>
        <item x="196"/>
        <item x="3"/>
        <item x="55"/>
        <item x="135"/>
        <item x="137"/>
        <item x="108"/>
        <item x="43"/>
        <item x="118"/>
        <item x="84"/>
        <item x="115"/>
        <item x="71"/>
        <item x="39"/>
        <item x="76"/>
        <item x="67"/>
        <item x="116"/>
        <item x="179"/>
        <item x="20"/>
        <item x="175"/>
        <item x="32"/>
        <item x="170"/>
        <item x="134"/>
        <item x="90"/>
        <item x="198"/>
        <item x="189"/>
        <item x="139"/>
        <item x="61"/>
        <item x="192"/>
        <item x="129"/>
        <item x="201"/>
        <item x="141"/>
        <item x="167"/>
        <item x="183"/>
        <item x="126"/>
        <item x="188"/>
        <item x="195"/>
        <item x="160"/>
        <item x="30"/>
        <item x="28"/>
        <item x="181"/>
        <item x="173"/>
        <item x="107"/>
        <item x="172"/>
        <item x="37"/>
        <item x="80"/>
        <item x="36"/>
        <item x="182"/>
        <item x="109"/>
        <item x="15"/>
        <item x="145"/>
        <item x="6"/>
        <item x="34"/>
        <item x="185"/>
        <item x="152"/>
        <item x="186"/>
        <item x="54"/>
        <item x="136"/>
        <item x="18"/>
        <item x="48"/>
        <item x="101"/>
        <item x="62"/>
        <item m="1" x="209"/>
        <item x="158"/>
        <item x="56"/>
        <item x="103"/>
        <item x="98"/>
        <item x="113"/>
        <item x="151"/>
        <item x="65"/>
        <item x="93"/>
        <item x="142"/>
        <item x="153"/>
        <item x="199"/>
        <item x="66"/>
        <item x="128"/>
        <item x="16"/>
        <item x="164"/>
        <item x="176"/>
        <item x="68"/>
        <item x="168"/>
        <item x="124"/>
        <item x="154"/>
        <item x="200"/>
        <item x="88"/>
        <item x="106"/>
        <item x="5"/>
        <item x="157"/>
        <item x="49"/>
        <item x="23"/>
        <item x="96"/>
        <item x="78"/>
        <item x="70"/>
        <item x="122"/>
        <item x="53"/>
        <item x="177"/>
        <item x="7"/>
        <item x="169"/>
        <item x="155"/>
        <item x="95"/>
        <item x="159"/>
        <item x="94"/>
        <item x="41"/>
        <item x="150"/>
        <item x="24"/>
        <item x="25"/>
        <item x="17"/>
        <item x="1"/>
        <item x="202"/>
        <item x="203"/>
        <item x="204"/>
        <item x="205"/>
        <item x="206"/>
        <item x="207"/>
        <item x="208"/>
        <item t="default"/>
      </items>
    </pivotField>
    <pivotField axis="axisPage" multipleItemSelectionAllowed="1" showAll="0">
      <items count="39">
        <item h="1" x="14"/>
        <item x="3"/>
        <item h="1" x="12"/>
        <item h="1" x="8"/>
        <item m="1" x="32"/>
        <item x="11"/>
        <item h="1" x="18"/>
        <item h="1" x="20"/>
        <item h="1" x="9"/>
        <item h="1" x="13"/>
        <item h="1"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h="1" x="6"/>
        <item h="1" x="2"/>
        <item h="1" x="0"/>
        <item m="1" x="37"/>
        <item h="1" x="4"/>
        <item m="1" x="34"/>
        <item x="21"/>
        <item m="1" x="36"/>
        <item m="1" x="22"/>
        <item h="1" x="1"/>
        <item h="1" x="15"/>
        <item x="10"/>
        <item x="7"/>
        <item h="1" x="17"/>
        <item h="1" x="16"/>
        <item x="5"/>
        <item m="1" x="26"/>
        <item t="default"/>
      </items>
    </pivotField>
    <pivotField showAll="0"/>
    <pivotField showAll="0"/>
    <pivotField axis="axisPage" multipleItemSelectionAllowed="1" showAll="0">
      <items count="15">
        <item h="1" x="0"/>
        <item h="1" x="1"/>
        <item x="2"/>
        <item x="6"/>
        <item x="7"/>
        <item x="5"/>
        <item x="4"/>
        <item x="8"/>
        <item h="1" x="9"/>
        <item h="1" x="3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6">
        <item x="63"/>
        <item x="23"/>
        <item x="47"/>
        <item x="65"/>
        <item x="9"/>
        <item x="1"/>
        <item x="73"/>
        <item x="27"/>
        <item x="57"/>
        <item x="26"/>
        <item x="52"/>
        <item x="38"/>
        <item x="5"/>
        <item x="84"/>
        <item x="72"/>
        <item x="64"/>
        <item x="20"/>
        <item x="60"/>
        <item x="32"/>
        <item x="35"/>
        <item x="36"/>
        <item x="12"/>
        <item x="68"/>
        <item x="59"/>
        <item x="45"/>
        <item x="46"/>
        <item x="22"/>
        <item x="14"/>
        <item x="16"/>
        <item x="31"/>
        <item x="78"/>
        <item x="49"/>
        <item x="24"/>
        <item x="51"/>
        <item x="61"/>
        <item x="82"/>
        <item x="40"/>
        <item x="4"/>
        <item x="70"/>
        <item x="66"/>
        <item x="39"/>
        <item x="13"/>
        <item x="74"/>
        <item x="48"/>
        <item x="6"/>
        <item x="37"/>
        <item x="53"/>
        <item x="41"/>
        <item x="67"/>
        <item x="75"/>
        <item x="54"/>
        <item x="77"/>
        <item x="58"/>
        <item x="83"/>
        <item x="62"/>
        <item x="2"/>
        <item x="18"/>
        <item x="44"/>
        <item x="50"/>
        <item x="3"/>
        <item x="7"/>
        <item x="42"/>
        <item x="28"/>
        <item x="29"/>
        <item x="69"/>
        <item x="55"/>
        <item x="19"/>
        <item x="30"/>
        <item x="8"/>
        <item x="33"/>
        <item x="80"/>
        <item x="56"/>
        <item x="79"/>
        <item x="76"/>
        <item x="15"/>
        <item x="71"/>
        <item x="81"/>
        <item x="43"/>
        <item h="1" x="0"/>
        <item h="1" x="10"/>
        <item h="1" x="11"/>
        <item h="1" x="17"/>
        <item h="1" x="21"/>
        <item h="1" x="25"/>
        <item h="1" x="34"/>
        <item t="default"/>
      </items>
    </pivotField>
    <pivotField showAll="0"/>
    <pivotField showAll="0"/>
    <pivotField axis="axisPage" multipleItemSelectionAllowed="1" showAll="0">
      <items count="127">
        <item h="1" x="1"/>
        <item h="1" x="99"/>
        <item h="1" x="69"/>
        <item h="1" x="6"/>
        <item h="1" x="120"/>
        <item h="1" x="98"/>
        <item h="1" x="89"/>
        <item h="1" x="81"/>
        <item h="1" x="43"/>
        <item h="1" x="47"/>
        <item h="1" x="48"/>
        <item h="1" x="78"/>
        <item h="1" x="62"/>
        <item h="1" x="63"/>
        <item h="1" x="30"/>
        <item h="1" x="23"/>
        <item h="1" x="42"/>
        <item h="1" x="107"/>
        <item h="1" x="68"/>
        <item h="1" x="83"/>
        <item h="1" x="118"/>
        <item h="1" x="53"/>
        <item h="1" x="96"/>
        <item h="1" x="91"/>
        <item h="1" x="52"/>
        <item h="1" x="103"/>
        <item h="1" x="65"/>
        <item h="1" x="93"/>
        <item h="1" x="104"/>
        <item h="1" x="119"/>
        <item h="1" x="87"/>
        <item h="1" x="2"/>
        <item h="1" x="25"/>
        <item h="1" x="60"/>
        <item h="1" x="67"/>
        <item h="1" x="3"/>
        <item h="1" x="8"/>
        <item h="1" x="58"/>
        <item h="1" x="38"/>
        <item h="1" x="39"/>
        <item h="1" x="95"/>
        <item h="1" x="9"/>
        <item h="1" x="22"/>
        <item h="1" x="97"/>
        <item h="1" x="117"/>
        <item h="1" x="59"/>
        <item h="1" x="11"/>
        <item h="1" x="76"/>
        <item h="1" x="28"/>
        <item h="1" x="31"/>
        <item h="1" x="66"/>
        <item h="1" x="33"/>
        <item h="1" x="5"/>
        <item h="1" x="18"/>
        <item h="1" x="7"/>
        <item h="1" x="49"/>
        <item h="1" x="70"/>
        <item h="1" x="71"/>
        <item h="1" x="106"/>
        <item h="1" x="72"/>
        <item h="1" x="26"/>
        <item h="1" x="40"/>
        <item h="1" x="44"/>
        <item h="1" x="116"/>
        <item h="1" x="73"/>
        <item h="1" x="105"/>
        <item m="1" x="123"/>
        <item x="108"/>
        <item x="109"/>
        <item x="21"/>
        <item x="57"/>
        <item x="51"/>
        <item x="112"/>
        <item m="1" x="125"/>
        <item x="16"/>
        <item x="46"/>
        <item x="10"/>
        <item x="77"/>
        <item x="111"/>
        <item x="113"/>
        <item x="79"/>
        <item x="32"/>
        <item x="13"/>
        <item x="14"/>
        <item m="1" x="121"/>
        <item x="80"/>
        <item x="82"/>
        <item x="29"/>
        <item x="17"/>
        <item x="115"/>
        <item x="35"/>
        <item x="45"/>
        <item x="37"/>
        <item x="24"/>
        <item x="110"/>
        <item x="90"/>
        <item x="20"/>
        <item x="36"/>
        <item x="114"/>
        <item x="92"/>
        <item x="19"/>
        <item x="56"/>
        <item x="55"/>
        <item x="102"/>
        <item x="84"/>
        <item x="50"/>
        <item x="86"/>
        <item m="1" x="124"/>
        <item x="85"/>
        <item m="1" x="122"/>
        <item x="4"/>
        <item x="94"/>
        <item x="101"/>
        <item x="54"/>
        <item x="100"/>
        <item h="1" x="0"/>
        <item x="12"/>
        <item h="1" x="27"/>
        <item h="1" x="41"/>
        <item h="1" x="61"/>
        <item h="1" x="64"/>
        <item h="1" x="74"/>
        <item h="1" x="75"/>
        <item h="1" x="88"/>
        <item h="1" x="15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33"/>
    </i>
    <i>
      <x v="34"/>
    </i>
    <i>
      <x v="60"/>
    </i>
    <i>
      <x v="72"/>
    </i>
    <i>
      <x v="96"/>
    </i>
    <i>
      <x v="104"/>
    </i>
    <i>
      <x v="174"/>
    </i>
    <i>
      <x v="200"/>
    </i>
    <i t="grand">
      <x/>
    </i>
  </rowItems>
  <colItems count="1">
    <i/>
  </colItems>
  <pageFields count="4">
    <pageField fld="6" hier="-1"/>
    <pageField fld="77" hier="-1"/>
    <pageField fld="3" hier="-1"/>
    <pageField fld="8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22129-4C06-4A13-BEB6-C26D741EEC8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22" firstHeaderRow="1" firstDataRow="1" firstDataCol="1" rowPageCount="4" colPageCount="1"/>
  <pivotFields count="88">
    <pivotField showAll="0"/>
    <pivotField showAll="0"/>
    <pivotField axis="axisRow" showAll="0">
      <items count="211">
        <item x="31"/>
        <item x="140"/>
        <item x="89"/>
        <item x="180"/>
        <item x="110"/>
        <item x="59"/>
        <item x="72"/>
        <item x="187"/>
        <item x="11"/>
        <item x="47"/>
        <item x="143"/>
        <item x="40"/>
        <item x="13"/>
        <item x="119"/>
        <item x="190"/>
        <item x="74"/>
        <item x="82"/>
        <item x="19"/>
        <item x="33"/>
        <item x="156"/>
        <item x="132"/>
        <item x="85"/>
        <item x="50"/>
        <item x="104"/>
        <item x="147"/>
        <item x="111"/>
        <item x="194"/>
        <item x="178"/>
        <item x="4"/>
        <item x="52"/>
        <item x="26"/>
        <item x="131"/>
        <item x="12"/>
        <item x="22"/>
        <item x="63"/>
        <item x="146"/>
        <item x="162"/>
        <item x="79"/>
        <item x="2"/>
        <item x="91"/>
        <item x="191"/>
        <item x="29"/>
        <item x="51"/>
        <item x="163"/>
        <item x="99"/>
        <item x="77"/>
        <item x="149"/>
        <item x="14"/>
        <item x="58"/>
        <item x="166"/>
        <item x="127"/>
        <item x="174"/>
        <item x="161"/>
        <item x="27"/>
        <item x="117"/>
        <item x="92"/>
        <item x="42"/>
        <item x="0"/>
        <item x="64"/>
        <item x="138"/>
        <item x="114"/>
        <item x="60"/>
        <item x="120"/>
        <item x="102"/>
        <item x="171"/>
        <item x="105"/>
        <item x="81"/>
        <item x="83"/>
        <item x="193"/>
        <item x="184"/>
        <item x="197"/>
        <item x="35"/>
        <item x="46"/>
        <item x="97"/>
        <item x="57"/>
        <item x="9"/>
        <item x="69"/>
        <item x="100"/>
        <item x="75"/>
        <item x="125"/>
        <item x="133"/>
        <item x="112"/>
        <item x="73"/>
        <item x="130"/>
        <item x="86"/>
        <item x="45"/>
        <item x="144"/>
        <item x="10"/>
        <item x="148"/>
        <item x="38"/>
        <item x="8"/>
        <item x="123"/>
        <item x="21"/>
        <item x="121"/>
        <item x="87"/>
        <item x="165"/>
        <item x="44"/>
        <item x="196"/>
        <item x="3"/>
        <item x="55"/>
        <item x="135"/>
        <item x="137"/>
        <item x="108"/>
        <item x="43"/>
        <item x="118"/>
        <item x="84"/>
        <item x="115"/>
        <item x="71"/>
        <item x="39"/>
        <item x="76"/>
        <item x="67"/>
        <item x="116"/>
        <item x="179"/>
        <item x="20"/>
        <item x="175"/>
        <item x="32"/>
        <item x="170"/>
        <item x="134"/>
        <item x="90"/>
        <item x="198"/>
        <item x="189"/>
        <item x="139"/>
        <item x="61"/>
        <item x="192"/>
        <item x="129"/>
        <item x="201"/>
        <item x="141"/>
        <item x="167"/>
        <item x="183"/>
        <item x="126"/>
        <item x="188"/>
        <item x="195"/>
        <item x="160"/>
        <item x="30"/>
        <item x="28"/>
        <item x="181"/>
        <item x="173"/>
        <item x="107"/>
        <item x="172"/>
        <item x="37"/>
        <item x="80"/>
        <item x="36"/>
        <item x="182"/>
        <item x="109"/>
        <item x="15"/>
        <item x="145"/>
        <item x="6"/>
        <item x="34"/>
        <item x="185"/>
        <item x="152"/>
        <item x="186"/>
        <item x="54"/>
        <item x="136"/>
        <item x="18"/>
        <item x="48"/>
        <item x="101"/>
        <item x="62"/>
        <item m="1" x="209"/>
        <item x="158"/>
        <item x="56"/>
        <item x="103"/>
        <item x="98"/>
        <item x="113"/>
        <item x="151"/>
        <item x="65"/>
        <item x="93"/>
        <item x="142"/>
        <item x="153"/>
        <item x="199"/>
        <item x="66"/>
        <item x="128"/>
        <item x="16"/>
        <item x="164"/>
        <item x="176"/>
        <item x="68"/>
        <item x="168"/>
        <item x="124"/>
        <item x="154"/>
        <item x="200"/>
        <item x="88"/>
        <item x="106"/>
        <item x="5"/>
        <item x="157"/>
        <item x="49"/>
        <item x="23"/>
        <item x="96"/>
        <item x="78"/>
        <item x="70"/>
        <item x="122"/>
        <item x="53"/>
        <item x="177"/>
        <item x="7"/>
        <item x="169"/>
        <item x="155"/>
        <item x="95"/>
        <item x="159"/>
        <item x="94"/>
        <item x="41"/>
        <item x="150"/>
        <item x="24"/>
        <item x="25"/>
        <item x="17"/>
        <item x="1"/>
        <item x="202"/>
        <item x="203"/>
        <item x="204"/>
        <item x="205"/>
        <item x="206"/>
        <item x="207"/>
        <item x="208"/>
        <item t="default"/>
      </items>
    </pivotField>
    <pivotField axis="axisPage" multipleItemSelectionAllowed="1" showAll="0">
      <items count="39">
        <item h="1" x="14"/>
        <item x="3"/>
        <item h="1" x="12"/>
        <item h="1" x="8"/>
        <item m="1" x="32"/>
        <item x="11"/>
        <item h="1" x="18"/>
        <item h="1" x="20"/>
        <item h="1" x="9"/>
        <item h="1" x="13"/>
        <item h="1"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h="1" x="6"/>
        <item h="1" x="2"/>
        <item h="1" x="0"/>
        <item m="1" x="37"/>
        <item h="1" x="4"/>
        <item m="1" x="34"/>
        <item x="21"/>
        <item m="1" x="36"/>
        <item m="1" x="22"/>
        <item h="1" x="1"/>
        <item h="1" x="15"/>
        <item x="10"/>
        <item x="7"/>
        <item h="1" x="17"/>
        <item h="1" x="16"/>
        <item x="5"/>
        <item m="1" x="26"/>
        <item t="default"/>
      </items>
    </pivotField>
    <pivotField showAll="0"/>
    <pivotField showAll="0"/>
    <pivotField axis="axisPage" multipleItemSelectionAllowed="1" showAll="0">
      <items count="15">
        <item h="1" x="0"/>
        <item h="1" x="1"/>
        <item x="2"/>
        <item x="6"/>
        <item x="7"/>
        <item x="5"/>
        <item x="4"/>
        <item x="8"/>
        <item h="1" x="9"/>
        <item h="1" x="3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2">
        <item x="70"/>
        <item x="68"/>
        <item x="44"/>
        <item x="30"/>
        <item x="19"/>
        <item x="33"/>
        <item x="43"/>
        <item x="46"/>
        <item x="45"/>
        <item x="38"/>
        <item x="65"/>
        <item x="69"/>
        <item x="29"/>
        <item x="2"/>
        <item x="56"/>
        <item x="39"/>
        <item x="16"/>
        <item x="26"/>
        <item x="9"/>
        <item x="8"/>
        <item x="53"/>
        <item x="18"/>
        <item x="28"/>
        <item x="51"/>
        <item x="61"/>
        <item x="57"/>
        <item x="52"/>
        <item x="60"/>
        <item x="20"/>
        <item x="50"/>
        <item x="24"/>
        <item x="14"/>
        <item x="5"/>
        <item x="64"/>
        <item x="7"/>
        <item x="40"/>
        <item x="54"/>
        <item x="62"/>
        <item x="42"/>
        <item x="6"/>
        <item x="36"/>
        <item x="63"/>
        <item x="47"/>
        <item x="3"/>
        <item x="17"/>
        <item x="22"/>
        <item x="23"/>
        <item x="55"/>
        <item x="13"/>
        <item x="10"/>
        <item x="32"/>
        <item x="31"/>
        <item x="49"/>
        <item x="35"/>
        <item x="59"/>
        <item x="67"/>
        <item x="37"/>
        <item x="25"/>
        <item x="21"/>
        <item x="11"/>
        <item x="12"/>
        <item x="4"/>
        <item x="15"/>
        <item x="27"/>
        <item x="1"/>
        <item x="48"/>
        <item x="58"/>
        <item x="34"/>
        <item x="41"/>
        <item x="66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axis="axisPage" dataField="1" showAll="0">
      <items count="86">
        <item x="63"/>
        <item x="23"/>
        <item x="47"/>
        <item x="65"/>
        <item x="9"/>
        <item x="1"/>
        <item x="73"/>
        <item x="27"/>
        <item x="57"/>
        <item x="26"/>
        <item x="52"/>
        <item x="38"/>
        <item x="5"/>
        <item x="84"/>
        <item x="72"/>
        <item x="64"/>
        <item x="20"/>
        <item x="60"/>
        <item x="32"/>
        <item x="35"/>
        <item x="36"/>
        <item x="12"/>
        <item x="68"/>
        <item x="59"/>
        <item x="45"/>
        <item x="46"/>
        <item x="22"/>
        <item x="14"/>
        <item x="16"/>
        <item x="31"/>
        <item x="78"/>
        <item x="49"/>
        <item x="24"/>
        <item x="51"/>
        <item x="61"/>
        <item x="82"/>
        <item x="40"/>
        <item x="4"/>
        <item x="70"/>
        <item x="66"/>
        <item x="39"/>
        <item x="13"/>
        <item x="74"/>
        <item x="48"/>
        <item x="6"/>
        <item x="37"/>
        <item x="53"/>
        <item x="41"/>
        <item x="67"/>
        <item x="75"/>
        <item x="54"/>
        <item x="77"/>
        <item x="58"/>
        <item x="83"/>
        <item x="62"/>
        <item x="2"/>
        <item x="18"/>
        <item x="44"/>
        <item x="50"/>
        <item x="3"/>
        <item x="7"/>
        <item x="42"/>
        <item x="28"/>
        <item x="29"/>
        <item x="69"/>
        <item x="55"/>
        <item x="19"/>
        <item x="30"/>
        <item x="8"/>
        <item x="33"/>
        <item x="80"/>
        <item x="56"/>
        <item x="79"/>
        <item x="76"/>
        <item x="15"/>
        <item x="71"/>
        <item x="81"/>
        <item x="43"/>
        <item x="0"/>
        <item x="10"/>
        <item x="11"/>
        <item x="17"/>
        <item x="21"/>
        <item x="25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5">
    <i>
      <x v="23"/>
    </i>
    <i>
      <x v="65"/>
    </i>
    <i>
      <x v="76"/>
    </i>
    <i>
      <x v="79"/>
    </i>
    <i>
      <x v="85"/>
    </i>
    <i>
      <x v="129"/>
    </i>
    <i>
      <x v="146"/>
    </i>
    <i>
      <x v="151"/>
    </i>
    <i>
      <x v="156"/>
    </i>
    <i>
      <x v="169"/>
    </i>
    <i>
      <x v="176"/>
    </i>
    <i>
      <x v="180"/>
    </i>
    <i>
      <x v="197"/>
    </i>
    <i>
      <x v="199"/>
    </i>
    <i t="grand">
      <x/>
    </i>
  </rowItems>
  <colItems count="1">
    <i/>
  </colItems>
  <pageFields count="4">
    <pageField fld="6" hier="-1"/>
    <pageField fld="77" item="78" hier="-1"/>
    <pageField fld="3" hier="-1"/>
    <pageField fld="60" hier="-1"/>
  </pageFields>
  <dataFields count="1">
    <dataField name="Count of AMEL No" fld="7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CF1D1-A98D-4F65-B222-07AB6590C8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L16" firstHeaderRow="1" firstDataRow="1" firstDataCol="1" rowPageCount="4" colPageCount="1"/>
  <pivotFields count="88">
    <pivotField showAll="0"/>
    <pivotField showAll="0"/>
    <pivotField axis="axisRow" showAll="0">
      <items count="211">
        <item x="31"/>
        <item x="140"/>
        <item x="89"/>
        <item x="180"/>
        <item x="110"/>
        <item x="59"/>
        <item x="72"/>
        <item x="187"/>
        <item x="11"/>
        <item x="47"/>
        <item x="143"/>
        <item x="40"/>
        <item x="13"/>
        <item x="119"/>
        <item x="190"/>
        <item x="74"/>
        <item x="82"/>
        <item x="19"/>
        <item x="33"/>
        <item x="156"/>
        <item x="132"/>
        <item x="85"/>
        <item x="50"/>
        <item x="104"/>
        <item x="147"/>
        <item x="111"/>
        <item x="194"/>
        <item x="178"/>
        <item x="4"/>
        <item x="52"/>
        <item x="26"/>
        <item x="131"/>
        <item x="12"/>
        <item x="22"/>
        <item x="63"/>
        <item x="146"/>
        <item x="162"/>
        <item x="79"/>
        <item x="2"/>
        <item x="91"/>
        <item x="191"/>
        <item x="29"/>
        <item x="51"/>
        <item x="163"/>
        <item x="99"/>
        <item x="77"/>
        <item x="149"/>
        <item x="14"/>
        <item x="58"/>
        <item x="166"/>
        <item x="127"/>
        <item x="174"/>
        <item x="161"/>
        <item x="27"/>
        <item x="117"/>
        <item x="92"/>
        <item x="42"/>
        <item x="0"/>
        <item x="64"/>
        <item x="138"/>
        <item x="114"/>
        <item x="60"/>
        <item x="120"/>
        <item x="102"/>
        <item x="171"/>
        <item x="105"/>
        <item x="81"/>
        <item x="83"/>
        <item x="193"/>
        <item x="184"/>
        <item x="197"/>
        <item x="35"/>
        <item x="46"/>
        <item x="97"/>
        <item x="57"/>
        <item x="9"/>
        <item x="69"/>
        <item x="100"/>
        <item x="75"/>
        <item x="125"/>
        <item x="133"/>
        <item x="112"/>
        <item x="73"/>
        <item x="130"/>
        <item x="86"/>
        <item x="45"/>
        <item x="144"/>
        <item x="10"/>
        <item x="148"/>
        <item x="38"/>
        <item x="8"/>
        <item x="123"/>
        <item x="21"/>
        <item x="121"/>
        <item x="87"/>
        <item x="165"/>
        <item x="44"/>
        <item x="196"/>
        <item x="3"/>
        <item x="55"/>
        <item x="135"/>
        <item x="137"/>
        <item x="108"/>
        <item x="43"/>
        <item x="118"/>
        <item x="84"/>
        <item x="115"/>
        <item x="71"/>
        <item x="39"/>
        <item x="76"/>
        <item x="67"/>
        <item x="116"/>
        <item x="179"/>
        <item x="20"/>
        <item x="175"/>
        <item x="32"/>
        <item x="170"/>
        <item x="134"/>
        <item x="90"/>
        <item x="198"/>
        <item x="189"/>
        <item x="139"/>
        <item x="61"/>
        <item x="192"/>
        <item x="129"/>
        <item x="201"/>
        <item x="141"/>
        <item x="167"/>
        <item x="183"/>
        <item x="126"/>
        <item x="188"/>
        <item x="195"/>
        <item x="160"/>
        <item x="30"/>
        <item x="28"/>
        <item x="181"/>
        <item x="173"/>
        <item x="107"/>
        <item x="172"/>
        <item x="37"/>
        <item x="80"/>
        <item x="36"/>
        <item x="182"/>
        <item x="109"/>
        <item x="15"/>
        <item x="145"/>
        <item x="6"/>
        <item x="34"/>
        <item x="185"/>
        <item x="152"/>
        <item x="186"/>
        <item x="54"/>
        <item x="136"/>
        <item x="18"/>
        <item x="48"/>
        <item x="101"/>
        <item x="62"/>
        <item m="1" x="209"/>
        <item x="158"/>
        <item x="56"/>
        <item x="103"/>
        <item x="98"/>
        <item x="113"/>
        <item x="151"/>
        <item x="65"/>
        <item x="93"/>
        <item x="142"/>
        <item x="153"/>
        <item x="199"/>
        <item x="66"/>
        <item x="128"/>
        <item x="16"/>
        <item x="164"/>
        <item x="176"/>
        <item x="68"/>
        <item x="168"/>
        <item x="124"/>
        <item x="154"/>
        <item x="200"/>
        <item x="88"/>
        <item x="106"/>
        <item x="5"/>
        <item x="157"/>
        <item x="49"/>
        <item x="23"/>
        <item x="96"/>
        <item x="78"/>
        <item x="70"/>
        <item x="122"/>
        <item x="53"/>
        <item x="177"/>
        <item x="7"/>
        <item x="169"/>
        <item x="155"/>
        <item x="95"/>
        <item x="159"/>
        <item x="94"/>
        <item x="41"/>
        <item x="150"/>
        <item x="24"/>
        <item x="25"/>
        <item x="17"/>
        <item x="1"/>
        <item x="202"/>
        <item x="203"/>
        <item x="204"/>
        <item x="205"/>
        <item x="206"/>
        <item x="207"/>
        <item x="208"/>
        <item t="default"/>
      </items>
    </pivotField>
    <pivotField axis="axisPage" multipleItemSelectionAllowed="1" showAll="0">
      <items count="39">
        <item h="1" x="14"/>
        <item h="1" x="3"/>
        <item h="1" x="12"/>
        <item h="1" x="8"/>
        <item m="1" x="32"/>
        <item h="1" x="11"/>
        <item h="1" x="18"/>
        <item h="1" x="20"/>
        <item h="1" x="9"/>
        <item h="1" x="13"/>
        <item h="1"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h="1" x="6"/>
        <item h="1" x="2"/>
        <item h="1" x="0"/>
        <item m="1" x="37"/>
        <item h="1" x="4"/>
        <item m="1" x="34"/>
        <item h="1" x="21"/>
        <item m="1" x="36"/>
        <item m="1" x="22"/>
        <item h="1" x="1"/>
        <item h="1" x="15"/>
        <item h="1" x="10"/>
        <item x="7"/>
        <item h="1" x="17"/>
        <item h="1" x="16"/>
        <item x="5"/>
        <item m="1" x="26"/>
        <item t="default"/>
      </items>
    </pivotField>
    <pivotField showAll="0"/>
    <pivotField showAll="0"/>
    <pivotField axis="axisPage" multipleItemSelectionAllowed="1" showAll="0">
      <items count="15">
        <item h="1" x="0"/>
        <item h="1" x="1"/>
        <item x="2"/>
        <item x="6"/>
        <item x="7"/>
        <item x="5"/>
        <item x="4"/>
        <item x="8"/>
        <item h="1" x="9"/>
        <item h="1" x="3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2">
        <item h="1" x="70"/>
        <item h="1" x="68"/>
        <item h="1" x="44"/>
        <item h="1" x="30"/>
        <item h="1" x="19"/>
        <item h="1" x="33"/>
        <item h="1" x="43"/>
        <item h="1" x="46"/>
        <item h="1" x="45"/>
        <item h="1" x="38"/>
        <item h="1" x="65"/>
        <item h="1" x="69"/>
        <item h="1" x="29"/>
        <item h="1" x="2"/>
        <item h="1" x="56"/>
        <item h="1" x="39"/>
        <item h="1" x="16"/>
        <item h="1" x="26"/>
        <item h="1" x="9"/>
        <item h="1" x="8"/>
        <item h="1" x="53"/>
        <item h="1" x="18"/>
        <item h="1" x="28"/>
        <item h="1" x="51"/>
        <item h="1" x="61"/>
        <item h="1" x="57"/>
        <item h="1" x="52"/>
        <item h="1" x="60"/>
        <item h="1" x="20"/>
        <item h="1" x="50"/>
        <item h="1" x="24"/>
        <item h="1" x="14"/>
        <item h="1" x="5"/>
        <item h="1" x="64"/>
        <item h="1" x="7"/>
        <item h="1" x="40"/>
        <item h="1" x="54"/>
        <item h="1" x="62"/>
        <item h="1" x="42"/>
        <item h="1" x="6"/>
        <item h="1" x="36"/>
        <item h="1" x="63"/>
        <item h="1" x="47"/>
        <item h="1" x="3"/>
        <item h="1" x="17"/>
        <item h="1" x="22"/>
        <item h="1" x="23"/>
        <item h="1" x="55"/>
        <item h="1" x="13"/>
        <item h="1" x="10"/>
        <item h="1" x="32"/>
        <item h="1" x="31"/>
        <item h="1" x="49"/>
        <item h="1" x="35"/>
        <item h="1" x="59"/>
        <item h="1" x="67"/>
        <item h="1" x="37"/>
        <item h="1" x="25"/>
        <item h="1" x="21"/>
        <item h="1" x="11"/>
        <item h="1" x="12"/>
        <item h="1" x="4"/>
        <item h="1" x="15"/>
        <item h="1" x="27"/>
        <item h="1" x="1"/>
        <item h="1" x="48"/>
        <item h="1" x="58"/>
        <item h="1" x="34"/>
        <item h="1" x="41"/>
        <item h="1" x="6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27">
        <item h="1" x="1"/>
        <item h="1" x="99"/>
        <item h="1" x="69"/>
        <item h="1" x="6"/>
        <item h="1" x="120"/>
        <item h="1" x="98"/>
        <item h="1" x="89"/>
        <item h="1" x="81"/>
        <item h="1" x="43"/>
        <item h="1" x="47"/>
        <item h="1" x="48"/>
        <item h="1" x="78"/>
        <item h="1" x="62"/>
        <item h="1" x="63"/>
        <item h="1" x="30"/>
        <item h="1" x="23"/>
        <item h="1" x="42"/>
        <item h="1" x="107"/>
        <item h="1" x="68"/>
        <item h="1" x="83"/>
        <item h="1" x="118"/>
        <item h="1" x="53"/>
        <item h="1" x="96"/>
        <item h="1" x="91"/>
        <item h="1" x="52"/>
        <item h="1" x="103"/>
        <item h="1" x="65"/>
        <item h="1" x="93"/>
        <item h="1" x="104"/>
        <item h="1" x="119"/>
        <item h="1" x="87"/>
        <item h="1" x="2"/>
        <item h="1" x="25"/>
        <item h="1" x="60"/>
        <item h="1" x="67"/>
        <item h="1" x="3"/>
        <item h="1" x="8"/>
        <item h="1" x="58"/>
        <item h="1" x="38"/>
        <item h="1" x="39"/>
        <item h="1" x="95"/>
        <item h="1" x="9"/>
        <item h="1" x="22"/>
        <item h="1" x="97"/>
        <item h="1" x="117"/>
        <item h="1" x="59"/>
        <item h="1" x="11"/>
        <item h="1" x="76"/>
        <item h="1" x="28"/>
        <item h="1" x="31"/>
        <item h="1" x="66"/>
        <item h="1" x="33"/>
        <item h="1" x="5"/>
        <item h="1" x="18"/>
        <item h="1" x="7"/>
        <item h="1" x="49"/>
        <item h="1" x="70"/>
        <item h="1" x="71"/>
        <item h="1" x="106"/>
        <item h="1" x="72"/>
        <item h="1" x="26"/>
        <item h="1" x="40"/>
        <item h="1" x="44"/>
        <item h="1" x="116"/>
        <item h="1" x="73"/>
        <item h="1" x="105"/>
        <item m="1" x="123"/>
        <item x="108"/>
        <item x="109"/>
        <item x="21"/>
        <item x="57"/>
        <item x="51"/>
        <item x="112"/>
        <item m="1" x="125"/>
        <item x="16"/>
        <item x="46"/>
        <item x="10"/>
        <item x="77"/>
        <item x="111"/>
        <item x="113"/>
        <item x="79"/>
        <item x="32"/>
        <item x="13"/>
        <item x="14"/>
        <item m="1" x="121"/>
        <item x="80"/>
        <item x="82"/>
        <item x="29"/>
        <item x="17"/>
        <item x="115"/>
        <item x="35"/>
        <item x="45"/>
        <item x="37"/>
        <item x="24"/>
        <item x="110"/>
        <item x="90"/>
        <item x="20"/>
        <item x="36"/>
        <item x="114"/>
        <item x="92"/>
        <item x="19"/>
        <item x="56"/>
        <item x="55"/>
        <item x="102"/>
        <item x="84"/>
        <item x="50"/>
        <item x="86"/>
        <item m="1" x="124"/>
        <item x="85"/>
        <item m="1" x="122"/>
        <item x="4"/>
        <item x="94"/>
        <item x="101"/>
        <item x="54"/>
        <item x="100"/>
        <item x="12"/>
        <item h="1" x="0"/>
        <item h="1" x="27"/>
        <item h="1" x="41"/>
        <item h="1" x="61"/>
        <item h="1" x="64"/>
        <item h="1" x="74"/>
        <item h="1" x="75"/>
        <item h="1" x="88"/>
        <item h="1" x="15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32"/>
    </i>
    <i>
      <x v="44"/>
    </i>
    <i>
      <x v="47"/>
    </i>
    <i>
      <x v="63"/>
    </i>
    <i>
      <x v="77"/>
    </i>
    <i>
      <x v="110"/>
    </i>
    <i>
      <x v="144"/>
    </i>
    <i>
      <x v="171"/>
    </i>
    <i t="grand">
      <x/>
    </i>
  </rowItems>
  <colItems count="1">
    <i/>
  </colItems>
  <pageFields count="4">
    <pageField fld="3" hier="-1"/>
    <pageField fld="60" hier="-1"/>
    <pageField fld="6" hier="-1"/>
    <pageField fld="80" hier="-1"/>
  </pageFields>
  <dataFields count="1">
    <dataField name="Count of Type Rating Level III Training" fld="6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F9536-4592-4B5F-B03B-A95C6B309A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8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dataField="1" showAll="0">
      <items count="8">
        <item x="2"/>
        <item x="1"/>
        <item x="5"/>
        <item x="3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MEL 1" fld="7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F61F7-8BE9-40EE-A794-207FEEB3D9D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E31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axis="axisRow" dataField="1" showAll="0">
      <items count="11">
        <item x="7"/>
        <item x="3"/>
        <item x="9"/>
        <item x="2"/>
        <item x="4"/>
        <item x="5"/>
        <item x="8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MEL 2" fld="7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2B2A9-9BAF-49BD-BF3A-851C705E7A0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4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MEL 3" fld="7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B8781-5FE4-4838-A993-5AB47C31FD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2"/>
        <item x="1"/>
        <item x="5"/>
        <item x="3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1" fld="6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0D05E-6470-4943-8394-F09A767DE0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8"/>
        <item x="3"/>
        <item x="7"/>
        <item x="2"/>
        <item x="4"/>
        <item x="6"/>
        <item x="9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2" fld="6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20A34-9B1C-4033-A6C3-6A74C443D00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0" firstHeaderRow="1" firstDataRow="1" firstDataCol="1"/>
  <pivotFields count="8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4"/>
        <item x="5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3" fld="6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441D8-924D-43EA-82D3-7ECE1263DD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I39" firstHeaderRow="1" firstDataRow="2" firstDataCol="1"/>
  <pivotFields count="88"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6"/>
        <item x="7"/>
        <item x="5"/>
        <item x="4"/>
        <item x="8"/>
        <item x="9"/>
        <item x="3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Col" dataField="1" showAll="0">
      <items count="8">
        <item x="2"/>
        <item x="1"/>
        <item x="5"/>
        <item x="3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AMEL 1" fld="7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858DA-35D6-4CB9-A02E-CCB40ED630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9" firstHeaderRow="1" firstDataRow="2" firstDataCol="1"/>
  <pivotFields count="88"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6"/>
        <item x="7"/>
        <item x="5"/>
        <item x="4"/>
        <item x="8"/>
        <item x="9"/>
        <item x="3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Col" dataField="1" showAll="0">
      <items count="8">
        <item x="2"/>
        <item x="1"/>
        <item x="5"/>
        <item x="3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7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AMEL 1" fld="7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F16A0-82A8-4007-9A96-D3731AED0A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88">
    <pivotField showAll="0"/>
    <pivotField showAll="0"/>
    <pivotField showAll="0"/>
    <pivotField axis="axisRow" dataField="1" showAll="0">
      <items count="39">
        <item x="14"/>
        <item x="3"/>
        <item x="12"/>
        <item m="1" x="32"/>
        <item x="11"/>
        <item x="18"/>
        <item x="9"/>
        <item x="19"/>
        <item m="1" x="35"/>
        <item m="1" x="25"/>
        <item m="1" x="27"/>
        <item m="1" x="28"/>
        <item m="1" x="29"/>
        <item m="1" x="30"/>
        <item m="1" x="24"/>
        <item m="1" x="31"/>
        <item m="1" x="23"/>
        <item m="1" x="33"/>
        <item m="1" x="37"/>
        <item m="1" x="34"/>
        <item x="21"/>
        <item m="1" x="36"/>
        <item m="1" x="22"/>
        <item x="15"/>
        <item x="10"/>
        <item x="7"/>
        <item x="17"/>
        <item x="16"/>
        <item x="5"/>
        <item m="1" x="26"/>
        <item x="0"/>
        <item x="1"/>
        <item x="2"/>
        <item x="6"/>
        <item x="8"/>
        <item x="13"/>
        <item x="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3">
    <i>
      <x/>
    </i>
    <i>
      <x v="1"/>
    </i>
    <i>
      <x v="2"/>
    </i>
    <i>
      <x v="4"/>
    </i>
    <i>
      <x v="5"/>
    </i>
    <i>
      <x v="6"/>
    </i>
    <i>
      <x v="7"/>
    </i>
    <i>
      <x v="20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Job Titl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1DC9F-D15B-4880-A45E-FFBAAD8EFBFD}" name="Table13" displayName="Table13" ref="A2:CJ209" totalsRowShown="0">
  <autoFilter ref="A2:CJ209" xr:uid="{A831DC9F-D15B-4880-A45E-FFBAAD8EFBFD}"/>
  <sortState xmlns:xlrd2="http://schemas.microsoft.com/office/spreadsheetml/2017/richdata2" ref="A3:CJ209">
    <sortCondition ref="A2:A209"/>
  </sortState>
  <tableColumns count="88">
    <tableColumn id="1" xr3:uid="{E20F6996-B987-417A-B218-FFD09C963E4C}" name="No"/>
    <tableColumn id="2" xr3:uid="{E11E6182-201C-48D5-91BC-07694AD8B15A}" name="Emp ID"/>
    <tableColumn id="3" xr3:uid="{193F0AEC-F99A-4A85-BC19-9F53936D1A19}" name="Name" dataDxfId="71"/>
    <tableColumn id="4" xr3:uid="{C200538A-EF1B-4882-AD47-5A6AA2658D37}" name="Job Title"/>
    <tableColumn id="5" xr3:uid="{B495ACCC-D700-45C7-85D7-75135D90EF9B}" name="Group"/>
    <tableColumn id="6" xr3:uid="{C197ADD8-7B59-46C3-855D-03AEF902DACD}" name="Unit"/>
    <tableColumn id="7" xr3:uid="{C7934DA7-2461-476B-94F3-E3BA98616529}" name="New Unit"/>
    <tableColumn id="8" xr3:uid="{49D8FA46-90E8-41D9-AC1B-65DC30A899C2}" name="Human Factor" dataDxfId="70"/>
    <tableColumn id="67" xr3:uid="{A905F0B2-DD39-41BF-BF08-CA386621599A}" name="HF Status" dataDxfId="69">
      <calculatedColumnFormula>IF(
  _xlfn.XLOOKUP($D3 &amp; "-" &amp; H$2, 'TrainingReq (Ach)'!G:G, 'TrainingReq (Ach)'!F:F, "2-Year") = "Forever",
  "Valid",
  IF(H3="", "Not Trained",
     IF(H3 &lt; TODAY() - 1, "Expired",
        IF(H3 &lt;= TODAY() + 90, "Expiring", "Valid")
     )
  )
)</calculatedColumnFormula>
    </tableColumn>
    <tableColumn id="9" xr3:uid="{BA229872-0029-4009-B361-20871F1D8792}" name="Safety Management System" dataDxfId="68"/>
    <tableColumn id="69" xr3:uid="{A4E9FB92-A1D2-4630-BA15-E97442D870DD}" name="SMS Status" dataDxfId="67">
      <calculatedColumnFormula>IF(
  _xlfn.XLOOKUP($D3 &amp; "-" &amp; J$2, 'TrainingReq (Ach)'!G:G, 'TrainingReq (Ach)'!F:F, "2-Year") = "Forever",
  "Valid",
  IF(J3="", "Not Trained",
     IF(J3 &lt; TODAY() - 1, "Expired",
        IF(J3 &lt;= TODAY() + 90, "Expiring", "Valid")
     )
  )
)</calculatedColumnFormula>
    </tableColumn>
    <tableColumn id="10" xr3:uid="{5701A59A-D825-42C1-9F6D-D17E2D947F76}" name="GMF Quality System" dataDxfId="66"/>
    <tableColumn id="70" xr3:uid="{A43897D9-E286-4197-91A2-0841BD0142C8}" name="QS Status" dataDxfId="65">
      <calculatedColumnFormula>IF(
  _xlfn.XLOOKUP($D3 &amp; "-" &amp; L$2, TrainingMan!$G:$G, TrainingMan!$F:$F, "2-Year") = "Forever",
  "Valid",
  IF(L3="", "Not Trained",
     IF(L3 &lt; TODAY() - 1, "Expired",
        IF(L3 &lt;= TODAY() + 90, "Expiring", "Valid")
     )
  )
)</calculatedColumnFormula>
    </tableColumn>
    <tableColumn id="11" xr3:uid="{36FEC2D1-10EE-4574-A032-C82CCE0A308C}" name="CASR Part 145" dataDxfId="64"/>
    <tableColumn id="71" xr3:uid="{C865B313-DA04-4ACB-852F-755B7099C078}" name="CASR Status" dataDxfId="63">
      <calculatedColumnFormula>IF(
  _xlfn.XLOOKUP($D3 &amp; "-" &amp; N$2, TrainingMan!$G:$G, TrainingMan!$F:$F, "2-Year") = "Forever",
  "Valid",
  IF(N3="", "Not Trained",
     IF(N3 &lt; TODAY() - 1, "Expired",
        IF(N3 &lt;= TODAY() + 90, "Expiring", "Valid")
     )
  )
)</calculatedColumnFormula>
    </tableColumn>
    <tableColumn id="12" xr3:uid="{611CA3F5-B494-4824-8235-8CB3703B1B52}" name="FAR Part 145" dataDxfId="62"/>
    <tableColumn id="72" xr3:uid="{6CF58204-E698-412A-AE88-149890FF6010}" name="FAR Status" dataDxfId="61">
      <calculatedColumnFormula>IF(
  _xlfn.XLOOKUP($D3 &amp; "-" &amp; P$2, TrainingMan!$G:$G, TrainingMan!$F:$F, "2-Year") = "Forever",
  "Valid",
  IF(P3="", "Not Trained",
     IF(P3 &lt; TODAY() - 1, "Expired",
        IF(P3 &lt;= TODAY() + 90, "Expiring", "Valid")
     )
  )
)</calculatedColumnFormula>
    </tableColumn>
    <tableColumn id="13" xr3:uid="{52652007-6602-40BA-89AA-A059096F2254}" name="EASA Part 145" dataDxfId="60"/>
    <tableColumn id="73" xr3:uid="{28998370-EEF0-4927-9D5D-97D0ED6B8840}" name="EASA Status" dataDxfId="59">
      <calculatedColumnFormula>IF(
  _xlfn.XLOOKUP($D3 &amp; "-" &amp; R$2, TrainingMan!$G:$G, TrainingMan!$F:$F, "2-Year") = "Forever",
  "Valid",
  IF(R3="", "Not Trained",
     IF(R3 &lt; TODAY() - 1, "Expired",
        IF(R3 &lt;= TODAY() + 90, "Expiring", "Valid")
     )
  )
)</calculatedColumnFormula>
    </tableColumn>
    <tableColumn id="14" xr3:uid="{FA4D2B95-E2C3-400D-A0E4-75ABA503704B}" name="EASA Part M" dataDxfId="58"/>
    <tableColumn id="74" xr3:uid="{DA84E887-BA15-467E-B0C5-F7E6D6CD0845}" name="Part M Status" dataDxfId="57">
      <calculatedColumnFormula>IF(
  _xlfn.XLOOKUP($D3 &amp; "-" &amp; T$2, TrainingMan!$G:$G, TrainingMan!$F:$F, "2-Year") = "Forever",
  "Valid",
  IF(T3="", "Not Trained",
     IF(T3 &lt; TODAY() - 1, "Expired",
        IF(T3 &lt;= TODAY() + 90, "Expiring", "Valid")
     )
  )
)</calculatedColumnFormula>
    </tableColumn>
    <tableColumn id="15" xr3:uid="{507FB201-F762-4678-A2C8-3272CD395CF8}" name="Fuel Tank Safety" dataDxfId="56"/>
    <tableColumn id="75" xr3:uid="{8DB888A8-D01C-46C8-B320-47D7D43829EC}" name="FTS Status" dataDxfId="55">
      <calculatedColumnFormula>IF(
  _xlfn.XLOOKUP($D3 &amp; "-" &amp; V$2, TrainingMan!$G:$G, TrainingMan!$F:$F, "2-Year") = "Forever",
  "Valid",
  IF(V3="", "Not Trained",
     IF(V3 &lt; TODAY() - 1, "Expired",
        IF(V3 &lt;= TODAY() + 90, "Expiring", "Valid")
     )
  )
)</calculatedColumnFormula>
    </tableColumn>
    <tableColumn id="16" xr3:uid="{7842D479-E1F8-4840-9AFF-9D062D2D83C0}" name="EWIS" dataDxfId="54"/>
    <tableColumn id="77" xr3:uid="{0961A5E0-EB22-46D2-9EF1-2C6BE1B84DF2}" name="EWIS Status" dataDxfId="53">
      <calculatedColumnFormula>IF(
  _xlfn.XLOOKUP($D3 &amp; "-" &amp; X$2, TrainingMan!$G:$G, TrainingMan!$F:$F, "2-Year") = "Forever",
  "Valid",
  IF(X3="", "Not Trained",
     IF(X3 &lt; TODAY() - 1, "Expired",
        IF(X3 &lt;= TODAY() + 90, "Expiring", "Valid")
     )
  )
)</calculatedColumnFormula>
    </tableColumn>
    <tableColumn id="17" xr3:uid="{8D03C77B-F081-4AB5-AFBF-E5424E3A8FB1}" name="Dangerous Good" dataDxfId="52"/>
    <tableColumn id="78" xr3:uid="{C398BF75-8E9F-4068-9C31-9A24713C198E}" name="DG Status" dataDxfId="51">
      <calculatedColumnFormula>IF(LEN(TRIM(Z3)) = 0, "Not Trained",
  IF(_xlfn.XLOOKUP($D3 &amp; "-" &amp; Z$2, TrainingMan!$G:$G, TrainingMan!$F:$F, "2-Year") = "Forever", "Valid",
    IF(Z3 &lt; TODAY() - 1, "Expired",
      IF(Z3 &lt;= TODAY() + 90, "Expiring", "Valid")
    )
  )
)</calculatedColumnFormula>
    </tableColumn>
    <tableColumn id="18" xr3:uid="{542FA286-25CD-441E-8EF0-081E2BBF5158}" name="ADTH" dataDxfId="50"/>
    <tableColumn id="19" xr3:uid="{1E73EB77-8B3C-4F09-B0EB-43848FDBD923}" name="Basic Inspection" dataDxfId="49"/>
    <tableColumn id="20" xr3:uid="{2457DB78-D66E-4BF6-98E8-C20B1225ABD5}" name="Basic Supervisory Training" dataDxfId="48"/>
    <tableColumn id="21" xr3:uid="{5420ECFA-76E0-49DF-857E-FC339E6C475C}" name="Certifying Staff" dataDxfId="47"/>
    <tableColumn id="22" xr3:uid="{16C6FB49-DFF4-42CD-A799-63E51BC27038}" name="Fundamental Troubleshooting" dataDxfId="46"/>
    <tableColumn id="23" xr3:uid="{1D6D56B5-9DA0-4E89-88DF-7C3B2FF3958E}" name="Training of Trainer" dataDxfId="45"/>
    <tableColumn id="24" xr3:uid="{414EFF43-512F-44BF-A3FD-CE8112D5F555}" name="Basic Planning" dataDxfId="44"/>
    <tableColumn id="25" xr3:uid="{A7B8A199-46DA-49FE-82C5-B429146369C2}" name="Basic Engineering" dataDxfId="43"/>
    <tableColumn id="26" xr3:uid="{CC28A942-B89E-42FE-8C23-6BC2DAF20BC7}" name="Aircraft Familiarization" dataDxfId="42"/>
    <tableColumn id="27" xr3:uid="{BC1824BC-ED93-410A-B361-643B0E2CC7B4}" name="GMF Logistic Business"/>
    <tableColumn id="28" xr3:uid="{086B5306-09E6-4D3A-9AF7-99A9ACD39DD3}" name="Warehouse Management"/>
    <tableColumn id="29" xr3:uid="{0899D39C-78C3-484D-BE61-1C9EE611D438}" name="Material Handling"/>
    <tableColumn id="30" xr3:uid="{2EA1957C-AA1E-46F6-B7F2-72A7A3BC9344}" name="Aircraft Exterior &amp; Interior Cleaning" dataDxfId="41"/>
    <tableColumn id="31" xr3:uid="{47FDDD4A-11CF-431B-88D6-72773667F1C8}" name="GSE Type Rating"/>
    <tableColumn id="76" xr3:uid="{BDD64F50-DC38-447F-B7EB-4205C572C955}" name="Aviation Legislation Module 10"/>
    <tableColumn id="32" xr3:uid="{2F4E812D-0FFD-40D3-8B25-30DD807D4DFF}" name="Leadership Skill Training" dataDxfId="40"/>
    <tableColumn id="33" xr3:uid="{610BE714-5E70-4F13-877A-A5540A07215A}" name="MRO Management" dataDxfId="39"/>
    <tableColumn id="34" xr3:uid="{B9C5C78B-0E3A-4016-9188-40000916E203}" name="MRO Finance" dataDxfId="38"/>
    <tableColumn id="35" xr3:uid="{55F5AB8D-D595-4DB7-8761-3F44FF5E200C}" name="Project Management basic" dataDxfId="37"/>
    <tableColumn id="36" xr3:uid="{B47A84E8-DC2C-461E-BDAF-0039B62CFD32}" name="OLP" dataDxfId="36"/>
    <tableColumn id="37" xr3:uid="{2BAC4270-34FC-4D09-802B-4487A5D60D6B}" name="Office Administration"/>
    <tableColumn id="38" xr3:uid="{85800AEF-61B1-46BC-911E-45477007DF21}" name="Basic Accounting Module"/>
    <tableColumn id="39" xr3:uid="{3070A92E-6F7B-4A50-B7D3-ADB39C026212}" name="Service Excelent"/>
    <tableColumn id="40" xr3:uid="{DA812967-91A1-46DA-806F-A663040AB273}" name="Management for Secretary"/>
    <tableColumn id="41" xr3:uid="{5449B2E7-CE85-4F89-B7F2-431E61F52B7F}" name="RII"/>
    <tableColumn id="42" xr3:uid="{DE528C85-16A8-4AAB-AB5A-03B3C8F00E5C}" name="Lead Auditor Course"/>
    <tableColumn id="43" xr3:uid="{3749A36B-8D6C-4C16-BCB0-0E811C179F96}" name="SWIFT Training" dataDxfId="35"/>
    <tableColumn id="44" xr3:uid="{140072C6-FDE0-4C48-854D-2D4D32FF5E5C}" name="IFE" dataDxfId="34"/>
    <tableColumn id="45" xr3:uid="{26A92393-8A44-463E-9CE7-5205F2BB3D5B}" name="Orientation Training" dataDxfId="33"/>
    <tableColumn id="46" xr3:uid="{6E0FB39E-AC1B-430F-9743-00BB3B166B41}" name="BCT" dataDxfId="32"/>
    <tableColumn id="47" xr3:uid="{4719941D-A4AA-46F7-B87B-777AEC0D9655}" name="BAM" dataDxfId="31"/>
    <tableColumn id="48" xr3:uid="{9D78FAF0-BD2B-405E-A424-C13A81758598}" name="BATK" dataDxfId="30"/>
    <tableColumn id="68" xr3:uid="{CAF87736-4141-4916-88C1-DD69456EA68B}" name="GAK" dataDxfId="29"/>
    <tableColumn id="49" xr3:uid="{B7AF4C3D-8B71-4957-B2E3-C87F0B4A100B}" name="Type Rating Level III Training" dataDxfId="28"/>
    <tableColumn id="50" xr3:uid="{E90B8E33-BB46-4638-B094-DD85486C4D38}" name="1" dataDxfId="27"/>
    <tableColumn id="82" xr3:uid="{C99EDA54-4A73-42D7-834E-CB4162CCF029}" name="2" dataDxfId="26"/>
    <tableColumn id="83" xr3:uid="{0FD065D3-AEEF-4540-80BD-B3BFD0BE19A4}" name="3" dataDxfId="25"/>
    <tableColumn id="51" xr3:uid="{E5841725-962A-4C16-ABE0-05CEA0C64334}" name="Simplified Technical English" dataDxfId="24"/>
    <tableColumn id="52" xr3:uid="{B8C40801-A221-4621-AFF2-340B7ED9C6D2}" name="Radio Telephony" dataDxfId="23"/>
    <tableColumn id="53" xr3:uid="{68454659-F7F0-4D0B-B97C-0E48005683EC}" name="B737 BCF" dataDxfId="22"/>
    <tableColumn id="54" xr3:uid="{63810FC8-B58A-4E9F-8C2A-8D8A7EC2B836}" name="Mandatory for Supporting" dataDxfId="21"/>
    <tableColumn id="55" xr3:uid="{E1BB1315-B059-4B06-853E-6186ED92A9FB}" name="Req Training">
      <calculatedColumnFormula>COUNTIF('TrainingReq (Ach)'!B:B,Table13[[#This Row],[Job Title]])</calculatedColumnFormula>
    </tableColumn>
    <tableColumn id="56" xr3:uid="{BDC575B1-0286-40A7-AA1E-F0F99CB8FC88}" name="Completed Training" dataDxfId="20">
      <calculatedColumnFormula array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calculatedColumnFormula>
    </tableColumn>
    <tableColumn id="57" xr3:uid="{2400345A-3A8F-44A0-BF0C-E38B8CF526B0}" name="Achievement" dataDxfId="19">
      <calculatedColumnFormula>BR3/BQ3</calculatedColumnFormula>
    </tableColumn>
    <tableColumn id="58" xr3:uid="{D025B529-982A-476E-AC55-E3A0553A87D3}" name="Training Achivement"/>
    <tableColumn id="59" xr3:uid="{5F586271-EFEB-491E-8E41-038CF2673ADD}" name="Employee Category"/>
    <tableColumn id="60" xr3:uid="{5EC93BF6-E714-424E-85D4-2F84932FE370}" name="General Lic."/>
    <tableColumn id="84" xr3:uid="{24B76254-353E-4D09-9B46-B499D685FDCE}" name="AMEL 1" dataDxfId="18"/>
    <tableColumn id="85" xr3:uid="{29C9A237-D1F1-4DD8-A040-F460001EE548}" name="AMEL 2"/>
    <tableColumn id="86" xr3:uid="{1F2D85E8-E012-40AE-8892-25DF193252FE}" name="AMEL 3"/>
    <tableColumn id="61" xr3:uid="{1DDB338F-99F6-41C8-9500-297B5BBBF257}" name="AMEL No"/>
    <tableColumn id="81" xr3:uid="{F64F5B44-D412-4E7C-BA3F-9187571D6094}" name="AMEL Qty"/>
    <tableColumn id="62" xr3:uid="{0C419354-A331-4237-994D-A70622886BCC}" name="CS No"/>
    <tableColumn id="63" xr3:uid="{7FEA660A-E37A-4E8D-AB53-9771FCB86CE2}" name="Stamp No"/>
    <tableColumn id="64" xr3:uid="{91882598-8230-4D94-A078-43842BB0B55D}" name="AMEL Validity" dataDxfId="17"/>
    <tableColumn id="79" xr3:uid="{298E2CC4-970F-4ABE-8191-55602BA2C8BE}" name="AMEL Status" dataDxfId="16">
      <calculatedColumnFormula>IF(
  _xlfn.XLOOKUP($D3 &amp; "-" &amp; CC$2, '[1]TrainingReq (Ach)'!$G:$G, '[1]TrainingReq (Ach)'!$F:$F, "2-Year") = "Forever",
  "Valid",
  IF(CC3="", "Not Trained",
     IF(CC3 &lt; TODAY() - 1, "Expired",
        IF(CC3 &lt;= TODAY() + 90, "Expiring", "Valid")
     )
  )
)</calculatedColumnFormula>
    </tableColumn>
    <tableColumn id="65" xr3:uid="{8A654DF0-809C-42FE-9E2A-8332A703FD7F}" name="CS Validity"/>
    <tableColumn id="66" xr3:uid="{DEA54A2B-9959-4251-977A-14DC80F8867F}" name="Stamp Validity" dataDxfId="15"/>
    <tableColumn id="80" xr3:uid="{94069C9D-34DA-4DF5-9AA1-09D77AE1938B}" name="Stamp Status" dataDxfId="14">
      <calculatedColumnFormula>IF(
  _xlfn.XLOOKUP($D3 &amp; "-" &amp; CF$2, '[1]TrainingReq (Ach)'!$G:$G, '[1]TrainingReq (Ach)'!$F:$F, "2-Year") = "Forever",
  "Valid",
  IF(CF3="", "Not Trained",
     IF(CF3 &lt; TODAY() - 1, "Expired",
        IF(CF3 &lt;= TODAY() + 90, "Expiring", "Valid")
     )
  )
)</calculatedColumnFormula>
    </tableColumn>
    <tableColumn id="87" xr3:uid="{5E6E7EB9-288B-443F-9A41-E4DF447895F9}" name="Eligibility ACE" dataDxfId="13">
      <calculatedColumnFormula>IF(BW3&lt;&gt;"","Eligible","Not eligible")</calculatedColumnFormula>
    </tableColumn>
    <tableColumn id="88" xr3:uid="{872F20F9-544B-4C0C-9722-12DABEB7C405}" name="Eligibility SACE" dataDxfId="12">
      <calculatedColumnFormula>IF(BX3&lt;&gt;"","Eligible","Not eligible")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15F35-5BE4-486E-A9B8-5797CD62EFB1}" name="ValidityMatrix2" displayName="ValidityMatrix2" ref="A1:H337" totalsRowShown="0" headerRowDxfId="11" headerRowCellStyle="Normal 2" dataCellStyle="Normal 2">
  <autoFilter ref="A1:H337" xr:uid="{4FD469DD-C495-479D-931C-D40296A3AB04}">
    <filterColumn colId="1">
      <filters>
        <filter val="Senior Aircraft Cabin Technician"/>
      </filters>
    </filterColumn>
  </autoFilter>
  <tableColumns count="8">
    <tableColumn id="1" xr3:uid="{E29DDFAE-A233-4DB0-B952-184EF962317C}" name="No" dataCellStyle="Normal 2"/>
    <tableColumn id="2" xr3:uid="{50F3106D-BFC8-45C1-BBDC-E18E076DC800}" name="Job Title" dataCellStyle="Normal 2"/>
    <tableColumn id="3" xr3:uid="{284D0A87-34B9-411B-8C21-3F63D977D741}" name="Training Code" dataCellStyle="Normal 2"/>
    <tableColumn id="4" xr3:uid="{1993EA77-4AB1-4605-A274-6BB5E1003947}" name="Training Type" dataCellStyle="Normal 2"/>
    <tableColumn id="5" xr3:uid="{0145828F-FD9F-4291-957C-6FBB3845E7BE}" name="traintype" dataCellStyle="Normal 2"/>
    <tableColumn id="6" xr3:uid="{D63BA31A-D0DD-4CA1-88C6-8D3F51723663}" name="Validity (Days)" dataCellStyle="Normal 2"/>
    <tableColumn id="7" xr3:uid="{F3AEA45B-530E-4172-8AD9-6DF545F4C22A}" name="Key" dataDxfId="10" dataCellStyle="Normal 2">
      <calculatedColumnFormula>B2 &amp; "-" &amp; D2</calculatedColumnFormula>
    </tableColumn>
    <tableColumn id="8" xr3:uid="{69C3E3C8-5AA6-46F2-9633-B45E23B6991C}" name="No Need Training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2C1EC9-0A0C-4CEC-A579-3E2FE6B7E6DE}" name="ValidityMatrix" displayName="ValidityMatrix" ref="A1:G306" totalsRowShown="0" headerRowDxfId="9" headerRowCellStyle="Normal 2" dataCellStyle="Normal 2">
  <autoFilter ref="A1:G306" xr:uid="{4FD469DD-C495-479D-931C-D40296A3AB04}">
    <filterColumn colId="1">
      <filters>
        <filter val="Senior Aircraft Cabin Technician"/>
      </filters>
    </filterColumn>
  </autoFilter>
  <tableColumns count="7">
    <tableColumn id="1" xr3:uid="{ECA90F1D-A062-4E6B-A505-1368CA08787E}" name="No" dataCellStyle="Normal 2"/>
    <tableColumn id="2" xr3:uid="{94210FD8-503D-4438-AA65-85D19CE2AEEB}" name="Job Title" dataCellStyle="Normal 2"/>
    <tableColumn id="3" xr3:uid="{1C4C4CFC-2686-45F6-BD28-08B3EC208DE4}" name="Training Code" dataCellStyle="Normal 2"/>
    <tableColumn id="4" xr3:uid="{94AB4843-75E9-472E-B554-BD91E87C9DD8}" name="Training Type" dataCellStyle="Normal 2"/>
    <tableColumn id="5" xr3:uid="{7985B9E5-BD8A-412B-ABC0-7719D8E1FB7E}" name="traintype" dataCellStyle="Normal 2"/>
    <tableColumn id="6" xr3:uid="{A7ADE264-8FC1-471F-8A54-7556393CFFDB}" name="Validity (Days)" dataCellStyle="Normal 2"/>
    <tableColumn id="7" xr3:uid="{905833DA-62E6-4697-A0FC-318FB7CBBB45}" name="Key" dataDxfId="8" dataCellStyle="Normal 2">
      <calculatedColumnFormula>B2 &amp; "-" &amp; 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e.gmf-aeroasia.co.id/index.php/dashboard" TargetMode="External"/><Relationship Id="rId21" Type="http://schemas.openxmlformats.org/officeDocument/2006/relationships/hyperlink" Target="https://soe.gmf-aeroasia.co.id/index.php/dashboard" TargetMode="External"/><Relationship Id="rId42" Type="http://schemas.openxmlformats.org/officeDocument/2006/relationships/hyperlink" Target="https://soe.gmf-aeroasia.co.id/index.php/dashboard" TargetMode="External"/><Relationship Id="rId63" Type="http://schemas.openxmlformats.org/officeDocument/2006/relationships/hyperlink" Target="https://soe.gmf-aeroasia.co.id/index.php/dashboard" TargetMode="External"/><Relationship Id="rId84" Type="http://schemas.openxmlformats.org/officeDocument/2006/relationships/hyperlink" Target="https://soe.gmf-aeroasia.co.id/index.php/dashboard" TargetMode="External"/><Relationship Id="rId138" Type="http://schemas.openxmlformats.org/officeDocument/2006/relationships/hyperlink" Target="https://soe.gmf-aeroasia.co.id/index.php/dashboard" TargetMode="External"/><Relationship Id="rId159" Type="http://schemas.openxmlformats.org/officeDocument/2006/relationships/hyperlink" Target="https://soe.gmf-aeroasia.co.id/index.php/dashboard" TargetMode="External"/><Relationship Id="rId170" Type="http://schemas.openxmlformats.org/officeDocument/2006/relationships/hyperlink" Target="https://soe.gmf-aeroasia.co.id/index.php/dashboard" TargetMode="External"/><Relationship Id="rId191" Type="http://schemas.openxmlformats.org/officeDocument/2006/relationships/hyperlink" Target="https://soe.gmf-aeroasia.co.id/index.php/dashboard" TargetMode="External"/><Relationship Id="rId205" Type="http://schemas.openxmlformats.org/officeDocument/2006/relationships/hyperlink" Target="https://soe.gmf-aeroasia.co.id/index.php/dashboard" TargetMode="External"/><Relationship Id="rId107" Type="http://schemas.openxmlformats.org/officeDocument/2006/relationships/hyperlink" Target="https://soe.gmf-aeroasia.co.id/index.php/dashboard" TargetMode="External"/><Relationship Id="rId11" Type="http://schemas.openxmlformats.org/officeDocument/2006/relationships/hyperlink" Target="https://soe.gmf-aeroasia.co.id/index.php/dashboard" TargetMode="External"/><Relationship Id="rId32" Type="http://schemas.openxmlformats.org/officeDocument/2006/relationships/hyperlink" Target="https://soe.gmf-aeroasia.co.id/index.php/dashboard" TargetMode="External"/><Relationship Id="rId53" Type="http://schemas.openxmlformats.org/officeDocument/2006/relationships/hyperlink" Target="https://soe.gmf-aeroasia.co.id/index.php/dashboard" TargetMode="External"/><Relationship Id="rId74" Type="http://schemas.openxmlformats.org/officeDocument/2006/relationships/hyperlink" Target="https://soe.gmf-aeroasia.co.id/index.php/dashboard" TargetMode="External"/><Relationship Id="rId128" Type="http://schemas.openxmlformats.org/officeDocument/2006/relationships/hyperlink" Target="https://soe.gmf-aeroasia.co.id/index.php/dashboard" TargetMode="External"/><Relationship Id="rId149" Type="http://schemas.openxmlformats.org/officeDocument/2006/relationships/hyperlink" Target="https://soe.gmf-aeroasia.co.id/index.php/dashboard" TargetMode="External"/><Relationship Id="rId5" Type="http://schemas.openxmlformats.org/officeDocument/2006/relationships/hyperlink" Target="https://soe.gmf-aeroasia.co.id/index.php/dashboard" TargetMode="External"/><Relationship Id="rId95" Type="http://schemas.openxmlformats.org/officeDocument/2006/relationships/hyperlink" Target="https://soe.gmf-aeroasia.co.id/index.php/dashboard" TargetMode="External"/><Relationship Id="rId160" Type="http://schemas.openxmlformats.org/officeDocument/2006/relationships/hyperlink" Target="https://soe.gmf-aeroasia.co.id/index.php/dashboard" TargetMode="External"/><Relationship Id="rId181" Type="http://schemas.openxmlformats.org/officeDocument/2006/relationships/hyperlink" Target="https://soe.gmf-aeroasia.co.id/index.php/dashboard" TargetMode="External"/><Relationship Id="rId22" Type="http://schemas.openxmlformats.org/officeDocument/2006/relationships/hyperlink" Target="https://soe.gmf-aeroasia.co.id/index.php/dashboard" TargetMode="External"/><Relationship Id="rId43" Type="http://schemas.openxmlformats.org/officeDocument/2006/relationships/hyperlink" Target="https://soe.gmf-aeroasia.co.id/index.php/dashboard" TargetMode="External"/><Relationship Id="rId64" Type="http://schemas.openxmlformats.org/officeDocument/2006/relationships/hyperlink" Target="https://soe.gmf-aeroasia.co.id/index.php/dashboard" TargetMode="External"/><Relationship Id="rId118" Type="http://schemas.openxmlformats.org/officeDocument/2006/relationships/hyperlink" Target="https://soe.gmf-aeroasia.co.id/index.php/dashboard" TargetMode="External"/><Relationship Id="rId139" Type="http://schemas.openxmlformats.org/officeDocument/2006/relationships/hyperlink" Target="https://soe.gmf-aeroasia.co.id/index.php/dashboard" TargetMode="External"/><Relationship Id="rId85" Type="http://schemas.openxmlformats.org/officeDocument/2006/relationships/hyperlink" Target="https://soe.gmf-aeroasia.co.id/index.php/dashboard" TargetMode="External"/><Relationship Id="rId150" Type="http://schemas.openxmlformats.org/officeDocument/2006/relationships/hyperlink" Target="https://soe.gmf-aeroasia.co.id/index.php/dashboard" TargetMode="External"/><Relationship Id="rId171" Type="http://schemas.openxmlformats.org/officeDocument/2006/relationships/hyperlink" Target="https://soe.gmf-aeroasia.co.id/index.php/dashboard" TargetMode="External"/><Relationship Id="rId192" Type="http://schemas.openxmlformats.org/officeDocument/2006/relationships/hyperlink" Target="https://soe.gmf-aeroasia.co.id/index.php/dashboard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s://soe.gmf-aeroasia.co.id/index.php/dashboard" TargetMode="External"/><Relationship Id="rId33" Type="http://schemas.openxmlformats.org/officeDocument/2006/relationships/hyperlink" Target="https://soe.gmf-aeroasia.co.id/index.php/dashboard" TargetMode="External"/><Relationship Id="rId108" Type="http://schemas.openxmlformats.org/officeDocument/2006/relationships/hyperlink" Target="https://soe.gmf-aeroasia.co.id/index.php/dashboard" TargetMode="External"/><Relationship Id="rId129" Type="http://schemas.openxmlformats.org/officeDocument/2006/relationships/hyperlink" Target="https://soe.gmf-aeroasia.co.id/index.php/dashboard" TargetMode="External"/><Relationship Id="rId54" Type="http://schemas.openxmlformats.org/officeDocument/2006/relationships/hyperlink" Target="https://soe.gmf-aeroasia.co.id/index.php/dashboard" TargetMode="External"/><Relationship Id="rId75" Type="http://schemas.openxmlformats.org/officeDocument/2006/relationships/hyperlink" Target="https://soe.gmf-aeroasia.co.id/index.php/dashboard" TargetMode="External"/><Relationship Id="rId96" Type="http://schemas.openxmlformats.org/officeDocument/2006/relationships/hyperlink" Target="https://soe.gmf-aeroasia.co.id/index.php/dashboard" TargetMode="External"/><Relationship Id="rId140" Type="http://schemas.openxmlformats.org/officeDocument/2006/relationships/hyperlink" Target="https://soe.gmf-aeroasia.co.id/index.php/dashboard" TargetMode="External"/><Relationship Id="rId161" Type="http://schemas.openxmlformats.org/officeDocument/2006/relationships/hyperlink" Target="https://soe.gmf-aeroasia.co.id/index.php/dashboard" TargetMode="External"/><Relationship Id="rId182" Type="http://schemas.openxmlformats.org/officeDocument/2006/relationships/hyperlink" Target="https://soe.gmf-aeroasia.co.id/index.php/dashboard" TargetMode="External"/><Relationship Id="rId6" Type="http://schemas.openxmlformats.org/officeDocument/2006/relationships/hyperlink" Target="https://soe.gmf-aeroasia.co.id/index.php/dashboard" TargetMode="External"/><Relationship Id="rId23" Type="http://schemas.openxmlformats.org/officeDocument/2006/relationships/hyperlink" Target="https://soe.gmf-aeroasia.co.id/index.php/dashboard" TargetMode="External"/><Relationship Id="rId119" Type="http://schemas.openxmlformats.org/officeDocument/2006/relationships/hyperlink" Target="https://soe.gmf-aeroasia.co.id/index.php/dashboard" TargetMode="External"/><Relationship Id="rId44" Type="http://schemas.openxmlformats.org/officeDocument/2006/relationships/hyperlink" Target="https://soe.gmf-aeroasia.co.id/index.php/dashboard" TargetMode="External"/><Relationship Id="rId65" Type="http://schemas.openxmlformats.org/officeDocument/2006/relationships/hyperlink" Target="https://soe.gmf-aeroasia.co.id/index.php/dashboard" TargetMode="External"/><Relationship Id="rId86" Type="http://schemas.openxmlformats.org/officeDocument/2006/relationships/hyperlink" Target="https://soe.gmf-aeroasia.co.id/index.php/dashboard" TargetMode="External"/><Relationship Id="rId130" Type="http://schemas.openxmlformats.org/officeDocument/2006/relationships/hyperlink" Target="https://soe.gmf-aeroasia.co.id/index.php/dashboard" TargetMode="External"/><Relationship Id="rId151" Type="http://schemas.openxmlformats.org/officeDocument/2006/relationships/hyperlink" Target="https://soe.gmf-aeroasia.co.id/index.php/dashboard" TargetMode="External"/><Relationship Id="rId172" Type="http://schemas.openxmlformats.org/officeDocument/2006/relationships/hyperlink" Target="https://soe.gmf-aeroasia.co.id/index.php/dashboard" TargetMode="External"/><Relationship Id="rId193" Type="http://schemas.openxmlformats.org/officeDocument/2006/relationships/hyperlink" Target="https://soe.gmf-aeroasia.co.id/index.php/dashboard" TargetMode="External"/><Relationship Id="rId207" Type="http://schemas.openxmlformats.org/officeDocument/2006/relationships/vmlDrawing" Target="../drawings/vmlDrawing1.vml"/><Relationship Id="rId13" Type="http://schemas.openxmlformats.org/officeDocument/2006/relationships/hyperlink" Target="https://soe.gmf-aeroasia.co.id/index.php/dashboard" TargetMode="External"/><Relationship Id="rId109" Type="http://schemas.openxmlformats.org/officeDocument/2006/relationships/hyperlink" Target="https://soe.gmf-aeroasia.co.id/index.php/dashboard" TargetMode="External"/><Relationship Id="rId34" Type="http://schemas.openxmlformats.org/officeDocument/2006/relationships/hyperlink" Target="https://soe.gmf-aeroasia.co.id/index.php/dashboard" TargetMode="External"/><Relationship Id="rId55" Type="http://schemas.openxmlformats.org/officeDocument/2006/relationships/hyperlink" Target="https://soe.gmf-aeroasia.co.id/index.php/dashboard" TargetMode="External"/><Relationship Id="rId76" Type="http://schemas.openxmlformats.org/officeDocument/2006/relationships/hyperlink" Target="https://soe.gmf-aeroasia.co.id/index.php/dashboard" TargetMode="External"/><Relationship Id="rId97" Type="http://schemas.openxmlformats.org/officeDocument/2006/relationships/hyperlink" Target="https://soe.gmf-aeroasia.co.id/index.php/dashboard" TargetMode="External"/><Relationship Id="rId120" Type="http://schemas.openxmlformats.org/officeDocument/2006/relationships/hyperlink" Target="https://soe.gmf-aeroasia.co.id/index.php/dashboard" TargetMode="External"/><Relationship Id="rId141" Type="http://schemas.openxmlformats.org/officeDocument/2006/relationships/hyperlink" Target="https://soe.gmf-aeroasia.co.id/index.php/dashboard" TargetMode="External"/><Relationship Id="rId7" Type="http://schemas.openxmlformats.org/officeDocument/2006/relationships/hyperlink" Target="https://soe.gmf-aeroasia.co.id/index.php/dashboard" TargetMode="External"/><Relationship Id="rId162" Type="http://schemas.openxmlformats.org/officeDocument/2006/relationships/hyperlink" Target="https://soe.gmf-aeroasia.co.id/index.php/dashboard" TargetMode="External"/><Relationship Id="rId183" Type="http://schemas.openxmlformats.org/officeDocument/2006/relationships/hyperlink" Target="https://soe.gmf-aeroasia.co.id/index.php/dashboard" TargetMode="External"/><Relationship Id="rId24" Type="http://schemas.openxmlformats.org/officeDocument/2006/relationships/hyperlink" Target="https://soe.gmf-aeroasia.co.id/index.php/dashboard" TargetMode="External"/><Relationship Id="rId45" Type="http://schemas.openxmlformats.org/officeDocument/2006/relationships/hyperlink" Target="https://soe.gmf-aeroasia.co.id/index.php/dashboard" TargetMode="External"/><Relationship Id="rId66" Type="http://schemas.openxmlformats.org/officeDocument/2006/relationships/hyperlink" Target="https://soe.gmf-aeroasia.co.id/index.php/dashboard" TargetMode="External"/><Relationship Id="rId87" Type="http://schemas.openxmlformats.org/officeDocument/2006/relationships/hyperlink" Target="https://soe.gmf-aeroasia.co.id/index.php/dashboard" TargetMode="External"/><Relationship Id="rId110" Type="http://schemas.openxmlformats.org/officeDocument/2006/relationships/hyperlink" Target="https://soe.gmf-aeroasia.co.id/index.php/dashboard" TargetMode="External"/><Relationship Id="rId131" Type="http://schemas.openxmlformats.org/officeDocument/2006/relationships/hyperlink" Target="https://soe.gmf-aeroasia.co.id/index.php/dashboard" TargetMode="External"/><Relationship Id="rId61" Type="http://schemas.openxmlformats.org/officeDocument/2006/relationships/hyperlink" Target="https://soe.gmf-aeroasia.co.id/index.php/dashboard" TargetMode="External"/><Relationship Id="rId82" Type="http://schemas.openxmlformats.org/officeDocument/2006/relationships/hyperlink" Target="https://soe.gmf-aeroasia.co.id/index.php/dashboard" TargetMode="External"/><Relationship Id="rId152" Type="http://schemas.openxmlformats.org/officeDocument/2006/relationships/hyperlink" Target="https://soe.gmf-aeroasia.co.id/index.php/dashboard" TargetMode="External"/><Relationship Id="rId173" Type="http://schemas.openxmlformats.org/officeDocument/2006/relationships/hyperlink" Target="https://soe.gmf-aeroasia.co.id/index.php/dashboard" TargetMode="External"/><Relationship Id="rId194" Type="http://schemas.openxmlformats.org/officeDocument/2006/relationships/hyperlink" Target="https://soe.gmf-aeroasia.co.id/index.php/dashboard" TargetMode="External"/><Relationship Id="rId199" Type="http://schemas.openxmlformats.org/officeDocument/2006/relationships/hyperlink" Target="https://soe.gmf-aeroasia.co.id/index.php/dashboard" TargetMode="External"/><Relationship Id="rId203" Type="http://schemas.openxmlformats.org/officeDocument/2006/relationships/hyperlink" Target="https://soe.gmf-aeroasia.co.id/index.php/dashboard" TargetMode="External"/><Relationship Id="rId208" Type="http://schemas.openxmlformats.org/officeDocument/2006/relationships/table" Target="../tables/table1.xml"/><Relationship Id="rId19" Type="http://schemas.openxmlformats.org/officeDocument/2006/relationships/hyperlink" Target="https://soe.gmf-aeroasia.co.id/index.php/dashboard" TargetMode="External"/><Relationship Id="rId14" Type="http://schemas.openxmlformats.org/officeDocument/2006/relationships/hyperlink" Target="https://soe.gmf-aeroasia.co.id/index.php/dashboard" TargetMode="External"/><Relationship Id="rId30" Type="http://schemas.openxmlformats.org/officeDocument/2006/relationships/hyperlink" Target="https://soe.gmf-aeroasia.co.id/index.php/dashboard" TargetMode="External"/><Relationship Id="rId35" Type="http://schemas.openxmlformats.org/officeDocument/2006/relationships/hyperlink" Target="https://soe.gmf-aeroasia.co.id/index.php/dashboard" TargetMode="External"/><Relationship Id="rId56" Type="http://schemas.openxmlformats.org/officeDocument/2006/relationships/hyperlink" Target="https://soe.gmf-aeroasia.co.id/index.php/dashboard" TargetMode="External"/><Relationship Id="rId77" Type="http://schemas.openxmlformats.org/officeDocument/2006/relationships/hyperlink" Target="https://soe.gmf-aeroasia.co.id/index.php/dashboard" TargetMode="External"/><Relationship Id="rId100" Type="http://schemas.openxmlformats.org/officeDocument/2006/relationships/hyperlink" Target="https://soe.gmf-aeroasia.co.id/index.php/dashboard" TargetMode="External"/><Relationship Id="rId105" Type="http://schemas.openxmlformats.org/officeDocument/2006/relationships/hyperlink" Target="https://soe.gmf-aeroasia.co.id/index.php/dashboard" TargetMode="External"/><Relationship Id="rId126" Type="http://schemas.openxmlformats.org/officeDocument/2006/relationships/hyperlink" Target="https://soe.gmf-aeroasia.co.id/index.php/dashboard" TargetMode="External"/><Relationship Id="rId147" Type="http://schemas.openxmlformats.org/officeDocument/2006/relationships/hyperlink" Target="https://soe.gmf-aeroasia.co.id/index.php/dashboard" TargetMode="External"/><Relationship Id="rId168" Type="http://schemas.openxmlformats.org/officeDocument/2006/relationships/hyperlink" Target="https://soe.gmf-aeroasia.co.id/index.php/dashboard" TargetMode="External"/><Relationship Id="rId8" Type="http://schemas.openxmlformats.org/officeDocument/2006/relationships/hyperlink" Target="https://soe.gmf-aeroasia.co.id/index.php/dashboard" TargetMode="External"/><Relationship Id="rId51" Type="http://schemas.openxmlformats.org/officeDocument/2006/relationships/hyperlink" Target="https://soe.gmf-aeroasia.co.id/index.php/dashboard" TargetMode="External"/><Relationship Id="rId72" Type="http://schemas.openxmlformats.org/officeDocument/2006/relationships/hyperlink" Target="https://soe.gmf-aeroasia.co.id/index.php/dashboard" TargetMode="External"/><Relationship Id="rId93" Type="http://schemas.openxmlformats.org/officeDocument/2006/relationships/hyperlink" Target="https://soe.gmf-aeroasia.co.id/index.php/dashboard" TargetMode="External"/><Relationship Id="rId98" Type="http://schemas.openxmlformats.org/officeDocument/2006/relationships/hyperlink" Target="https://soe.gmf-aeroasia.co.id/index.php/dashboard" TargetMode="External"/><Relationship Id="rId121" Type="http://schemas.openxmlformats.org/officeDocument/2006/relationships/hyperlink" Target="https://soe.gmf-aeroasia.co.id/index.php/dashboard" TargetMode="External"/><Relationship Id="rId142" Type="http://schemas.openxmlformats.org/officeDocument/2006/relationships/hyperlink" Target="https://soe.gmf-aeroasia.co.id/index.php/dashboard" TargetMode="External"/><Relationship Id="rId163" Type="http://schemas.openxmlformats.org/officeDocument/2006/relationships/hyperlink" Target="https://soe.gmf-aeroasia.co.id/index.php/dashboard" TargetMode="External"/><Relationship Id="rId184" Type="http://schemas.openxmlformats.org/officeDocument/2006/relationships/hyperlink" Target="https://soe.gmf-aeroasia.co.id/index.php/dashboard" TargetMode="External"/><Relationship Id="rId189" Type="http://schemas.openxmlformats.org/officeDocument/2006/relationships/hyperlink" Target="https://soe.gmf-aeroasia.co.id/index.php/dashboard" TargetMode="External"/><Relationship Id="rId3" Type="http://schemas.openxmlformats.org/officeDocument/2006/relationships/hyperlink" Target="https://soe.gmf-aeroasia.co.id/index.php/dashboard" TargetMode="External"/><Relationship Id="rId25" Type="http://schemas.openxmlformats.org/officeDocument/2006/relationships/hyperlink" Target="https://soe.gmf-aeroasia.co.id/index.php/dashboard" TargetMode="External"/><Relationship Id="rId46" Type="http://schemas.openxmlformats.org/officeDocument/2006/relationships/hyperlink" Target="https://soe.gmf-aeroasia.co.id/index.php/dashboard" TargetMode="External"/><Relationship Id="rId67" Type="http://schemas.openxmlformats.org/officeDocument/2006/relationships/hyperlink" Target="https://soe.gmf-aeroasia.co.id/index.php/dashboard" TargetMode="External"/><Relationship Id="rId116" Type="http://schemas.openxmlformats.org/officeDocument/2006/relationships/hyperlink" Target="https://soe.gmf-aeroasia.co.id/index.php/dashboard" TargetMode="External"/><Relationship Id="rId137" Type="http://schemas.openxmlformats.org/officeDocument/2006/relationships/hyperlink" Target="https://soe.gmf-aeroasia.co.id/index.php/dashboard" TargetMode="External"/><Relationship Id="rId158" Type="http://schemas.openxmlformats.org/officeDocument/2006/relationships/hyperlink" Target="https://soe.gmf-aeroasia.co.id/index.php/dashboard" TargetMode="External"/><Relationship Id="rId20" Type="http://schemas.openxmlformats.org/officeDocument/2006/relationships/hyperlink" Target="https://soe.gmf-aeroasia.co.id/index.php/dashboard" TargetMode="External"/><Relationship Id="rId41" Type="http://schemas.openxmlformats.org/officeDocument/2006/relationships/hyperlink" Target="https://soe.gmf-aeroasia.co.id/index.php/dashboard" TargetMode="External"/><Relationship Id="rId62" Type="http://schemas.openxmlformats.org/officeDocument/2006/relationships/hyperlink" Target="https://soe.gmf-aeroasia.co.id/index.php/dashboard" TargetMode="External"/><Relationship Id="rId83" Type="http://schemas.openxmlformats.org/officeDocument/2006/relationships/hyperlink" Target="https://soe.gmf-aeroasia.co.id/index.php/dashboard" TargetMode="External"/><Relationship Id="rId88" Type="http://schemas.openxmlformats.org/officeDocument/2006/relationships/hyperlink" Target="https://soe.gmf-aeroasia.co.id/index.php/dashboard" TargetMode="External"/><Relationship Id="rId111" Type="http://schemas.openxmlformats.org/officeDocument/2006/relationships/hyperlink" Target="https://soe.gmf-aeroasia.co.id/index.php/dashboard" TargetMode="External"/><Relationship Id="rId132" Type="http://schemas.openxmlformats.org/officeDocument/2006/relationships/hyperlink" Target="https://soe.gmf-aeroasia.co.id/index.php/dashboard" TargetMode="External"/><Relationship Id="rId153" Type="http://schemas.openxmlformats.org/officeDocument/2006/relationships/hyperlink" Target="https://soe.gmf-aeroasia.co.id/index.php/dashboard" TargetMode="External"/><Relationship Id="rId174" Type="http://schemas.openxmlformats.org/officeDocument/2006/relationships/hyperlink" Target="https://soe.gmf-aeroasia.co.id/index.php/dashboard" TargetMode="External"/><Relationship Id="rId179" Type="http://schemas.openxmlformats.org/officeDocument/2006/relationships/hyperlink" Target="https://soe.gmf-aeroasia.co.id/index.php/dashboard" TargetMode="External"/><Relationship Id="rId195" Type="http://schemas.openxmlformats.org/officeDocument/2006/relationships/hyperlink" Target="https://soe.gmf-aeroasia.co.id/index.php/dashboard" TargetMode="External"/><Relationship Id="rId209" Type="http://schemas.openxmlformats.org/officeDocument/2006/relationships/comments" Target="../comments1.xml"/><Relationship Id="rId190" Type="http://schemas.openxmlformats.org/officeDocument/2006/relationships/hyperlink" Target="https://soe.gmf-aeroasia.co.id/index.php/dashboard" TargetMode="External"/><Relationship Id="rId204" Type="http://schemas.openxmlformats.org/officeDocument/2006/relationships/hyperlink" Target="https://soe.gmf-aeroasia.co.id/index.php/dashboard" TargetMode="External"/><Relationship Id="rId15" Type="http://schemas.openxmlformats.org/officeDocument/2006/relationships/hyperlink" Target="https://soe.gmf-aeroasia.co.id/index.php/dashboard" TargetMode="External"/><Relationship Id="rId36" Type="http://schemas.openxmlformats.org/officeDocument/2006/relationships/hyperlink" Target="https://soe.gmf-aeroasia.co.id/index.php/dashboard" TargetMode="External"/><Relationship Id="rId57" Type="http://schemas.openxmlformats.org/officeDocument/2006/relationships/hyperlink" Target="https://soe.gmf-aeroasia.co.id/index.php/dashboard" TargetMode="External"/><Relationship Id="rId106" Type="http://schemas.openxmlformats.org/officeDocument/2006/relationships/hyperlink" Target="https://soe.gmf-aeroasia.co.id/index.php/dashboard" TargetMode="External"/><Relationship Id="rId127" Type="http://schemas.openxmlformats.org/officeDocument/2006/relationships/hyperlink" Target="https://soe.gmf-aeroasia.co.id/index.php/dashboard" TargetMode="External"/><Relationship Id="rId10" Type="http://schemas.openxmlformats.org/officeDocument/2006/relationships/hyperlink" Target="https://soe.gmf-aeroasia.co.id/index.php/dashboard" TargetMode="External"/><Relationship Id="rId31" Type="http://schemas.openxmlformats.org/officeDocument/2006/relationships/hyperlink" Target="https://soe.gmf-aeroasia.co.id/index.php/dashboard" TargetMode="External"/><Relationship Id="rId52" Type="http://schemas.openxmlformats.org/officeDocument/2006/relationships/hyperlink" Target="https://soe.gmf-aeroasia.co.id/index.php/dashboard" TargetMode="External"/><Relationship Id="rId73" Type="http://schemas.openxmlformats.org/officeDocument/2006/relationships/hyperlink" Target="https://soe.gmf-aeroasia.co.id/index.php/dashboard" TargetMode="External"/><Relationship Id="rId78" Type="http://schemas.openxmlformats.org/officeDocument/2006/relationships/hyperlink" Target="https://soe.gmf-aeroasia.co.id/index.php/dashboard" TargetMode="External"/><Relationship Id="rId94" Type="http://schemas.openxmlformats.org/officeDocument/2006/relationships/hyperlink" Target="https://soe.gmf-aeroasia.co.id/index.php/dashboard" TargetMode="External"/><Relationship Id="rId99" Type="http://schemas.openxmlformats.org/officeDocument/2006/relationships/hyperlink" Target="https://soe.gmf-aeroasia.co.id/index.php/dashboard" TargetMode="External"/><Relationship Id="rId101" Type="http://schemas.openxmlformats.org/officeDocument/2006/relationships/hyperlink" Target="https://soe.gmf-aeroasia.co.id/index.php/dashboard" TargetMode="External"/><Relationship Id="rId122" Type="http://schemas.openxmlformats.org/officeDocument/2006/relationships/hyperlink" Target="https://soe.gmf-aeroasia.co.id/index.php/dashboard" TargetMode="External"/><Relationship Id="rId143" Type="http://schemas.openxmlformats.org/officeDocument/2006/relationships/hyperlink" Target="https://soe.gmf-aeroasia.co.id/index.php/dashboard" TargetMode="External"/><Relationship Id="rId148" Type="http://schemas.openxmlformats.org/officeDocument/2006/relationships/hyperlink" Target="https://soe.gmf-aeroasia.co.id/index.php/dashboard" TargetMode="External"/><Relationship Id="rId164" Type="http://schemas.openxmlformats.org/officeDocument/2006/relationships/hyperlink" Target="https://soe.gmf-aeroasia.co.id/index.php/dashboard" TargetMode="External"/><Relationship Id="rId169" Type="http://schemas.openxmlformats.org/officeDocument/2006/relationships/hyperlink" Target="https://soe.gmf-aeroasia.co.id/index.php/dashboard" TargetMode="External"/><Relationship Id="rId185" Type="http://schemas.openxmlformats.org/officeDocument/2006/relationships/hyperlink" Target="https://soe.gmf-aeroasia.co.id/index.php/dashboard" TargetMode="External"/><Relationship Id="rId4" Type="http://schemas.openxmlformats.org/officeDocument/2006/relationships/hyperlink" Target="https://soe.gmf-aeroasia.co.id/index.php/dashboard" TargetMode="External"/><Relationship Id="rId9" Type="http://schemas.openxmlformats.org/officeDocument/2006/relationships/hyperlink" Target="https://soe.gmf-aeroasia.co.id/index.php/dashboard" TargetMode="External"/><Relationship Id="rId180" Type="http://schemas.openxmlformats.org/officeDocument/2006/relationships/hyperlink" Target="https://soe.gmf-aeroasia.co.id/index.php/dashboard" TargetMode="External"/><Relationship Id="rId26" Type="http://schemas.openxmlformats.org/officeDocument/2006/relationships/hyperlink" Target="https://soe.gmf-aeroasia.co.id/index.php/dashboard" TargetMode="External"/><Relationship Id="rId47" Type="http://schemas.openxmlformats.org/officeDocument/2006/relationships/hyperlink" Target="https://soe.gmf-aeroasia.co.id/index.php/dashboard" TargetMode="External"/><Relationship Id="rId68" Type="http://schemas.openxmlformats.org/officeDocument/2006/relationships/hyperlink" Target="https://soe.gmf-aeroasia.co.id/index.php/dashboard" TargetMode="External"/><Relationship Id="rId89" Type="http://schemas.openxmlformats.org/officeDocument/2006/relationships/hyperlink" Target="https://soe.gmf-aeroasia.co.id/index.php/dashboard" TargetMode="External"/><Relationship Id="rId112" Type="http://schemas.openxmlformats.org/officeDocument/2006/relationships/hyperlink" Target="https://soe.gmf-aeroasia.co.id/index.php/dashboard" TargetMode="External"/><Relationship Id="rId133" Type="http://schemas.openxmlformats.org/officeDocument/2006/relationships/hyperlink" Target="https://soe.gmf-aeroasia.co.id/index.php/dashboard" TargetMode="External"/><Relationship Id="rId154" Type="http://schemas.openxmlformats.org/officeDocument/2006/relationships/hyperlink" Target="https://soe.gmf-aeroasia.co.id/index.php/dashboard" TargetMode="External"/><Relationship Id="rId175" Type="http://schemas.openxmlformats.org/officeDocument/2006/relationships/hyperlink" Target="https://soe.gmf-aeroasia.co.id/index.php/dashboard" TargetMode="External"/><Relationship Id="rId196" Type="http://schemas.openxmlformats.org/officeDocument/2006/relationships/hyperlink" Target="https://soe.gmf-aeroasia.co.id/index.php/dashboard" TargetMode="External"/><Relationship Id="rId200" Type="http://schemas.openxmlformats.org/officeDocument/2006/relationships/hyperlink" Target="https://soe.gmf-aeroasia.co.id/index.php/dashboard" TargetMode="External"/><Relationship Id="rId16" Type="http://schemas.openxmlformats.org/officeDocument/2006/relationships/hyperlink" Target="https://soe.gmf-aeroasia.co.id/index.php/dashboard" TargetMode="External"/><Relationship Id="rId37" Type="http://schemas.openxmlformats.org/officeDocument/2006/relationships/hyperlink" Target="https://soe.gmf-aeroasia.co.id/index.php/dashboard" TargetMode="External"/><Relationship Id="rId58" Type="http://schemas.openxmlformats.org/officeDocument/2006/relationships/hyperlink" Target="https://soe.gmf-aeroasia.co.id/index.php/dashboard" TargetMode="External"/><Relationship Id="rId79" Type="http://schemas.openxmlformats.org/officeDocument/2006/relationships/hyperlink" Target="https://soe.gmf-aeroasia.co.id/index.php/dashboard" TargetMode="External"/><Relationship Id="rId102" Type="http://schemas.openxmlformats.org/officeDocument/2006/relationships/hyperlink" Target="https://soe.gmf-aeroasia.co.id/index.php/dashboard" TargetMode="External"/><Relationship Id="rId123" Type="http://schemas.openxmlformats.org/officeDocument/2006/relationships/hyperlink" Target="https://soe.gmf-aeroasia.co.id/index.php/dashboard" TargetMode="External"/><Relationship Id="rId144" Type="http://schemas.openxmlformats.org/officeDocument/2006/relationships/hyperlink" Target="https://soe.gmf-aeroasia.co.id/index.php/dashboard" TargetMode="External"/><Relationship Id="rId90" Type="http://schemas.openxmlformats.org/officeDocument/2006/relationships/hyperlink" Target="https://soe.gmf-aeroasia.co.id/index.php/dashboard" TargetMode="External"/><Relationship Id="rId165" Type="http://schemas.openxmlformats.org/officeDocument/2006/relationships/hyperlink" Target="https://soe.gmf-aeroasia.co.id/index.php/dashboard" TargetMode="External"/><Relationship Id="rId186" Type="http://schemas.openxmlformats.org/officeDocument/2006/relationships/hyperlink" Target="https://soe.gmf-aeroasia.co.id/index.php/dashboard" TargetMode="External"/><Relationship Id="rId27" Type="http://schemas.openxmlformats.org/officeDocument/2006/relationships/hyperlink" Target="https://soe.gmf-aeroasia.co.id/index.php/dashboard" TargetMode="External"/><Relationship Id="rId48" Type="http://schemas.openxmlformats.org/officeDocument/2006/relationships/hyperlink" Target="https://soe.gmf-aeroasia.co.id/index.php/dashboard" TargetMode="External"/><Relationship Id="rId69" Type="http://schemas.openxmlformats.org/officeDocument/2006/relationships/hyperlink" Target="https://soe.gmf-aeroasia.co.id/index.php/dashboard" TargetMode="External"/><Relationship Id="rId113" Type="http://schemas.openxmlformats.org/officeDocument/2006/relationships/hyperlink" Target="https://soe.gmf-aeroasia.co.id/index.php/dashboard" TargetMode="External"/><Relationship Id="rId134" Type="http://schemas.openxmlformats.org/officeDocument/2006/relationships/hyperlink" Target="https://soe.gmf-aeroasia.co.id/index.php/dashboard" TargetMode="External"/><Relationship Id="rId80" Type="http://schemas.openxmlformats.org/officeDocument/2006/relationships/hyperlink" Target="https://soe.gmf-aeroasia.co.id/index.php/dashboard" TargetMode="External"/><Relationship Id="rId155" Type="http://schemas.openxmlformats.org/officeDocument/2006/relationships/hyperlink" Target="https://soe.gmf-aeroasia.co.id/index.php/dashboard" TargetMode="External"/><Relationship Id="rId176" Type="http://schemas.openxmlformats.org/officeDocument/2006/relationships/hyperlink" Target="https://soe.gmf-aeroasia.co.id/index.php/dashboard" TargetMode="External"/><Relationship Id="rId197" Type="http://schemas.openxmlformats.org/officeDocument/2006/relationships/hyperlink" Target="https://soe.gmf-aeroasia.co.id/index.php/dashboard" TargetMode="External"/><Relationship Id="rId201" Type="http://schemas.openxmlformats.org/officeDocument/2006/relationships/hyperlink" Target="https://soe.gmf-aeroasia.co.id/index.php/dashboard" TargetMode="External"/><Relationship Id="rId17" Type="http://schemas.openxmlformats.org/officeDocument/2006/relationships/hyperlink" Target="https://soe.gmf-aeroasia.co.id/index.php/dashboard" TargetMode="External"/><Relationship Id="rId38" Type="http://schemas.openxmlformats.org/officeDocument/2006/relationships/hyperlink" Target="https://soe.gmf-aeroasia.co.id/index.php/dashboard" TargetMode="External"/><Relationship Id="rId59" Type="http://schemas.openxmlformats.org/officeDocument/2006/relationships/hyperlink" Target="https://soe.gmf-aeroasia.co.id/index.php/dashboard" TargetMode="External"/><Relationship Id="rId103" Type="http://schemas.openxmlformats.org/officeDocument/2006/relationships/hyperlink" Target="https://soe.gmf-aeroasia.co.id/index.php/dashboard" TargetMode="External"/><Relationship Id="rId124" Type="http://schemas.openxmlformats.org/officeDocument/2006/relationships/hyperlink" Target="https://soe.gmf-aeroasia.co.id/index.php/dashboard" TargetMode="External"/><Relationship Id="rId70" Type="http://schemas.openxmlformats.org/officeDocument/2006/relationships/hyperlink" Target="https://soe.gmf-aeroasia.co.id/index.php/dashboard" TargetMode="External"/><Relationship Id="rId91" Type="http://schemas.openxmlformats.org/officeDocument/2006/relationships/hyperlink" Target="https://soe.gmf-aeroasia.co.id/index.php/dashboard" TargetMode="External"/><Relationship Id="rId145" Type="http://schemas.openxmlformats.org/officeDocument/2006/relationships/hyperlink" Target="https://soe.gmf-aeroasia.co.id/index.php/dashboard" TargetMode="External"/><Relationship Id="rId166" Type="http://schemas.openxmlformats.org/officeDocument/2006/relationships/hyperlink" Target="https://soe.gmf-aeroasia.co.id/index.php/dashboard" TargetMode="External"/><Relationship Id="rId187" Type="http://schemas.openxmlformats.org/officeDocument/2006/relationships/hyperlink" Target="https://soe.gmf-aeroasia.co.id/index.php/dashboard" TargetMode="External"/><Relationship Id="rId1" Type="http://schemas.openxmlformats.org/officeDocument/2006/relationships/hyperlink" Target="https://soe.gmf-aeroasia.co.id/index.php/dashboard" TargetMode="External"/><Relationship Id="rId28" Type="http://schemas.openxmlformats.org/officeDocument/2006/relationships/hyperlink" Target="https://soe.gmf-aeroasia.co.id/index.php/dashboard" TargetMode="External"/><Relationship Id="rId49" Type="http://schemas.openxmlformats.org/officeDocument/2006/relationships/hyperlink" Target="https://soe.gmf-aeroasia.co.id/index.php/dashboard" TargetMode="External"/><Relationship Id="rId114" Type="http://schemas.openxmlformats.org/officeDocument/2006/relationships/hyperlink" Target="https://soe.gmf-aeroasia.co.id/index.php/dashboard" TargetMode="External"/><Relationship Id="rId60" Type="http://schemas.openxmlformats.org/officeDocument/2006/relationships/hyperlink" Target="https://soe.gmf-aeroasia.co.id/index.php/dashboard" TargetMode="External"/><Relationship Id="rId81" Type="http://schemas.openxmlformats.org/officeDocument/2006/relationships/hyperlink" Target="https://soe.gmf-aeroasia.co.id/index.php/dashboard" TargetMode="External"/><Relationship Id="rId135" Type="http://schemas.openxmlformats.org/officeDocument/2006/relationships/hyperlink" Target="https://soe.gmf-aeroasia.co.id/index.php/dashboard" TargetMode="External"/><Relationship Id="rId156" Type="http://schemas.openxmlformats.org/officeDocument/2006/relationships/hyperlink" Target="https://soe.gmf-aeroasia.co.id/index.php/dashboard" TargetMode="External"/><Relationship Id="rId177" Type="http://schemas.openxmlformats.org/officeDocument/2006/relationships/hyperlink" Target="https://soe.gmf-aeroasia.co.id/index.php/dashboard" TargetMode="External"/><Relationship Id="rId198" Type="http://schemas.openxmlformats.org/officeDocument/2006/relationships/hyperlink" Target="https://soe.gmf-aeroasia.co.id/index.php/dashboard" TargetMode="External"/><Relationship Id="rId202" Type="http://schemas.openxmlformats.org/officeDocument/2006/relationships/hyperlink" Target="https://soe.gmf-aeroasia.co.id/index.php/dashboard" TargetMode="External"/><Relationship Id="rId18" Type="http://schemas.openxmlformats.org/officeDocument/2006/relationships/hyperlink" Target="https://soe.gmf-aeroasia.co.id/index.php/dashboard" TargetMode="External"/><Relationship Id="rId39" Type="http://schemas.openxmlformats.org/officeDocument/2006/relationships/hyperlink" Target="https://soe.gmf-aeroasia.co.id/index.php/dashboard" TargetMode="External"/><Relationship Id="rId50" Type="http://schemas.openxmlformats.org/officeDocument/2006/relationships/hyperlink" Target="https://soe.gmf-aeroasia.co.id/index.php/dashboard" TargetMode="External"/><Relationship Id="rId104" Type="http://schemas.openxmlformats.org/officeDocument/2006/relationships/hyperlink" Target="https://soe.gmf-aeroasia.co.id/index.php/dashboard" TargetMode="External"/><Relationship Id="rId125" Type="http://schemas.openxmlformats.org/officeDocument/2006/relationships/hyperlink" Target="https://soe.gmf-aeroasia.co.id/index.php/dashboard" TargetMode="External"/><Relationship Id="rId146" Type="http://schemas.openxmlformats.org/officeDocument/2006/relationships/hyperlink" Target="https://soe.gmf-aeroasia.co.id/index.php/dashboard" TargetMode="External"/><Relationship Id="rId167" Type="http://schemas.openxmlformats.org/officeDocument/2006/relationships/hyperlink" Target="https://soe.gmf-aeroasia.co.id/index.php/dashboard" TargetMode="External"/><Relationship Id="rId188" Type="http://schemas.openxmlformats.org/officeDocument/2006/relationships/hyperlink" Target="https://soe.gmf-aeroasia.co.id/index.php/dashboard" TargetMode="External"/><Relationship Id="rId71" Type="http://schemas.openxmlformats.org/officeDocument/2006/relationships/hyperlink" Target="https://soe.gmf-aeroasia.co.id/index.php/dashboard" TargetMode="External"/><Relationship Id="rId92" Type="http://schemas.openxmlformats.org/officeDocument/2006/relationships/hyperlink" Target="https://soe.gmf-aeroasia.co.id/index.php/dashboard" TargetMode="External"/><Relationship Id="rId2" Type="http://schemas.openxmlformats.org/officeDocument/2006/relationships/hyperlink" Target="https://soe.gmf-aeroasia.co.id/index.php/dashboard" TargetMode="External"/><Relationship Id="rId29" Type="http://schemas.openxmlformats.org/officeDocument/2006/relationships/hyperlink" Target="https://soe.gmf-aeroasia.co.id/index.php/dashboard" TargetMode="External"/><Relationship Id="rId40" Type="http://schemas.openxmlformats.org/officeDocument/2006/relationships/hyperlink" Target="https://soe.gmf-aeroasia.co.id/index.php/dashboard" TargetMode="External"/><Relationship Id="rId115" Type="http://schemas.openxmlformats.org/officeDocument/2006/relationships/hyperlink" Target="https://soe.gmf-aeroasia.co.id/index.php/dashboard" TargetMode="External"/><Relationship Id="rId136" Type="http://schemas.openxmlformats.org/officeDocument/2006/relationships/hyperlink" Target="https://soe.gmf-aeroasia.co.id/index.php/dashboard" TargetMode="External"/><Relationship Id="rId157" Type="http://schemas.openxmlformats.org/officeDocument/2006/relationships/hyperlink" Target="https://soe.gmf-aeroasia.co.id/index.php/dashboard" TargetMode="External"/><Relationship Id="rId178" Type="http://schemas.openxmlformats.org/officeDocument/2006/relationships/hyperlink" Target="https://soe.gmf-aeroasia.co.id/index.php/dashboar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688C-C147-4820-9517-58A98693D15F}">
  <dimension ref="A1:X19"/>
  <sheetViews>
    <sheetView workbookViewId="0">
      <selection activeCell="B4" sqref="B4"/>
    </sheetView>
  </sheetViews>
  <sheetFormatPr defaultRowHeight="15" x14ac:dyDescent="0.25"/>
  <cols>
    <col min="1" max="1" width="14.7109375" bestFit="1" customWidth="1"/>
    <col min="2" max="2" width="28.85546875" bestFit="1" customWidth="1"/>
    <col min="3" max="3" width="26.140625" bestFit="1" customWidth="1"/>
    <col min="4" max="4" width="28" bestFit="1" customWidth="1"/>
    <col min="5" max="5" width="34.42578125" bestFit="1" customWidth="1"/>
    <col min="6" max="6" width="33.5703125" bestFit="1" customWidth="1"/>
    <col min="7" max="7" width="36.28515625" bestFit="1" customWidth="1"/>
    <col min="8" max="8" width="25" bestFit="1" customWidth="1"/>
    <col min="9" max="9" width="33" bestFit="1" customWidth="1"/>
    <col min="10" max="10" width="36.28515625" bestFit="1" customWidth="1"/>
    <col min="11" max="11" width="33.42578125" bestFit="1" customWidth="1"/>
    <col min="12" max="12" width="35.5703125" bestFit="1" customWidth="1"/>
    <col min="13" max="13" width="41" bestFit="1" customWidth="1"/>
    <col min="14" max="14" width="52.140625" bestFit="1" customWidth="1"/>
    <col min="15" max="15" width="43.7109375" bestFit="1" customWidth="1"/>
    <col min="16" max="16" width="11.85546875" bestFit="1" customWidth="1"/>
    <col min="17" max="17" width="11.28515625" bestFit="1" customWidth="1"/>
    <col min="18" max="18" width="13.5703125" bestFit="1" customWidth="1"/>
    <col min="19" max="19" width="17.42578125" bestFit="1" customWidth="1"/>
    <col min="20" max="20" width="34.42578125" bestFit="1" customWidth="1"/>
    <col min="21" max="21" width="46.85546875" bestFit="1" customWidth="1"/>
    <col min="22" max="22" width="26" bestFit="1" customWidth="1"/>
    <col min="23" max="23" width="44.7109375" bestFit="1" customWidth="1"/>
    <col min="24" max="24" width="11.7109375" bestFit="1" customWidth="1"/>
    <col min="25" max="25" width="34" bestFit="1" customWidth="1"/>
    <col min="26" max="26" width="31.28515625" bestFit="1" customWidth="1"/>
    <col min="27" max="27" width="33.28515625" bestFit="1" customWidth="1"/>
    <col min="28" max="28" width="38.5703125" bestFit="1" customWidth="1"/>
    <col min="29" max="29" width="48.7109375" bestFit="1" customWidth="1"/>
    <col min="30" max="30" width="41" bestFit="1" customWidth="1"/>
    <col min="31" max="31" width="45" bestFit="1" customWidth="1"/>
    <col min="32" max="32" width="10.7109375" bestFit="1" customWidth="1"/>
    <col min="33" max="33" width="7.7109375" bestFit="1" customWidth="1"/>
    <col min="34" max="34" width="5.28515625" bestFit="1" customWidth="1"/>
    <col min="35" max="36" width="9.85546875" bestFit="1" customWidth="1"/>
    <col min="37" max="37" width="10.7109375" bestFit="1" customWidth="1"/>
    <col min="38" max="38" width="15.7109375" bestFit="1" customWidth="1"/>
    <col min="39" max="39" width="7.7109375" bestFit="1" customWidth="1"/>
    <col min="40" max="40" width="10.85546875" bestFit="1" customWidth="1"/>
    <col min="41" max="41" width="9.85546875" bestFit="1" customWidth="1"/>
    <col min="42" max="43" width="15.7109375" bestFit="1" customWidth="1"/>
    <col min="44" max="44" width="9.28515625" bestFit="1" customWidth="1"/>
    <col min="45" max="45" width="9.85546875" bestFit="1" customWidth="1"/>
    <col min="46" max="46" width="11.85546875" bestFit="1" customWidth="1"/>
    <col min="47" max="47" width="9.7109375" bestFit="1" customWidth="1"/>
    <col min="48" max="48" width="5.28515625" bestFit="1" customWidth="1"/>
    <col min="49" max="49" width="12.28515625" bestFit="1" customWidth="1"/>
    <col min="50" max="50" width="7.7109375" bestFit="1" customWidth="1"/>
    <col min="51" max="51" width="9.85546875" bestFit="1" customWidth="1"/>
    <col min="52" max="52" width="12.28515625" bestFit="1" customWidth="1"/>
    <col min="53" max="53" width="12.85546875" bestFit="1" customWidth="1"/>
    <col min="54" max="54" width="15.7109375" bestFit="1" customWidth="1"/>
    <col min="55" max="55" width="10.85546875" bestFit="1" customWidth="1"/>
    <col min="56" max="56" width="9.85546875" bestFit="1" customWidth="1"/>
    <col min="57" max="57" width="15.7109375" bestFit="1" customWidth="1"/>
    <col min="58" max="58" width="9.7109375" bestFit="1" customWidth="1"/>
    <col min="59" max="59" width="5.28515625" bestFit="1" customWidth="1"/>
    <col min="60" max="60" width="12.28515625" bestFit="1" customWidth="1"/>
    <col min="61" max="61" width="7.7109375" bestFit="1" customWidth="1"/>
    <col min="62" max="62" width="5.28515625" bestFit="1" customWidth="1"/>
    <col min="63" max="65" width="9.85546875" bestFit="1" customWidth="1"/>
    <col min="66" max="66" width="10.7109375" bestFit="1" customWidth="1"/>
    <col min="67" max="67" width="5.28515625" bestFit="1" customWidth="1"/>
    <col min="68" max="68" width="9.85546875" bestFit="1" customWidth="1"/>
    <col min="69" max="69" width="12.28515625" bestFit="1" customWidth="1"/>
    <col min="70" max="70" width="7.7109375" bestFit="1" customWidth="1"/>
    <col min="71" max="72" width="9.85546875" bestFit="1" customWidth="1"/>
    <col min="73" max="73" width="12.28515625" bestFit="1" customWidth="1"/>
    <col min="74" max="74" width="12.85546875" bestFit="1" customWidth="1"/>
    <col min="75" max="75" width="9.85546875" bestFit="1" customWidth="1"/>
    <col min="76" max="76" width="15.7109375" bestFit="1" customWidth="1"/>
    <col min="77" max="77" width="10.85546875" bestFit="1" customWidth="1"/>
    <col min="78" max="79" width="9.85546875" bestFit="1" customWidth="1"/>
    <col min="80" max="80" width="15.7109375" bestFit="1" customWidth="1"/>
    <col min="81" max="81" width="9.7109375" bestFit="1" customWidth="1"/>
    <col min="82" max="82" width="5.28515625" bestFit="1" customWidth="1"/>
    <col min="83" max="83" width="12.28515625" bestFit="1" customWidth="1"/>
    <col min="84" max="84" width="7.28515625" bestFit="1" customWidth="1"/>
    <col min="85" max="85" width="9.85546875" bestFit="1" customWidth="1"/>
    <col min="86" max="86" width="12.28515625" bestFit="1" customWidth="1"/>
    <col min="87" max="87" width="9.7109375" bestFit="1" customWidth="1"/>
    <col min="88" max="88" width="12.28515625" bestFit="1" customWidth="1"/>
    <col min="89" max="89" width="7.7109375" bestFit="1" customWidth="1"/>
    <col min="90" max="90" width="5.28515625" bestFit="1" customWidth="1"/>
    <col min="91" max="94" width="9.85546875" bestFit="1" customWidth="1"/>
    <col min="95" max="95" width="10.7109375" bestFit="1" customWidth="1"/>
    <col min="96" max="96" width="9.7109375" bestFit="1" customWidth="1"/>
    <col min="97" max="97" width="5.28515625" bestFit="1" customWidth="1"/>
    <col min="98" max="99" width="12.28515625" bestFit="1" customWidth="1"/>
    <col min="100" max="100" width="9.7109375" bestFit="1" customWidth="1"/>
    <col min="101" max="101" width="12.28515625" bestFit="1" customWidth="1"/>
    <col min="102" max="102" width="7.28515625" bestFit="1" customWidth="1"/>
    <col min="103" max="104" width="9.85546875" bestFit="1" customWidth="1"/>
    <col min="105" max="105" width="12.28515625" bestFit="1" customWidth="1"/>
    <col min="106" max="106" width="9.7109375" bestFit="1" customWidth="1"/>
    <col min="107" max="107" width="9.85546875" bestFit="1" customWidth="1"/>
    <col min="108" max="108" width="12.28515625" bestFit="1" customWidth="1"/>
    <col min="109" max="109" width="9.7109375" bestFit="1" customWidth="1"/>
    <col min="110" max="110" width="12.28515625" bestFit="1" customWidth="1"/>
    <col min="111" max="111" width="7.7109375" bestFit="1" customWidth="1"/>
    <col min="112" max="112" width="5.28515625" bestFit="1" customWidth="1"/>
    <col min="113" max="117" width="9.85546875" bestFit="1" customWidth="1"/>
    <col min="118" max="118" width="10.7109375" bestFit="1" customWidth="1"/>
    <col min="119" max="119" width="9.85546875" bestFit="1" customWidth="1"/>
    <col min="120" max="120" width="12.28515625" bestFit="1" customWidth="1"/>
    <col min="121" max="122" width="9.85546875" bestFit="1" customWidth="1"/>
    <col min="123" max="123" width="12.28515625" bestFit="1" customWidth="1"/>
    <col min="124" max="124" width="12.85546875" bestFit="1" customWidth="1"/>
    <col min="125" max="125" width="9.85546875" bestFit="1" customWidth="1"/>
    <col min="126" max="126" width="15.7109375" bestFit="1" customWidth="1"/>
    <col min="127" max="127" width="10.85546875" bestFit="1" customWidth="1"/>
    <col min="128" max="130" width="9.85546875" bestFit="1" customWidth="1"/>
    <col min="131" max="132" width="15.7109375" bestFit="1" customWidth="1"/>
    <col min="133" max="133" width="9.7109375" bestFit="1" customWidth="1"/>
    <col min="134" max="135" width="12.28515625" bestFit="1" customWidth="1"/>
    <col min="136" max="136" width="9.7109375" bestFit="1" customWidth="1"/>
    <col min="137" max="137" width="12.28515625" bestFit="1" customWidth="1"/>
    <col min="138" max="138" width="7.28515625" bestFit="1" customWidth="1"/>
    <col min="139" max="140" width="9.85546875" bestFit="1" customWidth="1"/>
    <col min="141" max="141" width="12.28515625" bestFit="1" customWidth="1"/>
    <col min="142" max="142" width="9.7109375" bestFit="1" customWidth="1"/>
    <col min="143" max="143" width="12.28515625" bestFit="1" customWidth="1"/>
    <col min="144" max="144" width="7.7109375" bestFit="1" customWidth="1"/>
    <col min="145" max="145" width="5.28515625" bestFit="1" customWidth="1"/>
    <col min="146" max="148" width="9.85546875" bestFit="1" customWidth="1"/>
    <col min="149" max="149" width="12.28515625" bestFit="1" customWidth="1"/>
    <col min="150" max="150" width="9.7109375" bestFit="1" customWidth="1"/>
    <col min="151" max="152" width="12.28515625" bestFit="1" customWidth="1"/>
    <col min="153" max="153" width="9.7109375" bestFit="1" customWidth="1"/>
    <col min="154" max="154" width="12.28515625" bestFit="1" customWidth="1"/>
    <col min="155" max="155" width="9.85546875" bestFit="1" customWidth="1"/>
    <col min="156" max="156" width="12.28515625" bestFit="1" customWidth="1"/>
    <col min="157" max="157" width="9.7109375" bestFit="1" customWidth="1"/>
    <col min="158" max="158" width="9.85546875" bestFit="1" customWidth="1"/>
    <col min="159" max="159" width="12.28515625" bestFit="1" customWidth="1"/>
    <col min="160" max="160" width="9.7109375" bestFit="1" customWidth="1"/>
    <col min="161" max="161" width="12.28515625" bestFit="1" customWidth="1"/>
    <col min="162" max="162" width="7.7109375" bestFit="1" customWidth="1"/>
    <col min="163" max="163" width="5.28515625" bestFit="1" customWidth="1"/>
    <col min="164" max="169" width="9.85546875" bestFit="1" customWidth="1"/>
    <col min="170" max="170" width="10.7109375" bestFit="1" customWidth="1"/>
    <col min="171" max="171" width="15.7109375" bestFit="1" customWidth="1"/>
    <col min="172" max="172" width="9.7109375" bestFit="1" customWidth="1"/>
    <col min="173" max="176" width="12.28515625" bestFit="1" customWidth="1"/>
    <col min="177" max="177" width="9.7109375" bestFit="1" customWidth="1"/>
    <col min="178" max="180" width="12.28515625" bestFit="1" customWidth="1"/>
    <col min="181" max="181" width="9.7109375" bestFit="1" customWidth="1"/>
    <col min="182" max="182" width="9.85546875" bestFit="1" customWidth="1"/>
    <col min="183" max="183" width="12.28515625" bestFit="1" customWidth="1"/>
    <col min="184" max="185" width="9.85546875" bestFit="1" customWidth="1"/>
    <col min="186" max="186" width="12.28515625" bestFit="1" customWidth="1"/>
    <col min="187" max="187" width="9.7109375" bestFit="1" customWidth="1"/>
    <col min="188" max="188" width="12.28515625" bestFit="1" customWidth="1"/>
    <col min="189" max="189" width="7.28515625" bestFit="1" customWidth="1"/>
    <col min="190" max="191" width="9.85546875" bestFit="1" customWidth="1"/>
    <col min="192" max="192" width="12.28515625" bestFit="1" customWidth="1"/>
    <col min="193" max="193" width="9.7109375" bestFit="1" customWidth="1"/>
    <col min="194" max="194" width="12.28515625" bestFit="1" customWidth="1"/>
    <col min="195" max="195" width="7.7109375" bestFit="1" customWidth="1"/>
    <col min="196" max="196" width="5.28515625" bestFit="1" customWidth="1"/>
    <col min="197" max="199" width="9.85546875" bestFit="1" customWidth="1"/>
    <col min="200" max="200" width="12.28515625" bestFit="1" customWidth="1"/>
    <col min="201" max="201" width="9.7109375" bestFit="1" customWidth="1"/>
    <col min="202" max="202" width="12.28515625" bestFit="1" customWidth="1"/>
    <col min="203" max="203" width="9.85546875" bestFit="1" customWidth="1"/>
    <col min="204" max="204" width="12.28515625" bestFit="1" customWidth="1"/>
    <col min="205" max="205" width="9.7109375" bestFit="1" customWidth="1"/>
    <col min="206" max="206" width="12.28515625" bestFit="1" customWidth="1"/>
    <col min="207" max="207" width="7.7109375" bestFit="1" customWidth="1"/>
    <col min="208" max="208" width="5.28515625" bestFit="1" customWidth="1"/>
    <col min="209" max="215" width="9.85546875" bestFit="1" customWidth="1"/>
    <col min="216" max="216" width="10.7109375" bestFit="1" customWidth="1"/>
    <col min="217" max="218" width="12.28515625" bestFit="1" customWidth="1"/>
    <col min="219" max="219" width="9.7109375" bestFit="1" customWidth="1"/>
    <col min="220" max="220" width="9.85546875" bestFit="1" customWidth="1"/>
    <col min="221" max="221" width="12.28515625" bestFit="1" customWidth="1"/>
    <col min="222" max="223" width="9.85546875" bestFit="1" customWidth="1"/>
    <col min="224" max="224" width="12.28515625" bestFit="1" customWidth="1"/>
    <col min="225" max="225" width="9.7109375" bestFit="1" customWidth="1"/>
    <col min="226" max="226" width="12.28515625" bestFit="1" customWidth="1"/>
    <col min="227" max="227" width="9.85546875" bestFit="1" customWidth="1"/>
    <col min="228" max="228" width="12.28515625" bestFit="1" customWidth="1"/>
    <col min="229" max="229" width="7.7109375" bestFit="1" customWidth="1"/>
    <col min="230" max="232" width="9.85546875" bestFit="1" customWidth="1"/>
    <col min="233" max="233" width="12.28515625" bestFit="1" customWidth="1"/>
    <col min="234" max="234" width="7.28515625" bestFit="1" customWidth="1"/>
    <col min="235" max="239" width="9.85546875" bestFit="1" customWidth="1"/>
    <col min="240" max="240" width="12.28515625" bestFit="1" customWidth="1"/>
    <col min="241" max="241" width="9.7109375" bestFit="1" customWidth="1"/>
    <col min="242" max="242" width="9.85546875" bestFit="1" customWidth="1"/>
    <col min="243" max="243" width="12.28515625" bestFit="1" customWidth="1"/>
    <col min="244" max="245" width="9.85546875" bestFit="1" customWidth="1"/>
    <col min="246" max="246" width="12.28515625" bestFit="1" customWidth="1"/>
    <col min="247" max="247" width="9.7109375" bestFit="1" customWidth="1"/>
    <col min="248" max="249" width="9.85546875" bestFit="1" customWidth="1"/>
    <col min="250" max="250" width="12.28515625" bestFit="1" customWidth="1"/>
    <col min="251" max="251" width="9.7109375" bestFit="1" customWidth="1"/>
    <col min="252" max="252" width="12.28515625" bestFit="1" customWidth="1"/>
    <col min="253" max="253" width="7.28515625" bestFit="1" customWidth="1"/>
    <col min="254" max="256" width="9.85546875" bestFit="1" customWidth="1"/>
    <col min="257" max="257" width="12.28515625" bestFit="1" customWidth="1"/>
    <col min="258" max="258" width="9.7109375" bestFit="1" customWidth="1"/>
    <col min="259" max="259" width="12.28515625" bestFit="1" customWidth="1"/>
    <col min="260" max="260" width="9.85546875" bestFit="1" customWidth="1"/>
    <col min="261" max="261" width="12.28515625" bestFit="1" customWidth="1"/>
    <col min="262" max="262" width="9.7109375" bestFit="1" customWidth="1"/>
    <col min="263" max="263" width="12.28515625" bestFit="1" customWidth="1"/>
    <col min="264" max="264" width="7.7109375" bestFit="1" customWidth="1"/>
    <col min="265" max="265" width="5.28515625" bestFit="1" customWidth="1"/>
    <col min="266" max="273" width="9.85546875" bestFit="1" customWidth="1"/>
    <col min="274" max="274" width="10.7109375" bestFit="1" customWidth="1"/>
    <col min="275" max="276" width="9.85546875" bestFit="1" customWidth="1"/>
    <col min="277" max="277" width="12.28515625" bestFit="1" customWidth="1"/>
    <col min="278" max="279" width="9.85546875" bestFit="1" customWidth="1"/>
    <col min="280" max="280" width="11.85546875" bestFit="1" customWidth="1"/>
    <col min="281" max="281" width="9.7109375" bestFit="1" customWidth="1"/>
    <col min="282" max="282" width="9.85546875" bestFit="1" customWidth="1"/>
    <col min="283" max="283" width="12.28515625" bestFit="1" customWidth="1"/>
    <col min="284" max="285" width="9.85546875" bestFit="1" customWidth="1"/>
    <col min="286" max="286" width="12.28515625" bestFit="1" customWidth="1"/>
    <col min="287" max="287" width="7.7109375" bestFit="1" customWidth="1"/>
    <col min="288" max="288" width="5.28515625" bestFit="1" customWidth="1"/>
    <col min="289" max="294" width="9.85546875" bestFit="1" customWidth="1"/>
    <col min="295" max="295" width="12.28515625" bestFit="1" customWidth="1"/>
    <col min="296" max="296" width="12.85546875" bestFit="1" customWidth="1"/>
    <col min="297" max="299" width="9.85546875" bestFit="1" customWidth="1"/>
    <col min="300" max="300" width="12.28515625" bestFit="1" customWidth="1"/>
    <col min="301" max="301" width="7.28515625" bestFit="1" customWidth="1"/>
    <col min="302" max="307" width="9.85546875" bestFit="1" customWidth="1"/>
    <col min="308" max="308" width="15.7109375" bestFit="1" customWidth="1"/>
    <col min="309" max="309" width="9.7109375" bestFit="1" customWidth="1"/>
    <col min="310" max="313" width="12.28515625" bestFit="1" customWidth="1"/>
    <col min="314" max="314" width="9.7109375" bestFit="1" customWidth="1"/>
    <col min="315" max="317" width="12.28515625" bestFit="1" customWidth="1"/>
    <col min="318" max="318" width="9.7109375" bestFit="1" customWidth="1"/>
    <col min="319" max="319" width="9.85546875" bestFit="1" customWidth="1"/>
    <col min="320" max="320" width="12.28515625" bestFit="1" customWidth="1"/>
    <col min="321" max="322" width="9.85546875" bestFit="1" customWidth="1"/>
    <col min="323" max="323" width="12.28515625" bestFit="1" customWidth="1"/>
    <col min="324" max="324" width="9.7109375" bestFit="1" customWidth="1"/>
    <col min="325" max="325" width="12.28515625" bestFit="1" customWidth="1"/>
    <col min="326" max="326" width="9.85546875" bestFit="1" customWidth="1"/>
    <col min="327" max="327" width="12.28515625" bestFit="1" customWidth="1"/>
    <col min="328" max="328" width="7.7109375" bestFit="1" customWidth="1"/>
    <col min="329" max="331" width="9.85546875" bestFit="1" customWidth="1"/>
    <col min="332" max="332" width="12.28515625" bestFit="1" customWidth="1"/>
    <col min="333" max="333" width="7.28515625" bestFit="1" customWidth="1"/>
    <col min="334" max="338" width="9.85546875" bestFit="1" customWidth="1"/>
    <col min="339" max="339" width="12.28515625" bestFit="1" customWidth="1"/>
    <col min="340" max="340" width="9.7109375" bestFit="1" customWidth="1"/>
    <col min="341" max="341" width="9.85546875" bestFit="1" customWidth="1"/>
    <col min="342" max="342" width="12.28515625" bestFit="1" customWidth="1"/>
    <col min="343" max="344" width="9.85546875" bestFit="1" customWidth="1"/>
    <col min="345" max="345" width="12.28515625" bestFit="1" customWidth="1"/>
    <col min="346" max="346" width="9.7109375" bestFit="1" customWidth="1"/>
    <col min="347" max="347" width="12.28515625" bestFit="1" customWidth="1"/>
    <col min="348" max="348" width="7.28515625" bestFit="1" customWidth="1"/>
    <col min="349" max="351" width="9.85546875" bestFit="1" customWidth="1"/>
    <col min="352" max="352" width="12.28515625" bestFit="1" customWidth="1"/>
    <col min="353" max="353" width="9.7109375" bestFit="1" customWidth="1"/>
    <col min="354" max="354" width="12.28515625" bestFit="1" customWidth="1"/>
    <col min="355" max="355" width="9.85546875" bestFit="1" customWidth="1"/>
    <col min="356" max="356" width="12.28515625" bestFit="1" customWidth="1"/>
    <col min="357" max="357" width="9.7109375" bestFit="1" customWidth="1"/>
    <col min="358" max="358" width="12.28515625" bestFit="1" customWidth="1"/>
    <col min="359" max="359" width="7.7109375" bestFit="1" customWidth="1"/>
    <col min="360" max="360" width="5.28515625" bestFit="1" customWidth="1"/>
    <col min="361" max="369" width="9.85546875" bestFit="1" customWidth="1"/>
    <col min="370" max="370" width="10.7109375" bestFit="1" customWidth="1"/>
  </cols>
  <sheetData>
    <row r="1" spans="1:24" x14ac:dyDescent="0.25">
      <c r="A1" s="12" t="s">
        <v>0</v>
      </c>
      <c r="B1" t="s">
        <v>1</v>
      </c>
    </row>
    <row r="3" spans="1:24" x14ac:dyDescent="0.25">
      <c r="A3" s="12" t="s">
        <v>2</v>
      </c>
      <c r="B3" s="12" t="s">
        <v>3</v>
      </c>
    </row>
    <row r="4" spans="1:24" x14ac:dyDescent="0.25">
      <c r="A4" s="12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</row>
    <row r="5" spans="1:24" x14ac:dyDescent="0.25">
      <c r="A5" s="13">
        <v>1</v>
      </c>
      <c r="B5">
        <v>1</v>
      </c>
      <c r="C5">
        <v>22</v>
      </c>
      <c r="D5">
        <v>2</v>
      </c>
      <c r="E5">
        <v>3</v>
      </c>
      <c r="F5">
        <v>1</v>
      </c>
      <c r="G5">
        <v>2</v>
      </c>
      <c r="H5">
        <v>2</v>
      </c>
      <c r="J5">
        <v>8</v>
      </c>
      <c r="K5">
        <v>2</v>
      </c>
      <c r="L5">
        <v>21</v>
      </c>
      <c r="M5">
        <v>5</v>
      </c>
      <c r="N5">
        <v>3</v>
      </c>
      <c r="O5">
        <v>30</v>
      </c>
      <c r="P5">
        <v>1</v>
      </c>
      <c r="Q5">
        <v>1</v>
      </c>
      <c r="R5">
        <v>2</v>
      </c>
      <c r="S5">
        <v>9</v>
      </c>
      <c r="T5">
        <v>43</v>
      </c>
      <c r="U5">
        <v>2</v>
      </c>
      <c r="V5">
        <v>4</v>
      </c>
      <c r="X5">
        <v>164</v>
      </c>
    </row>
    <row r="6" spans="1:24" x14ac:dyDescent="0.25">
      <c r="A6" s="13">
        <v>0.93333333333333335</v>
      </c>
      <c r="C6">
        <v>6</v>
      </c>
      <c r="I6">
        <v>1</v>
      </c>
      <c r="O6">
        <v>7</v>
      </c>
      <c r="X6">
        <v>14</v>
      </c>
    </row>
    <row r="7" spans="1:24" x14ac:dyDescent="0.25">
      <c r="A7" s="13">
        <v>0.92307692307692313</v>
      </c>
      <c r="L7">
        <v>15</v>
      </c>
      <c r="X7">
        <v>15</v>
      </c>
    </row>
    <row r="8" spans="1:24" x14ac:dyDescent="0.25">
      <c r="A8" s="13">
        <v>0.8666666666666667</v>
      </c>
      <c r="O8">
        <v>1</v>
      </c>
      <c r="X8">
        <v>1</v>
      </c>
    </row>
    <row r="9" spans="1:24" x14ac:dyDescent="0.25">
      <c r="A9" s="13">
        <v>0.8</v>
      </c>
      <c r="O9">
        <v>1</v>
      </c>
      <c r="X9">
        <v>1</v>
      </c>
    </row>
    <row r="10" spans="1:24" x14ac:dyDescent="0.25">
      <c r="A10" s="13">
        <v>0.9285714285714286</v>
      </c>
      <c r="F10">
        <v>1</v>
      </c>
      <c r="S10">
        <v>1</v>
      </c>
      <c r="W10">
        <v>1</v>
      </c>
      <c r="X10">
        <v>3</v>
      </c>
    </row>
    <row r="11" spans="1:24" x14ac:dyDescent="0.25">
      <c r="A11" s="13">
        <v>0.8571428571428571</v>
      </c>
      <c r="S11">
        <v>1</v>
      </c>
      <c r="X11">
        <v>1</v>
      </c>
    </row>
    <row r="12" spans="1:24" x14ac:dyDescent="0.25">
      <c r="A12" s="13">
        <v>0.76923076923076927</v>
      </c>
      <c r="L12">
        <v>2</v>
      </c>
      <c r="X12">
        <v>2</v>
      </c>
    </row>
    <row r="13" spans="1:24" x14ac:dyDescent="0.25">
      <c r="A13" s="13">
        <v>0.88888888888888884</v>
      </c>
      <c r="V13">
        <v>1</v>
      </c>
      <c r="X13">
        <v>1</v>
      </c>
    </row>
    <row r="14" spans="1:24" x14ac:dyDescent="0.25">
      <c r="A14" s="13">
        <v>0.84615384615384615</v>
      </c>
      <c r="L14">
        <v>2</v>
      </c>
      <c r="X14">
        <v>2</v>
      </c>
    </row>
    <row r="15" spans="1:24" x14ac:dyDescent="0.25">
      <c r="A15" s="13">
        <v>0.53846153846153844</v>
      </c>
      <c r="L15">
        <v>2</v>
      </c>
      <c r="X15">
        <v>2</v>
      </c>
    </row>
    <row r="16" spans="1:24" x14ac:dyDescent="0.25">
      <c r="A16" s="13">
        <v>0.69230769230769229</v>
      </c>
      <c r="L16">
        <v>1</v>
      </c>
      <c r="X16">
        <v>1</v>
      </c>
    </row>
    <row r="17" spans="1:24" x14ac:dyDescent="0.25">
      <c r="A17" s="13">
        <v>0.61538461538461542</v>
      </c>
      <c r="L17">
        <v>1</v>
      </c>
      <c r="X17">
        <v>1</v>
      </c>
    </row>
    <row r="18" spans="1:24" x14ac:dyDescent="0.25">
      <c r="A18" s="13">
        <v>0.13333333333333333</v>
      </c>
      <c r="C18">
        <v>1</v>
      </c>
      <c r="X18">
        <v>1</v>
      </c>
    </row>
    <row r="19" spans="1:24" x14ac:dyDescent="0.25">
      <c r="A19" s="13" t="s">
        <v>27</v>
      </c>
      <c r="B19">
        <v>1</v>
      </c>
      <c r="C19">
        <v>29</v>
      </c>
      <c r="D19">
        <v>2</v>
      </c>
      <c r="E19">
        <v>3</v>
      </c>
      <c r="F19">
        <v>2</v>
      </c>
      <c r="G19">
        <v>2</v>
      </c>
      <c r="H19">
        <v>2</v>
      </c>
      <c r="I19">
        <v>1</v>
      </c>
      <c r="J19">
        <v>8</v>
      </c>
      <c r="K19">
        <v>2</v>
      </c>
      <c r="L19">
        <v>44</v>
      </c>
      <c r="M19">
        <v>5</v>
      </c>
      <c r="N19">
        <v>3</v>
      </c>
      <c r="O19">
        <v>39</v>
      </c>
      <c r="P19">
        <v>1</v>
      </c>
      <c r="Q19">
        <v>1</v>
      </c>
      <c r="R19">
        <v>2</v>
      </c>
      <c r="S19">
        <v>11</v>
      </c>
      <c r="T19">
        <v>43</v>
      </c>
      <c r="U19">
        <v>2</v>
      </c>
      <c r="V19">
        <v>5</v>
      </c>
      <c r="W19">
        <v>1</v>
      </c>
      <c r="X19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5AF6-B5EB-4347-9753-7A1A61E332AA}">
  <dimension ref="A1:F21"/>
  <sheetViews>
    <sheetView workbookViewId="0">
      <selection activeCell="F12" sqref="F12"/>
    </sheetView>
  </sheetViews>
  <sheetFormatPr defaultRowHeight="15" x14ac:dyDescent="0.25"/>
  <cols>
    <col min="1" max="1" width="25" bestFit="1" customWidth="1"/>
    <col min="5" max="5" width="10.7109375" bestFit="1" customWidth="1"/>
  </cols>
  <sheetData>
    <row r="1" spans="1:6" x14ac:dyDescent="0.25">
      <c r="A1" s="14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6" x14ac:dyDescent="0.25">
      <c r="A2" s="14" t="s">
        <v>33</v>
      </c>
      <c r="B2">
        <f ca="1">COUNTIF(TrainingData!$I:$I,B$1)</f>
        <v>193</v>
      </c>
      <c r="C2">
        <f ca="1">COUNTIF(TrainingData!$I:$I,C$1)</f>
        <v>0</v>
      </c>
      <c r="D2">
        <f ca="1">COUNTIF(TrainingData!$I:$I,D$1)</f>
        <v>11</v>
      </c>
      <c r="E2">
        <f ca="1">COUNTIF(TrainingData!$I:$I,E$1)</f>
        <v>3</v>
      </c>
      <c r="F2">
        <f ca="1">SUM(B2:E2)</f>
        <v>207</v>
      </c>
    </row>
    <row r="3" spans="1:6" x14ac:dyDescent="0.25">
      <c r="A3" s="14" t="s">
        <v>34</v>
      </c>
      <c r="B3">
        <f ca="1">COUNTIF(TrainingData!$K:$K,B$1)</f>
        <v>193</v>
      </c>
      <c r="C3">
        <f ca="1">COUNTIF(TrainingData!$K:$K,C$1)</f>
        <v>0</v>
      </c>
      <c r="D3">
        <f ca="1">COUNTIF(TrainingData!$K:$K,D$1)</f>
        <v>12</v>
      </c>
      <c r="E3">
        <f ca="1">COUNTIF(TrainingData!$K:$K,E$1)</f>
        <v>2</v>
      </c>
      <c r="F3">
        <f t="shared" ref="F3:F11" ca="1" si="0">SUM(B3:E3)</f>
        <v>207</v>
      </c>
    </row>
    <row r="4" spans="1:6" x14ac:dyDescent="0.25">
      <c r="A4" s="14" t="s">
        <v>35</v>
      </c>
      <c r="B4">
        <f ca="1">COUNTIF(TrainingData!$M:$M,B$1)</f>
        <v>188</v>
      </c>
      <c r="C4">
        <f ca="1">COUNTIF(TrainingData!$M:$M,C$1)</f>
        <v>7</v>
      </c>
      <c r="D4">
        <f ca="1">COUNTIF(TrainingData!$M:$M,D$1)</f>
        <v>10</v>
      </c>
      <c r="E4">
        <f ca="1">COUNTIF(TrainingData!$M:$M,E$1)</f>
        <v>2</v>
      </c>
      <c r="F4">
        <f t="shared" ca="1" si="0"/>
        <v>207</v>
      </c>
    </row>
    <row r="5" spans="1:6" x14ac:dyDescent="0.25">
      <c r="A5" s="14" t="s">
        <v>36</v>
      </c>
      <c r="B5">
        <f ca="1">COUNTIF(TrainingData!$O:$O,B$1)</f>
        <v>138</v>
      </c>
      <c r="C5">
        <f ca="1">COUNTIF(TrainingData!$O:$O,C$1)</f>
        <v>8</v>
      </c>
      <c r="D5">
        <f ca="1">COUNTIF(TrainingData!$O:$O,D$1)</f>
        <v>12</v>
      </c>
      <c r="E5">
        <f ca="1">COUNTIF(TrainingData!$O:$O,E$1)</f>
        <v>1</v>
      </c>
      <c r="F5">
        <f t="shared" ca="1" si="0"/>
        <v>159</v>
      </c>
    </row>
    <row r="6" spans="1:6" x14ac:dyDescent="0.25">
      <c r="A6" s="14" t="s">
        <v>37</v>
      </c>
      <c r="B6">
        <f ca="1">COUNTIF(TrainingData!$Q:$Q,B$1)</f>
        <v>135</v>
      </c>
      <c r="C6">
        <f ca="1">COUNTIF(TrainingData!$Q:$Q,C$1)</f>
        <v>8</v>
      </c>
      <c r="D6">
        <f ca="1">COUNTIF(TrainingData!$Q:$Q,D$1)</f>
        <v>15</v>
      </c>
      <c r="E6">
        <f ca="1">COUNTIF(TrainingData!$Q:$Q,E$1)</f>
        <v>1</v>
      </c>
      <c r="F6">
        <f t="shared" ca="1" si="0"/>
        <v>159</v>
      </c>
    </row>
    <row r="7" spans="1:6" x14ac:dyDescent="0.25">
      <c r="A7" s="14" t="s">
        <v>38</v>
      </c>
      <c r="B7">
        <f ca="1">COUNTIF(TrainingData!$S:$S,B$1)</f>
        <v>138</v>
      </c>
      <c r="C7">
        <f ca="1">COUNTIF(TrainingData!$S:$S,C$1)</f>
        <v>9</v>
      </c>
      <c r="D7">
        <f ca="1">COUNTIF(TrainingData!$S:$S,D$1)</f>
        <v>11</v>
      </c>
      <c r="E7">
        <f ca="1">COUNTIF(TrainingData!$S:$S,E$1)</f>
        <v>1</v>
      </c>
      <c r="F7">
        <f t="shared" ca="1" si="0"/>
        <v>159</v>
      </c>
    </row>
    <row r="8" spans="1:6" x14ac:dyDescent="0.25">
      <c r="A8" s="14" t="s">
        <v>39</v>
      </c>
      <c r="B8">
        <f ca="1">COUNTIF(TrainingData!$U:$U,B$1)</f>
        <v>140</v>
      </c>
      <c r="C8">
        <f ca="1">COUNTIF(TrainingData!$U:$U,C$1)</f>
        <v>8</v>
      </c>
      <c r="D8">
        <f ca="1">COUNTIF(TrainingData!$U:$U,D$1)</f>
        <v>10</v>
      </c>
      <c r="E8">
        <f ca="1">COUNTIF(TrainingData!$U:$U,E$1)</f>
        <v>1</v>
      </c>
      <c r="F8">
        <f t="shared" ca="1" si="0"/>
        <v>159</v>
      </c>
    </row>
    <row r="9" spans="1:6" x14ac:dyDescent="0.25">
      <c r="A9" s="14" t="s">
        <v>40</v>
      </c>
      <c r="B9">
        <f ca="1">COUNTIF(TrainingData!$W:$W,B$1)</f>
        <v>140</v>
      </c>
      <c r="C9">
        <f ca="1">COUNTIF(TrainingData!$W:$W,C$1)</f>
        <v>6</v>
      </c>
      <c r="D9">
        <f ca="1">COUNTIF(TrainingData!$W:$W,D$1)</f>
        <v>12</v>
      </c>
      <c r="E9">
        <f ca="1">COUNTIF(TrainingData!$W:$W,E$1)</f>
        <v>1</v>
      </c>
      <c r="F9">
        <f t="shared" ca="1" si="0"/>
        <v>159</v>
      </c>
    </row>
    <row r="10" spans="1:6" x14ac:dyDescent="0.25">
      <c r="A10" s="14" t="s">
        <v>41</v>
      </c>
      <c r="B10">
        <f ca="1">COUNTIF(TrainingData!$Y:$Y,B$1)</f>
        <v>143</v>
      </c>
      <c r="C10">
        <f ca="1">COUNTIF(TrainingData!$Y:$Y,C$1)</f>
        <v>4</v>
      </c>
      <c r="D10">
        <f ca="1">COUNTIF(TrainingData!$Y:$Y,D$1)</f>
        <v>8</v>
      </c>
      <c r="E10">
        <f ca="1">COUNTIF(TrainingData!$Y:$Y,E$1)</f>
        <v>4</v>
      </c>
      <c r="F10">
        <f t="shared" ca="1" si="0"/>
        <v>159</v>
      </c>
    </row>
    <row r="11" spans="1:6" x14ac:dyDescent="0.25">
      <c r="A11" s="14" t="s">
        <v>42</v>
      </c>
      <c r="B11">
        <f ca="1">COUNTIF(TrainingData!$AA:$AA,B$1)</f>
        <v>154</v>
      </c>
      <c r="C11">
        <f ca="1">COUNTIF(TrainingData!$AA:$AA,C$1)</f>
        <v>0</v>
      </c>
      <c r="D11">
        <f ca="1">COUNTIF(TrainingData!$AA:$AA,D$1)</f>
        <v>0</v>
      </c>
      <c r="E11">
        <f ca="1">COUNTIF(TrainingData!$AA:$AA,E$1)</f>
        <v>5</v>
      </c>
      <c r="F11">
        <f t="shared" ca="1" si="0"/>
        <v>159</v>
      </c>
    </row>
    <row r="12" spans="1:6" x14ac:dyDescent="0.25">
      <c r="B12">
        <f ca="1">SUM(B2:B11)</f>
        <v>1562</v>
      </c>
      <c r="C12">
        <f ca="1">SUM(C2:C11)</f>
        <v>50</v>
      </c>
      <c r="D12">
        <f ca="1">SUM(D2:D11)</f>
        <v>101</v>
      </c>
      <c r="E12">
        <f ca="1">SUM(E2:E11)</f>
        <v>21</v>
      </c>
      <c r="F12">
        <f ca="1">SUM(F2:F11)</f>
        <v>1734</v>
      </c>
    </row>
    <row r="13" spans="1:6" x14ac:dyDescent="0.25">
      <c r="B13" s="29">
        <f ca="1">(B12+D12)/F12</f>
        <v>0.95905420991926182</v>
      </c>
    </row>
    <row r="18" spans="1:6" x14ac:dyDescent="0.25">
      <c r="B18" t="s">
        <v>29</v>
      </c>
      <c r="C18" t="s">
        <v>30</v>
      </c>
      <c r="D18" t="s">
        <v>31</v>
      </c>
      <c r="E18" t="s">
        <v>32</v>
      </c>
    </row>
    <row r="19" spans="1:6" x14ac:dyDescent="0.25">
      <c r="A19" s="15" t="s">
        <v>43</v>
      </c>
      <c r="B19">
        <f ca="1">COUNTIF(TrainingData!$CE:$CE,B$1)</f>
        <v>64</v>
      </c>
      <c r="C19">
        <f ca="1">COUNTIF(TrainingData!$CE:$CE,C$1)</f>
        <v>3</v>
      </c>
      <c r="D19">
        <f ca="1">COUNTIF(TrainingData!$CE:$CE,D$1)</f>
        <v>9</v>
      </c>
      <c r="E19">
        <f ca="1">COUNTIF(TrainingData!$CE:$CE,E$1)</f>
        <v>131</v>
      </c>
      <c r="F19">
        <f ca="1">SUM(B19:E19)</f>
        <v>207</v>
      </c>
    </row>
    <row r="20" spans="1:6" x14ac:dyDescent="0.25">
      <c r="A20" s="15" t="s">
        <v>44</v>
      </c>
      <c r="B20">
        <f ca="1">COUNTIF(TrainingData!$CH:$CH,B$1)</f>
        <v>111</v>
      </c>
      <c r="C20">
        <f ca="1">COUNTIF(TrainingData!$CH:$CH,C$1)</f>
        <v>0</v>
      </c>
      <c r="D20">
        <f ca="1">COUNTIF(TrainingData!$CH:$CH,D$1)</f>
        <v>0</v>
      </c>
      <c r="E20">
        <f ca="1">COUNTIF(TrainingData!$CH:$CH,E$1)</f>
        <v>91</v>
      </c>
      <c r="F20">
        <f ca="1">SUM(B20:E20)</f>
        <v>202</v>
      </c>
    </row>
    <row r="21" spans="1:6" x14ac:dyDescent="0.25">
      <c r="B21">
        <f ca="1">SUM(B19:B20)</f>
        <v>175</v>
      </c>
      <c r="C21">
        <f ca="1">SUM(C19:C20)</f>
        <v>3</v>
      </c>
      <c r="D21">
        <f ca="1">SUM(D19:D20)</f>
        <v>9</v>
      </c>
      <c r="E21">
        <f ca="1">SUM(E19:E20)</f>
        <v>222</v>
      </c>
    </row>
  </sheetData>
  <autoFilter ref="A1:E1" xr:uid="{B0B75AF6-B5EB-4347-9753-7A1A61E332A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453B-3973-42BE-B101-3D460033FA23}">
  <dimension ref="A3:B18"/>
  <sheetViews>
    <sheetView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18" bestFit="1" customWidth="1"/>
  </cols>
  <sheetData>
    <row r="3" spans="1:2" x14ac:dyDescent="0.25">
      <c r="A3" s="12" t="s">
        <v>4</v>
      </c>
      <c r="B3" t="s">
        <v>45</v>
      </c>
    </row>
    <row r="4" spans="1:2" x14ac:dyDescent="0.25">
      <c r="A4" s="13" t="s">
        <v>46</v>
      </c>
      <c r="B4">
        <v>2</v>
      </c>
    </row>
    <row r="5" spans="1:2" x14ac:dyDescent="0.25">
      <c r="A5" s="13" t="s">
        <v>47</v>
      </c>
      <c r="B5">
        <v>1</v>
      </c>
    </row>
    <row r="6" spans="1:2" x14ac:dyDescent="0.25">
      <c r="A6" s="13" t="s">
        <v>48</v>
      </c>
      <c r="B6">
        <v>19</v>
      </c>
    </row>
    <row r="7" spans="1:2" x14ac:dyDescent="0.25">
      <c r="A7" s="13" t="s">
        <v>49</v>
      </c>
      <c r="B7">
        <v>19</v>
      </c>
    </row>
    <row r="8" spans="1:2" x14ac:dyDescent="0.25">
      <c r="A8" s="13" t="s">
        <v>50</v>
      </c>
      <c r="B8">
        <v>19</v>
      </c>
    </row>
    <row r="9" spans="1:2" x14ac:dyDescent="0.25">
      <c r="A9" s="13" t="s">
        <v>51</v>
      </c>
      <c r="B9">
        <v>19</v>
      </c>
    </row>
    <row r="10" spans="1:2" x14ac:dyDescent="0.25">
      <c r="A10" s="13" t="s">
        <v>52</v>
      </c>
      <c r="B10">
        <v>19</v>
      </c>
    </row>
    <row r="11" spans="1:2" x14ac:dyDescent="0.25">
      <c r="A11" s="13" t="s">
        <v>53</v>
      </c>
      <c r="B11">
        <v>65</v>
      </c>
    </row>
    <row r="12" spans="1:2" x14ac:dyDescent="0.25">
      <c r="A12" s="13" t="s">
        <v>54</v>
      </c>
      <c r="B12">
        <v>9</v>
      </c>
    </row>
    <row r="13" spans="1:2" x14ac:dyDescent="0.25">
      <c r="A13" s="13" t="s">
        <v>55</v>
      </c>
      <c r="B13">
        <v>6</v>
      </c>
    </row>
    <row r="14" spans="1:2" x14ac:dyDescent="0.25">
      <c r="A14" s="13" t="s">
        <v>56</v>
      </c>
      <c r="B14">
        <v>10</v>
      </c>
    </row>
    <row r="15" spans="1:2" x14ac:dyDescent="0.25">
      <c r="A15" s="13" t="s">
        <v>57</v>
      </c>
      <c r="B15">
        <v>13</v>
      </c>
    </row>
    <row r="16" spans="1:2" x14ac:dyDescent="0.25">
      <c r="A16" s="13" t="s">
        <v>58</v>
      </c>
      <c r="B16">
        <v>6</v>
      </c>
    </row>
    <row r="17" spans="1:2" x14ac:dyDescent="0.25">
      <c r="A17" s="13" t="s">
        <v>59</v>
      </c>
      <c r="B17">
        <v>2</v>
      </c>
    </row>
    <row r="18" spans="1:2" x14ac:dyDescent="0.25">
      <c r="A18" s="13" t="s">
        <v>27</v>
      </c>
      <c r="B18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8D90-0F1F-447B-8C7A-C53EE0991956}">
  <dimension ref="A1:T51"/>
  <sheetViews>
    <sheetView topLeftCell="K8" workbookViewId="0">
      <selection activeCell="O21" sqref="O21"/>
    </sheetView>
  </sheetViews>
  <sheetFormatPr defaultRowHeight="15" x14ac:dyDescent="0.25"/>
  <cols>
    <col min="1" max="1" width="38.140625" bestFit="1" customWidth="1"/>
    <col min="2" max="2" width="18.42578125" bestFit="1" customWidth="1"/>
    <col min="3" max="3" width="17.28515625" bestFit="1" customWidth="1"/>
    <col min="4" max="4" width="12.5703125" bestFit="1" customWidth="1"/>
    <col min="5" max="5" width="15.28515625" bestFit="1" customWidth="1"/>
    <col min="6" max="6" width="9.140625" bestFit="1" customWidth="1"/>
    <col min="7" max="7" width="18.140625" bestFit="1" customWidth="1"/>
    <col min="8" max="8" width="15.28515625" bestFit="1" customWidth="1"/>
    <col min="9" max="9" width="4.28515625" bestFit="1" customWidth="1"/>
    <col min="10" max="10" width="5.140625" bestFit="1" customWidth="1"/>
    <col min="11" max="11" width="26.5703125" bestFit="1" customWidth="1"/>
    <col min="12" max="12" width="35.5703125" bestFit="1" customWidth="1"/>
    <col min="13" max="13" width="3.85546875" bestFit="1" customWidth="1"/>
    <col min="14" max="14" width="7" bestFit="1" customWidth="1"/>
    <col min="15" max="15" width="30.42578125" bestFit="1" customWidth="1"/>
    <col min="16" max="16" width="18.42578125" bestFit="1" customWidth="1"/>
    <col min="17" max="18" width="7" bestFit="1" customWidth="1"/>
    <col min="19" max="19" width="46.140625" bestFit="1" customWidth="1"/>
    <col min="20" max="20" width="18.42578125" bestFit="1" customWidth="1"/>
    <col min="21" max="21" width="7.140625" bestFit="1" customWidth="1"/>
    <col min="22" max="22" width="9.7109375" bestFit="1" customWidth="1"/>
    <col min="23" max="24" width="11.28515625" bestFit="1" customWidth="1"/>
    <col min="25" max="25" width="14" bestFit="1" customWidth="1"/>
    <col min="26" max="27" width="7.140625" bestFit="1" customWidth="1"/>
    <col min="28" max="28" width="9.7109375" bestFit="1" customWidth="1"/>
    <col min="29" max="29" width="5.85546875" bestFit="1" customWidth="1"/>
    <col min="30" max="30" width="8.5703125" bestFit="1" customWidth="1"/>
    <col min="31" max="31" width="9" bestFit="1" customWidth="1"/>
    <col min="32" max="32" width="11.7109375" bestFit="1" customWidth="1"/>
    <col min="33" max="33" width="10.7109375" bestFit="1" customWidth="1"/>
  </cols>
  <sheetData>
    <row r="1" spans="9:20" x14ac:dyDescent="0.25">
      <c r="K1" s="28" t="s">
        <v>60</v>
      </c>
      <c r="O1" s="28" t="s">
        <v>43</v>
      </c>
      <c r="S1" s="28" t="s">
        <v>61</v>
      </c>
    </row>
    <row r="2" spans="9:20" x14ac:dyDescent="0.25">
      <c r="K2" s="12" t="s">
        <v>62</v>
      </c>
      <c r="L2" t="s">
        <v>63</v>
      </c>
      <c r="O2" s="12" t="s">
        <v>0</v>
      </c>
      <c r="P2" t="s">
        <v>63</v>
      </c>
      <c r="S2" s="12" t="s">
        <v>0</v>
      </c>
      <c r="T2" t="s">
        <v>63</v>
      </c>
    </row>
    <row r="3" spans="9:20" x14ac:dyDescent="0.25">
      <c r="K3" s="12" t="s">
        <v>60</v>
      </c>
      <c r="L3" t="s">
        <v>64</v>
      </c>
      <c r="O3" s="12" t="s">
        <v>65</v>
      </c>
      <c r="P3" t="s">
        <v>64</v>
      </c>
      <c r="S3" s="12" t="s">
        <v>65</v>
      </c>
      <c r="T3" t="s">
        <v>63</v>
      </c>
    </row>
    <row r="4" spans="9:20" x14ac:dyDescent="0.25">
      <c r="I4" t="e">
        <f>GETPIVOTDATA("3",$G$3,"3","A320 Neo")</f>
        <v>#REF!</v>
      </c>
      <c r="K4" s="12" t="s">
        <v>0</v>
      </c>
      <c r="L4" t="s">
        <v>63</v>
      </c>
      <c r="O4" s="12" t="s">
        <v>62</v>
      </c>
      <c r="P4" t="s">
        <v>63</v>
      </c>
      <c r="S4" s="12" t="s">
        <v>62</v>
      </c>
      <c r="T4" t="s">
        <v>63</v>
      </c>
    </row>
    <row r="5" spans="9:20" x14ac:dyDescent="0.25">
      <c r="I5" t="e">
        <f>GETPIVOTDATA("3",$G$3,"3","A330 NEO")</f>
        <v>#REF!</v>
      </c>
      <c r="K5" s="12" t="s">
        <v>66</v>
      </c>
      <c r="L5" t="s">
        <v>63</v>
      </c>
      <c r="O5" s="12" t="s">
        <v>60</v>
      </c>
      <c r="P5" t="s">
        <v>63</v>
      </c>
      <c r="S5" s="12" t="s">
        <v>66</v>
      </c>
      <c r="T5" t="s">
        <v>63</v>
      </c>
    </row>
    <row r="6" spans="9:20" x14ac:dyDescent="0.25">
      <c r="I6" t="e">
        <f>GETPIVOTDATA("3",$G$3,"3","A330 Neo, A320 Neo")-GETPIVOTDATA("AMEL 3",$G$20,"AMEL 3","A330 Neo, A320 Neo")</f>
        <v>#REF!</v>
      </c>
    </row>
    <row r="7" spans="9:20" x14ac:dyDescent="0.25">
      <c r="I7" t="e">
        <f>GETPIVOTDATA("3",$G$3,"3","B737 MAX")</f>
        <v>#REF!</v>
      </c>
      <c r="K7" s="12" t="s">
        <v>4</v>
      </c>
      <c r="L7" t="s">
        <v>67</v>
      </c>
      <c r="O7" s="12" t="s">
        <v>4</v>
      </c>
      <c r="P7" t="s">
        <v>68</v>
      </c>
      <c r="S7" s="12" t="s">
        <v>4</v>
      </c>
    </row>
    <row r="8" spans="9:20" x14ac:dyDescent="0.25">
      <c r="I8" t="e">
        <f>GETPIVOTDATA("3",$G$3,"3","CRJ")-GETPIVOTDATA("AMEL 3",$G$20,"AMEL 3","CRJ")</f>
        <v>#REF!</v>
      </c>
      <c r="K8" s="13" t="s">
        <v>69</v>
      </c>
      <c r="O8" s="13" t="s">
        <v>70</v>
      </c>
      <c r="S8" s="13" t="s">
        <v>71</v>
      </c>
    </row>
    <row r="9" spans="9:20" x14ac:dyDescent="0.25">
      <c r="K9" s="13" t="s">
        <v>72</v>
      </c>
      <c r="O9" s="13" t="s">
        <v>73</v>
      </c>
      <c r="S9" s="13" t="s">
        <v>74</v>
      </c>
    </row>
    <row r="10" spans="9:20" x14ac:dyDescent="0.25">
      <c r="K10" s="13" t="s">
        <v>75</v>
      </c>
      <c r="O10" s="13" t="s">
        <v>76</v>
      </c>
      <c r="S10" s="13" t="s">
        <v>77</v>
      </c>
    </row>
    <row r="11" spans="9:20" x14ac:dyDescent="0.25">
      <c r="K11" s="13" t="s">
        <v>78</v>
      </c>
      <c r="O11" s="13" t="s">
        <v>79</v>
      </c>
      <c r="S11" s="13" t="s">
        <v>80</v>
      </c>
    </row>
    <row r="12" spans="9:20" x14ac:dyDescent="0.25">
      <c r="K12" s="13" t="s">
        <v>81</v>
      </c>
      <c r="O12" s="13" t="s">
        <v>82</v>
      </c>
      <c r="S12" s="13" t="s">
        <v>83</v>
      </c>
    </row>
    <row r="13" spans="9:20" x14ac:dyDescent="0.25">
      <c r="K13" s="13" t="s">
        <v>84</v>
      </c>
      <c r="O13" s="13" t="s">
        <v>85</v>
      </c>
      <c r="S13" s="13" t="s">
        <v>86</v>
      </c>
    </row>
    <row r="14" spans="9:20" x14ac:dyDescent="0.25">
      <c r="K14" s="13" t="s">
        <v>87</v>
      </c>
      <c r="O14" s="13" t="s">
        <v>88</v>
      </c>
      <c r="S14" s="13" t="s">
        <v>89</v>
      </c>
    </row>
    <row r="15" spans="9:20" x14ac:dyDescent="0.25">
      <c r="K15" s="13" t="s">
        <v>90</v>
      </c>
      <c r="O15" s="13" t="s">
        <v>91</v>
      </c>
      <c r="S15" s="13" t="s">
        <v>92</v>
      </c>
    </row>
    <row r="16" spans="9:20" x14ac:dyDescent="0.25">
      <c r="K16" s="13" t="s">
        <v>27</v>
      </c>
      <c r="O16" s="13" t="s">
        <v>93</v>
      </c>
      <c r="S16" s="13" t="s">
        <v>27</v>
      </c>
    </row>
    <row r="17" spans="1:17" x14ac:dyDescent="0.25">
      <c r="O17" s="13" t="s">
        <v>94</v>
      </c>
    </row>
    <row r="18" spans="1:17" x14ac:dyDescent="0.25">
      <c r="O18" s="13" t="s">
        <v>95</v>
      </c>
    </row>
    <row r="19" spans="1:17" x14ac:dyDescent="0.25">
      <c r="K19" t="s">
        <v>4</v>
      </c>
      <c r="L19" t="s">
        <v>67</v>
      </c>
      <c r="O19" s="13" t="s">
        <v>96</v>
      </c>
    </row>
    <row r="20" spans="1:17" x14ac:dyDescent="0.25">
      <c r="K20" t="s">
        <v>69</v>
      </c>
      <c r="L20" t="s">
        <v>97</v>
      </c>
      <c r="O20" s="13" t="s">
        <v>98</v>
      </c>
    </row>
    <row r="21" spans="1:17" x14ac:dyDescent="0.25">
      <c r="K21" t="s">
        <v>72</v>
      </c>
      <c r="L21" t="s">
        <v>97</v>
      </c>
      <c r="O21" s="13" t="s">
        <v>99</v>
      </c>
    </row>
    <row r="22" spans="1:17" x14ac:dyDescent="0.25">
      <c r="K22" t="s">
        <v>75</v>
      </c>
      <c r="L22" t="s">
        <v>97</v>
      </c>
      <c r="O22" s="13" t="s">
        <v>27</v>
      </c>
    </row>
    <row r="23" spans="1:17" x14ac:dyDescent="0.25">
      <c r="K23" t="s">
        <v>78</v>
      </c>
      <c r="L23" t="s">
        <v>97</v>
      </c>
    </row>
    <row r="24" spans="1:17" x14ac:dyDescent="0.25">
      <c r="K24" t="s">
        <v>81</v>
      </c>
      <c r="L24" t="s">
        <v>97</v>
      </c>
    </row>
    <row r="25" spans="1:17" x14ac:dyDescent="0.25">
      <c r="K25" t="s">
        <v>84</v>
      </c>
      <c r="L25" t="s">
        <v>100</v>
      </c>
    </row>
    <row r="26" spans="1:17" x14ac:dyDescent="0.25">
      <c r="K26" t="s">
        <v>87</v>
      </c>
      <c r="L26" t="s">
        <v>97</v>
      </c>
    </row>
    <row r="27" spans="1:17" x14ac:dyDescent="0.25">
      <c r="K27" t="s">
        <v>90</v>
      </c>
      <c r="L27" t="s">
        <v>97</v>
      </c>
    </row>
    <row r="31" spans="1:17" x14ac:dyDescent="0.25">
      <c r="A31" s="28" t="s">
        <v>101</v>
      </c>
    </row>
    <row r="32" spans="1:17" x14ac:dyDescent="0.25">
      <c r="A32" s="12" t="s">
        <v>0</v>
      </c>
      <c r="B32" t="s">
        <v>63</v>
      </c>
      <c r="D32" t="s">
        <v>102</v>
      </c>
      <c r="E32">
        <f>COUNTA(A37:A42)</f>
        <v>6</v>
      </c>
      <c r="O32" t="s">
        <v>4</v>
      </c>
      <c r="P32" t="s">
        <v>68</v>
      </c>
      <c r="Q32" t="s">
        <v>103</v>
      </c>
    </row>
    <row r="33" spans="1:19" x14ac:dyDescent="0.25">
      <c r="A33" s="12" t="s">
        <v>62</v>
      </c>
      <c r="B33" t="s">
        <v>63</v>
      </c>
      <c r="D33" t="s">
        <v>104</v>
      </c>
      <c r="E33">
        <f>COUNTA(K8:K15)</f>
        <v>8</v>
      </c>
      <c r="O33" t="s">
        <v>70</v>
      </c>
      <c r="Q33" s="4" t="s">
        <v>105</v>
      </c>
    </row>
    <row r="34" spans="1:19" x14ac:dyDescent="0.25">
      <c r="A34" s="12" t="s">
        <v>66</v>
      </c>
      <c r="B34" t="s">
        <v>64</v>
      </c>
      <c r="D34" t="s">
        <v>43</v>
      </c>
      <c r="E34">
        <f>COUNTA(O8:O26)</f>
        <v>15</v>
      </c>
      <c r="O34" t="s">
        <v>106</v>
      </c>
      <c r="Q34" t="s">
        <v>107</v>
      </c>
    </row>
    <row r="35" spans="1:19" x14ac:dyDescent="0.25">
      <c r="D35" t="s">
        <v>61</v>
      </c>
      <c r="E35">
        <f>COUNTA(S8:S15)</f>
        <v>8</v>
      </c>
      <c r="O35" t="s">
        <v>73</v>
      </c>
      <c r="Q35" s="30" t="s">
        <v>108</v>
      </c>
    </row>
    <row r="36" spans="1:19" x14ac:dyDescent="0.25">
      <c r="A36" s="12" t="s">
        <v>4</v>
      </c>
      <c r="B36" t="s">
        <v>109</v>
      </c>
      <c r="O36" t="s">
        <v>76</v>
      </c>
      <c r="Q36" s="4" t="s">
        <v>110</v>
      </c>
    </row>
    <row r="37" spans="1:19" x14ac:dyDescent="0.25">
      <c r="A37" t="s">
        <v>111</v>
      </c>
      <c r="O37" t="s">
        <v>79</v>
      </c>
    </row>
    <row r="38" spans="1:19" x14ac:dyDescent="0.25">
      <c r="A38" t="s">
        <v>112</v>
      </c>
      <c r="O38" t="s">
        <v>82</v>
      </c>
      <c r="Q38" s="4" t="s">
        <v>113</v>
      </c>
    </row>
    <row r="39" spans="1:19" x14ac:dyDescent="0.25">
      <c r="A39" t="s">
        <v>114</v>
      </c>
      <c r="O39" t="s">
        <v>115</v>
      </c>
      <c r="Q39" s="30" t="s">
        <v>116</v>
      </c>
    </row>
    <row r="40" spans="1:19" x14ac:dyDescent="0.25">
      <c r="A40" t="s">
        <v>117</v>
      </c>
      <c r="O40" t="s">
        <v>118</v>
      </c>
      <c r="Q40" s="30" t="s">
        <v>116</v>
      </c>
      <c r="S40" t="s">
        <v>119</v>
      </c>
    </row>
    <row r="41" spans="1:19" x14ac:dyDescent="0.25">
      <c r="A41" t="s">
        <v>120</v>
      </c>
      <c r="O41" t="s">
        <v>85</v>
      </c>
      <c r="Q41" s="4" t="s">
        <v>121</v>
      </c>
    </row>
    <row r="42" spans="1:19" x14ac:dyDescent="0.25">
      <c r="A42" t="s">
        <v>122</v>
      </c>
      <c r="O42" t="s">
        <v>88</v>
      </c>
      <c r="Q42" s="30" t="s">
        <v>123</v>
      </c>
    </row>
    <row r="43" spans="1:19" x14ac:dyDescent="0.25">
      <c r="A43" t="s">
        <v>124</v>
      </c>
      <c r="O43" t="s">
        <v>125</v>
      </c>
      <c r="Q43" t="s">
        <v>126</v>
      </c>
    </row>
    <row r="44" spans="1:19" x14ac:dyDescent="0.25">
      <c r="A44" t="s">
        <v>127</v>
      </c>
      <c r="O44" t="s">
        <v>91</v>
      </c>
      <c r="Q44" s="30" t="s">
        <v>128</v>
      </c>
    </row>
    <row r="45" spans="1:19" x14ac:dyDescent="0.25">
      <c r="A45" t="s">
        <v>129</v>
      </c>
      <c r="O45" t="s">
        <v>93</v>
      </c>
      <c r="Q45" s="31" t="s">
        <v>130</v>
      </c>
    </row>
    <row r="46" spans="1:19" x14ac:dyDescent="0.25">
      <c r="A46" t="s">
        <v>131</v>
      </c>
      <c r="O46" t="s">
        <v>94</v>
      </c>
    </row>
    <row r="47" spans="1:19" x14ac:dyDescent="0.25">
      <c r="A47" t="s">
        <v>132</v>
      </c>
      <c r="O47" t="s">
        <v>95</v>
      </c>
    </row>
    <row r="48" spans="1:19" x14ac:dyDescent="0.25">
      <c r="A48" t="s">
        <v>133</v>
      </c>
      <c r="O48" t="s">
        <v>96</v>
      </c>
      <c r="Q48" s="4" t="s">
        <v>134</v>
      </c>
    </row>
    <row r="49" spans="1:17" x14ac:dyDescent="0.25">
      <c r="A49" t="s">
        <v>27</v>
      </c>
      <c r="O49" t="s">
        <v>98</v>
      </c>
      <c r="Q49" s="4" t="s">
        <v>135</v>
      </c>
    </row>
    <row r="50" spans="1:17" x14ac:dyDescent="0.25">
      <c r="O50" t="s">
        <v>99</v>
      </c>
    </row>
    <row r="51" spans="1:17" x14ac:dyDescent="0.25">
      <c r="O51" t="s">
        <v>136</v>
      </c>
      <c r="Q51" t="s">
        <v>137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E999-53B8-4CE6-A7A8-87013430CBC5}">
  <dimension ref="A1:P43"/>
  <sheetViews>
    <sheetView topLeftCell="D1" zoomScale="90" zoomScaleNormal="90" workbookViewId="0">
      <selection activeCell="K8" sqref="K8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17.28515625" bestFit="1" customWidth="1"/>
    <col min="4" max="4" width="14.28515625" bestFit="1" customWidth="1"/>
    <col min="5" max="5" width="10.28515625" bestFit="1" customWidth="1"/>
    <col min="6" max="6" width="9.140625" bestFit="1" customWidth="1"/>
    <col min="7" max="7" width="19.5703125" bestFit="1" customWidth="1"/>
    <col min="8" max="8" width="10.28515625" bestFit="1" customWidth="1"/>
    <col min="9" max="9" width="4.28515625" bestFit="1" customWidth="1"/>
    <col min="10" max="10" width="5.140625" bestFit="1" customWidth="1"/>
    <col min="11" max="11" width="35.28515625" bestFit="1" customWidth="1"/>
    <col min="12" max="12" width="9.5703125" bestFit="1" customWidth="1"/>
    <col min="13" max="13" width="3.85546875" hidden="1" customWidth="1"/>
    <col min="14" max="14" width="7" hidden="1" customWidth="1"/>
    <col min="15" max="15" width="3.28515625" hidden="1" customWidth="1"/>
    <col min="16" max="16" width="6" customWidth="1"/>
    <col min="17" max="18" width="7" bestFit="1" customWidth="1"/>
    <col min="19" max="19" width="43.140625" bestFit="1" customWidth="1"/>
    <col min="20" max="20" width="16.140625" bestFit="1" customWidth="1"/>
    <col min="21" max="21" width="7.140625" bestFit="1" customWidth="1"/>
    <col min="22" max="22" width="9.7109375" bestFit="1" customWidth="1"/>
    <col min="23" max="24" width="11.28515625" bestFit="1" customWidth="1"/>
    <col min="25" max="25" width="14" bestFit="1" customWidth="1"/>
    <col min="26" max="27" width="7.140625" bestFit="1" customWidth="1"/>
    <col min="28" max="28" width="9.7109375" bestFit="1" customWidth="1"/>
    <col min="29" max="29" width="5.85546875" bestFit="1" customWidth="1"/>
    <col min="30" max="30" width="8.5703125" bestFit="1" customWidth="1"/>
    <col min="31" max="31" width="9" bestFit="1" customWidth="1"/>
    <col min="32" max="32" width="11.7109375" bestFit="1" customWidth="1"/>
    <col min="33" max="33" width="10.7109375" bestFit="1" customWidth="1"/>
  </cols>
  <sheetData>
    <row r="1" spans="1:16" x14ac:dyDescent="0.25">
      <c r="L1" s="28" t="s">
        <v>138</v>
      </c>
      <c r="M1">
        <v>2</v>
      </c>
      <c r="N1">
        <v>1</v>
      </c>
      <c r="O1">
        <v>3</v>
      </c>
      <c r="P1" s="28" t="s">
        <v>139</v>
      </c>
    </row>
    <row r="2" spans="1:16" x14ac:dyDescent="0.25">
      <c r="L2" s="28" t="s">
        <v>140</v>
      </c>
      <c r="M2">
        <v>1</v>
      </c>
      <c r="N2">
        <f>GETPIVOTDATA("AMEL 1",$A$20,"AMEL 1","A330")</f>
        <v>28</v>
      </c>
      <c r="P2" s="28">
        <f>SUM(M2:O2)</f>
        <v>29</v>
      </c>
    </row>
    <row r="3" spans="1:16" x14ac:dyDescent="0.25">
      <c r="A3" s="12" t="s">
        <v>4</v>
      </c>
      <c r="B3" t="s">
        <v>141</v>
      </c>
      <c r="D3" s="12" t="s">
        <v>4</v>
      </c>
      <c r="E3" t="s">
        <v>142</v>
      </c>
      <c r="G3" s="12" t="s">
        <v>4</v>
      </c>
      <c r="H3" t="s">
        <v>143</v>
      </c>
      <c r="L3" s="28" t="s">
        <v>144</v>
      </c>
      <c r="M3">
        <v>1</v>
      </c>
      <c r="N3">
        <f>GETPIVOTDATA("AMEL 1",$A$20,"AMEL 1","B737")</f>
        <v>24</v>
      </c>
      <c r="P3" s="28">
        <f t="shared" ref="P3:P10" si="0">SUM(M3:O3)</f>
        <v>25</v>
      </c>
    </row>
    <row r="4" spans="1:16" x14ac:dyDescent="0.25">
      <c r="A4" s="13" t="s">
        <v>145</v>
      </c>
      <c r="B4">
        <v>22</v>
      </c>
      <c r="D4" s="13" t="s">
        <v>145</v>
      </c>
      <c r="E4">
        <v>9</v>
      </c>
      <c r="G4" s="13" t="s">
        <v>146</v>
      </c>
      <c r="H4">
        <v>2</v>
      </c>
      <c r="I4">
        <f>GETPIVOTDATA("3",$G$3,"3","A320 Neo")</f>
        <v>2</v>
      </c>
      <c r="L4" s="28" t="s">
        <v>145</v>
      </c>
      <c r="M4">
        <v>6</v>
      </c>
      <c r="N4">
        <f>GETPIVOTDATA("AMEL 1",$A$20,"AMEL 1","A320")</f>
        <v>16</v>
      </c>
      <c r="P4" s="28">
        <f t="shared" si="0"/>
        <v>22</v>
      </c>
    </row>
    <row r="5" spans="1:16" x14ac:dyDescent="0.25">
      <c r="A5" s="13" t="s">
        <v>140</v>
      </c>
      <c r="B5">
        <v>31</v>
      </c>
      <c r="D5" s="13" t="s">
        <v>146</v>
      </c>
      <c r="E5">
        <v>10</v>
      </c>
      <c r="G5" s="13" t="s">
        <v>147</v>
      </c>
      <c r="H5">
        <v>1</v>
      </c>
      <c r="I5">
        <f>GETPIVOTDATA("3",$G$3,"3","A330 NEO")</f>
        <v>1</v>
      </c>
      <c r="L5" s="28" t="s">
        <v>148</v>
      </c>
      <c r="M5">
        <v>10</v>
      </c>
      <c r="O5">
        <f>GETPIVOTDATA("AMEL 3",$G$20,"AMEL 3","A330 Neo, A320 Neo")</f>
        <v>1</v>
      </c>
      <c r="P5" s="28">
        <f t="shared" si="0"/>
        <v>11</v>
      </c>
    </row>
    <row r="6" spans="1:16" x14ac:dyDescent="0.25">
      <c r="A6" s="13" t="s">
        <v>149</v>
      </c>
      <c r="B6">
        <v>3</v>
      </c>
      <c r="D6" s="13" t="s">
        <v>140</v>
      </c>
      <c r="E6">
        <v>3</v>
      </c>
      <c r="G6" s="13" t="s">
        <v>150</v>
      </c>
      <c r="H6">
        <v>1</v>
      </c>
      <c r="I6">
        <f>GETPIVOTDATA("3",$G$3,"3","A330 Neo, A320 Neo")-GETPIVOTDATA("AMEL 3",$G$20,"AMEL 3","A330 Neo, A320 Neo")</f>
        <v>0</v>
      </c>
      <c r="L6" s="28" t="s">
        <v>151</v>
      </c>
      <c r="M6">
        <v>1</v>
      </c>
      <c r="N6">
        <f>GETPIVOTDATA("AMEL 1",$A$20,"AMEL 1","B777")</f>
        <v>9</v>
      </c>
      <c r="P6" s="28">
        <f t="shared" si="0"/>
        <v>10</v>
      </c>
    </row>
    <row r="7" spans="1:16" x14ac:dyDescent="0.25">
      <c r="A7" s="13" t="s">
        <v>144</v>
      </c>
      <c r="B7">
        <v>26</v>
      </c>
      <c r="D7" s="13" t="s">
        <v>148</v>
      </c>
      <c r="E7">
        <v>16</v>
      </c>
      <c r="G7" s="13" t="s">
        <v>152</v>
      </c>
      <c r="H7">
        <v>1</v>
      </c>
      <c r="I7">
        <f>GETPIVOTDATA("3",$G$3,"3","B737 MAX")</f>
        <v>1</v>
      </c>
      <c r="L7" s="28" t="s">
        <v>146</v>
      </c>
      <c r="M7">
        <v>6</v>
      </c>
      <c r="O7">
        <f>GETPIVOTDATA("AMEL 3",$G$20,"AMEL 3","A330 Neo, A320 Neo")</f>
        <v>1</v>
      </c>
      <c r="P7" s="28">
        <f t="shared" si="0"/>
        <v>7</v>
      </c>
    </row>
    <row r="8" spans="1:16" x14ac:dyDescent="0.25">
      <c r="A8" s="13" t="s">
        <v>151</v>
      </c>
      <c r="B8">
        <v>12</v>
      </c>
      <c r="D8" s="13" t="s">
        <v>149</v>
      </c>
      <c r="E8">
        <v>2</v>
      </c>
      <c r="G8" s="13" t="s">
        <v>153</v>
      </c>
      <c r="H8">
        <v>1</v>
      </c>
      <c r="I8">
        <f>GETPIVOTDATA("3",$G$3,"3","CRJ")-GETPIVOTDATA("AMEL 3",$G$20,"AMEL 3","CRJ")</f>
        <v>0</v>
      </c>
      <c r="L8" s="28" t="s">
        <v>153</v>
      </c>
      <c r="M8">
        <v>1</v>
      </c>
      <c r="N8">
        <f>GETPIVOTDATA("AMEL 1",$A$20,"AMEL 1","CRJ")</f>
        <v>3</v>
      </c>
      <c r="O8">
        <f>GETPIVOTDATA("AMEL 3",$G$20,"AMEL 3","CRJ")</f>
        <v>1</v>
      </c>
      <c r="P8" s="28">
        <f t="shared" si="0"/>
        <v>5</v>
      </c>
    </row>
    <row r="9" spans="1:16" x14ac:dyDescent="0.25">
      <c r="A9" s="13" t="s">
        <v>153</v>
      </c>
      <c r="B9">
        <v>3</v>
      </c>
      <c r="D9" s="13" t="s">
        <v>144</v>
      </c>
      <c r="E9">
        <v>2</v>
      </c>
      <c r="G9" s="13" t="s">
        <v>64</v>
      </c>
      <c r="L9" s="28" t="s">
        <v>149</v>
      </c>
      <c r="M9">
        <v>1</v>
      </c>
      <c r="N9">
        <f>GETPIVOTDATA("AMEL 1",$A$20,"AMEL 1","ATR")</f>
        <v>3</v>
      </c>
      <c r="P9" s="28">
        <f t="shared" si="0"/>
        <v>4</v>
      </c>
    </row>
    <row r="10" spans="1:16" x14ac:dyDescent="0.25">
      <c r="A10" s="13" t="s">
        <v>64</v>
      </c>
      <c r="D10" s="13" t="s">
        <v>154</v>
      </c>
      <c r="E10">
        <v>2</v>
      </c>
      <c r="G10" s="13" t="s">
        <v>27</v>
      </c>
      <c r="H10">
        <v>6</v>
      </c>
      <c r="L10" s="28" t="s">
        <v>154</v>
      </c>
      <c r="M10">
        <v>1</v>
      </c>
      <c r="P10" s="28">
        <f t="shared" si="0"/>
        <v>1</v>
      </c>
    </row>
    <row r="11" spans="1:16" x14ac:dyDescent="0.25">
      <c r="A11" s="13" t="s">
        <v>27</v>
      </c>
      <c r="B11">
        <v>97</v>
      </c>
      <c r="D11" s="13" t="s">
        <v>151</v>
      </c>
      <c r="E11">
        <v>4</v>
      </c>
    </row>
    <row r="12" spans="1:16" x14ac:dyDescent="0.25">
      <c r="D12" s="13" t="s">
        <v>153</v>
      </c>
      <c r="E12">
        <v>1</v>
      </c>
    </row>
    <row r="13" spans="1:16" x14ac:dyDescent="0.25">
      <c r="D13" s="13" t="s">
        <v>64</v>
      </c>
    </row>
    <row r="14" spans="1:16" x14ac:dyDescent="0.25">
      <c r="D14" s="13" t="s">
        <v>27</v>
      </c>
      <c r="E14">
        <v>49</v>
      </c>
    </row>
    <row r="20" spans="1:8" x14ac:dyDescent="0.25">
      <c r="A20" s="12" t="s">
        <v>4</v>
      </c>
      <c r="B20" t="s">
        <v>155</v>
      </c>
      <c r="D20" s="12" t="s">
        <v>4</v>
      </c>
      <c r="E20" t="s">
        <v>156</v>
      </c>
      <c r="G20" s="12" t="s">
        <v>4</v>
      </c>
      <c r="H20" t="s">
        <v>157</v>
      </c>
    </row>
    <row r="21" spans="1:8" x14ac:dyDescent="0.25">
      <c r="A21" s="13" t="s">
        <v>145</v>
      </c>
      <c r="B21">
        <v>16</v>
      </c>
      <c r="C21">
        <f>GETPIVOTDATA("1",$A$3,"1","A320")-GETPIVOTDATA("AMEL 1",$A$20,"AMEL 1","A320")</f>
        <v>6</v>
      </c>
      <c r="D21" s="13" t="s">
        <v>145</v>
      </c>
      <c r="E21">
        <v>6</v>
      </c>
      <c r="F21">
        <f>GETPIVOTDATA("2",$D$3,"2","A320")-GETPIVOTDATA("AMEL 2",$D$20,"AMEL 2","A320")</f>
        <v>3</v>
      </c>
      <c r="G21" s="13" t="s">
        <v>150</v>
      </c>
      <c r="H21">
        <v>1</v>
      </c>
    </row>
    <row r="22" spans="1:8" x14ac:dyDescent="0.25">
      <c r="A22" s="13" t="s">
        <v>140</v>
      </c>
      <c r="B22">
        <v>28</v>
      </c>
      <c r="C22">
        <f>GETPIVOTDATA("1",$A$3,"1","A330")-GETPIVOTDATA("AMEL 1",$A$20,"AMEL 1","A330")</f>
        <v>3</v>
      </c>
      <c r="D22" s="13" t="s">
        <v>146</v>
      </c>
      <c r="E22">
        <v>6</v>
      </c>
      <c r="F22">
        <f>GETPIVOTDATA("2",$D$3,"2","A320 Neo")-GETPIVOTDATA("AMEL 2",$D$20,"AMEL 2","A320 Neo")</f>
        <v>4</v>
      </c>
      <c r="G22" s="13" t="s">
        <v>153</v>
      </c>
      <c r="H22">
        <v>1</v>
      </c>
    </row>
    <row r="23" spans="1:8" x14ac:dyDescent="0.25">
      <c r="A23" s="13" t="s">
        <v>149</v>
      </c>
      <c r="B23">
        <v>3</v>
      </c>
      <c r="C23">
        <f>GETPIVOTDATA("1",$A$3,"1","ATR")-GETPIVOTDATA("AMEL 1",$A$20,"AMEL 1","ATR")</f>
        <v>0</v>
      </c>
      <c r="D23" s="13" t="s">
        <v>140</v>
      </c>
      <c r="E23">
        <v>1</v>
      </c>
      <c r="F23">
        <f>GETPIVOTDATA("2",$D$3,"2","A330")-GETPIVOTDATA("AMEL 2",$D$20,"AMEL 2","A330")</f>
        <v>2</v>
      </c>
      <c r="G23" s="13" t="s">
        <v>64</v>
      </c>
    </row>
    <row r="24" spans="1:8" x14ac:dyDescent="0.25">
      <c r="A24" s="13" t="s">
        <v>144</v>
      </c>
      <c r="B24">
        <v>24</v>
      </c>
      <c r="C24">
        <f>GETPIVOTDATA("1",$A$3,"1","B737")-GETPIVOTDATA("AMEL 1",$A$20,"AMEL 1","B737")</f>
        <v>2</v>
      </c>
      <c r="D24" s="13" t="s">
        <v>148</v>
      </c>
      <c r="E24">
        <v>10</v>
      </c>
      <c r="F24">
        <f>GETPIVOTDATA("2",$D$3,"2","A330 Neo")-GETPIVOTDATA("AMEL 2",$D$20,"AMEL 2","A330 Neo")</f>
        <v>6</v>
      </c>
      <c r="G24" s="13" t="s">
        <v>27</v>
      </c>
      <c r="H24">
        <v>2</v>
      </c>
    </row>
    <row r="25" spans="1:8" x14ac:dyDescent="0.25">
      <c r="A25" s="13" t="s">
        <v>151</v>
      </c>
      <c r="B25">
        <v>9</v>
      </c>
      <c r="C25">
        <f>GETPIVOTDATA("1",$A$3,"1","B777")-GETPIVOTDATA("AMEL 1",$A$20,"AMEL 1","B777")</f>
        <v>3</v>
      </c>
      <c r="D25" s="13" t="s">
        <v>149</v>
      </c>
      <c r="E25">
        <v>1</v>
      </c>
      <c r="F25">
        <f>GETPIVOTDATA("2",$D$3,"2","ATR")-GETPIVOTDATA("AMEL 2",$D$20,"AMEL 2","ATR")</f>
        <v>1</v>
      </c>
    </row>
    <row r="26" spans="1:8" x14ac:dyDescent="0.25">
      <c r="A26" s="13" t="s">
        <v>153</v>
      </c>
      <c r="B26">
        <v>3</v>
      </c>
      <c r="C26">
        <f>GETPIVOTDATA("1",$A$3,"1","CRJ")-GETPIVOTDATA("AMEL 1",$A$20,"AMEL 1","CRJ")</f>
        <v>0</v>
      </c>
      <c r="D26" s="13" t="s">
        <v>144</v>
      </c>
      <c r="E26">
        <v>1</v>
      </c>
      <c r="F26">
        <f>GETPIVOTDATA("2",$D$3,"2","B737")-GETPIVOTDATA("AMEL 2",$D$20,"AMEL 2","B737")</f>
        <v>1</v>
      </c>
    </row>
    <row r="27" spans="1:8" x14ac:dyDescent="0.25">
      <c r="A27" s="13" t="s">
        <v>64</v>
      </c>
      <c r="D27" s="13" t="s">
        <v>154</v>
      </c>
      <c r="E27">
        <v>1</v>
      </c>
      <c r="F27">
        <f>GETPIVOTDATA("2",$D$3,"2","B737 Max")-GETPIVOTDATA("AMEL 2",$D$20,"AMEL 2","B737 Max")</f>
        <v>1</v>
      </c>
    </row>
    <row r="28" spans="1:8" x14ac:dyDescent="0.25">
      <c r="A28" s="13" t="s">
        <v>27</v>
      </c>
      <c r="B28">
        <v>83</v>
      </c>
      <c r="D28" s="13" t="s">
        <v>151</v>
      </c>
      <c r="E28">
        <v>1</v>
      </c>
      <c r="F28">
        <f>GETPIVOTDATA("2",$D$3,"2","B777")-GETPIVOTDATA("AMEL 2",$D$20,"AMEL 2","B777")</f>
        <v>3</v>
      </c>
    </row>
    <row r="29" spans="1:8" x14ac:dyDescent="0.25">
      <c r="D29" s="13" t="s">
        <v>153</v>
      </c>
      <c r="E29">
        <v>1</v>
      </c>
      <c r="F29">
        <f>GETPIVOTDATA("2",$D$3,"2","CRJ")-GETPIVOTDATA("AMEL 2",$D$20,"AMEL 2","CRJ")</f>
        <v>0</v>
      </c>
    </row>
    <row r="30" spans="1:8" x14ac:dyDescent="0.25">
      <c r="D30" s="13" t="s">
        <v>64</v>
      </c>
    </row>
    <row r="31" spans="1:8" x14ac:dyDescent="0.25">
      <c r="D31" s="13" t="s">
        <v>27</v>
      </c>
      <c r="E31">
        <v>28</v>
      </c>
    </row>
    <row r="34" spans="1:5" x14ac:dyDescent="0.25">
      <c r="A34" t="s">
        <v>145</v>
      </c>
      <c r="B34">
        <v>6</v>
      </c>
      <c r="C34">
        <f>GETPIVOTDATA("AMEL 1",$A$20,"AMEL 1","A320")</f>
        <v>16</v>
      </c>
      <c r="E34">
        <f>SUM(B34:D34)</f>
        <v>22</v>
      </c>
    </row>
    <row r="35" spans="1:5" x14ac:dyDescent="0.25">
      <c r="A35" t="s">
        <v>146</v>
      </c>
      <c r="B35">
        <v>6</v>
      </c>
      <c r="D35">
        <f>GETPIVOTDATA("AMEL 3",$G$20,"AMEL 3","A330 Neo, A320 Neo")</f>
        <v>1</v>
      </c>
      <c r="E35">
        <f t="shared" ref="E35:E42" si="1">SUM(B35:D35)</f>
        <v>7</v>
      </c>
    </row>
    <row r="36" spans="1:5" x14ac:dyDescent="0.25">
      <c r="A36" t="s">
        <v>140</v>
      </c>
      <c r="B36">
        <v>1</v>
      </c>
      <c r="C36">
        <f>GETPIVOTDATA("AMEL 1",$A$20,"AMEL 1","A330")</f>
        <v>28</v>
      </c>
      <c r="E36">
        <f t="shared" si="1"/>
        <v>29</v>
      </c>
    </row>
    <row r="37" spans="1:5" x14ac:dyDescent="0.25">
      <c r="A37" t="s">
        <v>148</v>
      </c>
      <c r="B37">
        <v>10</v>
      </c>
      <c r="D37">
        <f>GETPIVOTDATA("AMEL 3",$G$20,"AMEL 3","A330 Neo, A320 Neo")</f>
        <v>1</v>
      </c>
      <c r="E37">
        <f t="shared" si="1"/>
        <v>11</v>
      </c>
    </row>
    <row r="38" spans="1:5" x14ac:dyDescent="0.25">
      <c r="A38" t="s">
        <v>149</v>
      </c>
      <c r="B38">
        <v>1</v>
      </c>
      <c r="C38">
        <f>GETPIVOTDATA("AMEL 1",$A$20,"AMEL 1","ATR")</f>
        <v>3</v>
      </c>
      <c r="E38">
        <f t="shared" si="1"/>
        <v>4</v>
      </c>
    </row>
    <row r="39" spans="1:5" x14ac:dyDescent="0.25">
      <c r="A39" t="s">
        <v>144</v>
      </c>
      <c r="B39">
        <v>1</v>
      </c>
      <c r="C39">
        <f>GETPIVOTDATA("AMEL 1",$A$20,"AMEL 1","B737")</f>
        <v>24</v>
      </c>
      <c r="E39">
        <f t="shared" si="1"/>
        <v>25</v>
      </c>
    </row>
    <row r="40" spans="1:5" x14ac:dyDescent="0.25">
      <c r="A40" t="s">
        <v>154</v>
      </c>
      <c r="B40">
        <v>1</v>
      </c>
      <c r="E40">
        <f t="shared" si="1"/>
        <v>1</v>
      </c>
    </row>
    <row r="41" spans="1:5" x14ac:dyDescent="0.25">
      <c r="A41" t="s">
        <v>151</v>
      </c>
      <c r="B41">
        <v>1</v>
      </c>
      <c r="C41">
        <f>GETPIVOTDATA("AMEL 1",$A$20,"AMEL 1","B777")</f>
        <v>9</v>
      </c>
      <c r="E41">
        <f t="shared" si="1"/>
        <v>10</v>
      </c>
    </row>
    <row r="42" spans="1:5" x14ac:dyDescent="0.25">
      <c r="A42" t="s">
        <v>153</v>
      </c>
      <c r="B42">
        <v>1</v>
      </c>
      <c r="C42">
        <f>GETPIVOTDATA("AMEL 1",$A$20,"AMEL 1","CRJ")</f>
        <v>3</v>
      </c>
      <c r="D42">
        <f>GETPIVOTDATA("AMEL 3",$G$20,"AMEL 3","CRJ")</f>
        <v>1</v>
      </c>
      <c r="E42">
        <f t="shared" si="1"/>
        <v>5</v>
      </c>
    </row>
    <row r="43" spans="1:5" x14ac:dyDescent="0.25">
      <c r="A43" t="s">
        <v>64</v>
      </c>
    </row>
  </sheetData>
  <autoFilter ref="L1:P1" xr:uid="{6FF4E999-53B8-4CE6-A7A8-87013430CBC5}">
    <sortState xmlns:xlrd2="http://schemas.microsoft.com/office/spreadsheetml/2017/richdata2" ref="L2:P10">
      <sortCondition descending="1" ref="P1"/>
    </sortState>
  </autoFilter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E68F-193D-4A37-8914-31ACF00DFA71}">
  <dimension ref="A3:I39"/>
  <sheetViews>
    <sheetView workbookViewId="0">
      <selection activeCell="A23" sqref="A23"/>
    </sheetView>
  </sheetViews>
  <sheetFormatPr defaultRowHeight="15" x14ac:dyDescent="0.25"/>
  <cols>
    <col min="1" max="1" width="16.140625" bestFit="1" customWidth="1"/>
    <col min="2" max="2" width="17.28515625" bestFit="1" customWidth="1"/>
    <col min="3" max="3" width="5.7109375" bestFit="1" customWidth="1"/>
    <col min="4" max="4" width="4.7109375" bestFit="1" customWidth="1"/>
    <col min="5" max="6" width="5.5703125" bestFit="1" customWidth="1"/>
    <col min="7" max="7" width="4.140625" bestFit="1" customWidth="1"/>
    <col min="8" max="8" width="7.42578125" bestFit="1" customWidth="1"/>
    <col min="9" max="9" width="11.7109375" bestFit="1" customWidth="1"/>
    <col min="10" max="10" width="7" bestFit="1" customWidth="1"/>
    <col min="11" max="11" width="9.85546875" bestFit="1" customWidth="1"/>
    <col min="12" max="12" width="6.28515625" bestFit="1" customWidth="1"/>
    <col min="13" max="13" width="5.140625" bestFit="1" customWidth="1"/>
    <col min="14" max="14" width="7" bestFit="1" customWidth="1"/>
    <col min="15" max="15" width="9" bestFit="1" customWidth="1"/>
    <col min="16" max="16" width="7.140625" bestFit="1" customWidth="1"/>
    <col min="17" max="17" width="4.28515625" bestFit="1" customWidth="1"/>
    <col min="18" max="18" width="9.28515625" bestFit="1" customWidth="1"/>
    <col min="19" max="19" width="5.140625" bestFit="1" customWidth="1"/>
    <col min="20" max="20" width="7" bestFit="1" customWidth="1"/>
    <col min="21" max="21" width="9.7109375" bestFit="1" customWidth="1"/>
    <col min="22" max="22" width="7.140625" bestFit="1" customWidth="1"/>
    <col min="23" max="23" width="5.140625" bestFit="1" customWidth="1"/>
    <col min="24" max="24" width="7" bestFit="1" customWidth="1"/>
    <col min="25" max="25" width="9.7109375" bestFit="1" customWidth="1"/>
    <col min="26" max="26" width="5.85546875" bestFit="1" customWidth="1"/>
    <col min="27" max="27" width="5.28515625" bestFit="1" customWidth="1"/>
    <col min="28" max="28" width="8.5703125" bestFit="1" customWidth="1"/>
    <col min="29" max="29" width="9" bestFit="1" customWidth="1"/>
    <col min="30" max="30" width="11.7109375" bestFit="1" customWidth="1"/>
    <col min="31" max="31" width="10.7109375" bestFit="1" customWidth="1"/>
  </cols>
  <sheetData>
    <row r="3" spans="1:9" x14ac:dyDescent="0.25">
      <c r="A3" s="12" t="s">
        <v>155</v>
      </c>
      <c r="B3" s="12" t="s">
        <v>3</v>
      </c>
    </row>
    <row r="4" spans="1:9" x14ac:dyDescent="0.25">
      <c r="A4" s="12" t="s">
        <v>4</v>
      </c>
      <c r="B4" t="s">
        <v>145</v>
      </c>
      <c r="C4" t="s">
        <v>140</v>
      </c>
      <c r="D4" t="s">
        <v>149</v>
      </c>
      <c r="E4" t="s">
        <v>144</v>
      </c>
      <c r="F4" t="s">
        <v>151</v>
      </c>
      <c r="G4" t="s">
        <v>153</v>
      </c>
      <c r="H4" t="s">
        <v>64</v>
      </c>
      <c r="I4" t="s">
        <v>27</v>
      </c>
    </row>
    <row r="5" spans="1:9" x14ac:dyDescent="0.25">
      <c r="A5" s="13" t="s">
        <v>46</v>
      </c>
    </row>
    <row r="6" spans="1:9" x14ac:dyDescent="0.25">
      <c r="A6" s="13" t="s">
        <v>47</v>
      </c>
    </row>
    <row r="7" spans="1:9" x14ac:dyDescent="0.25">
      <c r="A7" s="13" t="s">
        <v>48</v>
      </c>
      <c r="B7">
        <v>1</v>
      </c>
      <c r="C7">
        <v>3</v>
      </c>
      <c r="E7">
        <v>3</v>
      </c>
      <c r="F7">
        <v>2</v>
      </c>
      <c r="G7">
        <v>1</v>
      </c>
      <c r="I7">
        <v>10</v>
      </c>
    </row>
    <row r="8" spans="1:9" x14ac:dyDescent="0.25">
      <c r="A8" s="13" t="s">
        <v>49</v>
      </c>
      <c r="B8">
        <v>3</v>
      </c>
      <c r="C8">
        <v>5</v>
      </c>
      <c r="D8">
        <v>1</v>
      </c>
      <c r="E8">
        <v>2</v>
      </c>
      <c r="F8">
        <v>1</v>
      </c>
      <c r="I8">
        <v>12</v>
      </c>
    </row>
    <row r="9" spans="1:9" x14ac:dyDescent="0.25">
      <c r="A9" s="13" t="s">
        <v>50</v>
      </c>
      <c r="B9">
        <v>3</v>
      </c>
      <c r="C9">
        <v>2</v>
      </c>
      <c r="D9">
        <v>1</v>
      </c>
      <c r="E9">
        <v>4</v>
      </c>
      <c r="F9">
        <v>1</v>
      </c>
      <c r="I9">
        <v>11</v>
      </c>
    </row>
    <row r="10" spans="1:9" x14ac:dyDescent="0.25">
      <c r="A10" s="13" t="s">
        <v>51</v>
      </c>
      <c r="B10">
        <v>1</v>
      </c>
      <c r="C10">
        <v>3</v>
      </c>
      <c r="D10">
        <v>1</v>
      </c>
      <c r="E10">
        <v>3</v>
      </c>
      <c r="F10">
        <v>2</v>
      </c>
      <c r="I10">
        <v>10</v>
      </c>
    </row>
    <row r="11" spans="1:9" x14ac:dyDescent="0.25">
      <c r="A11" s="13" t="s">
        <v>52</v>
      </c>
      <c r="B11">
        <v>4</v>
      </c>
      <c r="C11">
        <v>4</v>
      </c>
      <c r="E11">
        <v>3</v>
      </c>
      <c r="F11">
        <v>1</v>
      </c>
      <c r="I11">
        <v>12</v>
      </c>
    </row>
    <row r="12" spans="1:9" x14ac:dyDescent="0.25">
      <c r="A12" s="13" t="s">
        <v>53</v>
      </c>
      <c r="B12">
        <v>4</v>
      </c>
      <c r="C12">
        <v>7</v>
      </c>
      <c r="E12">
        <v>6</v>
      </c>
      <c r="F12">
        <v>1</v>
      </c>
      <c r="G12">
        <v>1</v>
      </c>
      <c r="I12">
        <v>19</v>
      </c>
    </row>
    <row r="13" spans="1:9" x14ac:dyDescent="0.25">
      <c r="A13" s="13" t="s">
        <v>54</v>
      </c>
      <c r="C13">
        <v>1</v>
      </c>
      <c r="I13">
        <v>1</v>
      </c>
    </row>
    <row r="14" spans="1:9" x14ac:dyDescent="0.25">
      <c r="A14" s="13" t="s">
        <v>55</v>
      </c>
      <c r="C14">
        <v>2</v>
      </c>
      <c r="G14">
        <v>1</v>
      </c>
      <c r="I14">
        <v>3</v>
      </c>
    </row>
    <row r="15" spans="1:9" x14ac:dyDescent="0.25">
      <c r="A15" s="13" t="s">
        <v>56</v>
      </c>
    </row>
    <row r="16" spans="1:9" x14ac:dyDescent="0.25">
      <c r="A16" s="13" t="s">
        <v>57</v>
      </c>
    </row>
    <row r="17" spans="1:9" x14ac:dyDescent="0.25">
      <c r="A17" s="13" t="s">
        <v>58</v>
      </c>
      <c r="C17">
        <v>1</v>
      </c>
      <c r="E17">
        <v>3</v>
      </c>
      <c r="F17">
        <v>1</v>
      </c>
      <c r="I17">
        <v>5</v>
      </c>
    </row>
    <row r="18" spans="1:9" x14ac:dyDescent="0.25">
      <c r="A18" s="13" t="s">
        <v>59</v>
      </c>
    </row>
    <row r="19" spans="1:9" x14ac:dyDescent="0.25">
      <c r="A19" s="13" t="s">
        <v>27</v>
      </c>
      <c r="B19">
        <v>16</v>
      </c>
      <c r="C19">
        <v>28</v>
      </c>
      <c r="D19">
        <v>3</v>
      </c>
      <c r="E19">
        <v>24</v>
      </c>
      <c r="F19">
        <v>9</v>
      </c>
      <c r="G19">
        <v>3</v>
      </c>
      <c r="I19">
        <v>83</v>
      </c>
    </row>
    <row r="23" spans="1:9" x14ac:dyDescent="0.25">
      <c r="A23" s="12" t="s">
        <v>155</v>
      </c>
      <c r="B23" s="12" t="s">
        <v>3</v>
      </c>
    </row>
    <row r="24" spans="1:9" x14ac:dyDescent="0.25">
      <c r="A24" s="12" t="s">
        <v>4</v>
      </c>
      <c r="B24" t="s">
        <v>145</v>
      </c>
      <c r="C24" t="s">
        <v>140</v>
      </c>
      <c r="D24" t="s">
        <v>149</v>
      </c>
      <c r="E24" t="s">
        <v>144</v>
      </c>
      <c r="F24" t="s">
        <v>151</v>
      </c>
      <c r="G24" t="s">
        <v>153</v>
      </c>
      <c r="H24" t="s">
        <v>64</v>
      </c>
      <c r="I24" t="s">
        <v>27</v>
      </c>
    </row>
    <row r="25" spans="1:9" x14ac:dyDescent="0.25">
      <c r="A25" s="13" t="s">
        <v>46</v>
      </c>
    </row>
    <row r="26" spans="1:9" x14ac:dyDescent="0.25">
      <c r="A26" s="13" t="s">
        <v>47</v>
      </c>
    </row>
    <row r="27" spans="1:9" x14ac:dyDescent="0.25">
      <c r="A27" s="13" t="s">
        <v>48</v>
      </c>
      <c r="B27">
        <v>1</v>
      </c>
      <c r="C27">
        <v>3</v>
      </c>
      <c r="E27">
        <v>3</v>
      </c>
      <c r="F27">
        <v>2</v>
      </c>
      <c r="G27">
        <v>1</v>
      </c>
      <c r="I27">
        <v>10</v>
      </c>
    </row>
    <row r="28" spans="1:9" x14ac:dyDescent="0.25">
      <c r="A28" s="13" t="s">
        <v>49</v>
      </c>
      <c r="B28">
        <v>3</v>
      </c>
      <c r="C28">
        <v>5</v>
      </c>
      <c r="D28">
        <v>1</v>
      </c>
      <c r="E28">
        <v>2</v>
      </c>
      <c r="F28">
        <v>1</v>
      </c>
      <c r="I28">
        <v>12</v>
      </c>
    </row>
    <row r="29" spans="1:9" x14ac:dyDescent="0.25">
      <c r="A29" s="13" t="s">
        <v>50</v>
      </c>
      <c r="B29">
        <v>3</v>
      </c>
      <c r="C29">
        <v>2</v>
      </c>
      <c r="D29">
        <v>1</v>
      </c>
      <c r="E29">
        <v>4</v>
      </c>
      <c r="F29">
        <v>1</v>
      </c>
      <c r="I29">
        <v>11</v>
      </c>
    </row>
    <row r="30" spans="1:9" x14ac:dyDescent="0.25">
      <c r="A30" s="13" t="s">
        <v>51</v>
      </c>
      <c r="B30">
        <v>1</v>
      </c>
      <c r="C30">
        <v>3</v>
      </c>
      <c r="D30">
        <v>1</v>
      </c>
      <c r="E30">
        <v>3</v>
      </c>
      <c r="F30">
        <v>2</v>
      </c>
      <c r="I30">
        <v>10</v>
      </c>
    </row>
    <row r="31" spans="1:9" x14ac:dyDescent="0.25">
      <c r="A31" s="13" t="s">
        <v>52</v>
      </c>
      <c r="B31">
        <v>4</v>
      </c>
      <c r="C31">
        <v>4</v>
      </c>
      <c r="E31">
        <v>3</v>
      </c>
      <c r="F31">
        <v>1</v>
      </c>
      <c r="I31">
        <v>12</v>
      </c>
    </row>
    <row r="32" spans="1:9" x14ac:dyDescent="0.25">
      <c r="A32" s="13" t="s">
        <v>53</v>
      </c>
      <c r="B32">
        <v>4</v>
      </c>
      <c r="C32">
        <v>7</v>
      </c>
      <c r="E32">
        <v>6</v>
      </c>
      <c r="F32">
        <v>1</v>
      </c>
      <c r="G32">
        <v>1</v>
      </c>
      <c r="I32">
        <v>19</v>
      </c>
    </row>
    <row r="33" spans="1:9" x14ac:dyDescent="0.25">
      <c r="A33" s="13" t="s">
        <v>54</v>
      </c>
      <c r="C33">
        <v>1</v>
      </c>
      <c r="I33">
        <v>1</v>
      </c>
    </row>
    <row r="34" spans="1:9" x14ac:dyDescent="0.25">
      <c r="A34" s="13" t="s">
        <v>55</v>
      </c>
      <c r="C34">
        <v>2</v>
      </c>
      <c r="G34">
        <v>1</v>
      </c>
      <c r="I34">
        <v>3</v>
      </c>
    </row>
    <row r="35" spans="1:9" x14ac:dyDescent="0.25">
      <c r="A35" s="13" t="s">
        <v>56</v>
      </c>
    </row>
    <row r="36" spans="1:9" x14ac:dyDescent="0.25">
      <c r="A36" s="13" t="s">
        <v>57</v>
      </c>
    </row>
    <row r="37" spans="1:9" x14ac:dyDescent="0.25">
      <c r="A37" s="13" t="s">
        <v>58</v>
      </c>
      <c r="C37">
        <v>1</v>
      </c>
      <c r="E37">
        <v>3</v>
      </c>
      <c r="F37">
        <v>1</v>
      </c>
      <c r="I37">
        <v>5</v>
      </c>
    </row>
    <row r="38" spans="1:9" x14ac:dyDescent="0.25">
      <c r="A38" s="13" t="s">
        <v>59</v>
      </c>
    </row>
    <row r="39" spans="1:9" x14ac:dyDescent="0.25">
      <c r="A39" s="13" t="s">
        <v>27</v>
      </c>
      <c r="B39">
        <v>16</v>
      </c>
      <c r="C39">
        <v>28</v>
      </c>
      <c r="D39">
        <v>3</v>
      </c>
      <c r="E39">
        <v>24</v>
      </c>
      <c r="F39">
        <v>9</v>
      </c>
      <c r="G39">
        <v>3</v>
      </c>
      <c r="I39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B90-7A86-423B-8F03-842947268DD3}">
  <sheetPr>
    <tabColor rgb="FF92D050"/>
  </sheetPr>
  <dimension ref="A2:CJ418"/>
  <sheetViews>
    <sheetView tabSelected="1" zoomScale="80" zoomScaleNormal="80" workbookViewId="0">
      <pane xSplit="7" ySplit="5" topLeftCell="L6" activePane="bottomRight" state="frozen"/>
      <selection pane="topRight" activeCell="H1" sqref="H1"/>
      <selection pane="bottomLeft" activeCell="A3" sqref="A3"/>
      <selection pane="bottomRight" activeCell="M14" sqref="M14"/>
    </sheetView>
  </sheetViews>
  <sheetFormatPr defaultRowHeight="15" x14ac:dyDescent="0.25"/>
  <cols>
    <col min="1" max="1" width="5.140625" customWidth="1"/>
    <col min="3" max="3" width="33.85546875" customWidth="1"/>
    <col min="4" max="4" width="42.42578125" customWidth="1"/>
    <col min="5" max="6" width="8.85546875" hidden="1" customWidth="1"/>
    <col min="7" max="7" width="8.85546875" customWidth="1"/>
    <col min="8" max="8" width="10.42578125" customWidth="1"/>
    <col min="9" max="9" width="8.85546875" customWidth="1"/>
    <col min="10" max="10" width="10.7109375" customWidth="1"/>
    <col min="11" max="11" width="9.140625" customWidth="1"/>
    <col min="12" max="12" width="11.140625" customWidth="1"/>
    <col min="13" max="13" width="9.140625" customWidth="1"/>
    <col min="14" max="14" width="11" customWidth="1"/>
    <col min="15" max="15" width="8.85546875" customWidth="1"/>
    <col min="16" max="16" width="10.7109375" customWidth="1"/>
    <col min="17" max="17" width="10" customWidth="1"/>
    <col min="18" max="18" width="10.7109375" customWidth="1"/>
    <col min="19" max="19" width="8.85546875" customWidth="1"/>
    <col min="20" max="20" width="10.7109375" customWidth="1"/>
    <col min="21" max="21" width="10" customWidth="1"/>
    <col min="22" max="22" width="10.7109375" customWidth="1"/>
    <col min="23" max="23" width="10.140625" customWidth="1"/>
    <col min="24" max="24" width="10.7109375" customWidth="1"/>
    <col min="25" max="25" width="8.85546875" customWidth="1"/>
    <col min="26" max="26" width="10.5703125" customWidth="1"/>
    <col min="27" max="27" width="10.140625" customWidth="1"/>
    <col min="28" max="28" width="11" customWidth="1"/>
    <col min="29" max="29" width="10.28515625" customWidth="1"/>
    <col min="30" max="30" width="10.7109375" customWidth="1"/>
    <col min="31" max="31" width="11.140625" customWidth="1"/>
    <col min="32" max="32" width="11.28515625" customWidth="1"/>
    <col min="33" max="33" width="11" customWidth="1"/>
    <col min="34" max="34" width="10.140625" customWidth="1"/>
    <col min="35" max="35" width="10.42578125" customWidth="1"/>
    <col min="36" max="36" width="11.140625" customWidth="1"/>
    <col min="37" max="41" width="8.85546875" customWidth="1"/>
    <col min="42" max="42" width="10.140625" customWidth="1"/>
    <col min="43" max="43" width="10.42578125" customWidth="1"/>
    <col min="44" max="44" width="10" customWidth="1"/>
    <col min="45" max="45" width="9.85546875" customWidth="1"/>
    <col min="46" max="46" width="10.140625" customWidth="1"/>
    <col min="47" max="53" width="8.85546875" customWidth="1"/>
    <col min="54" max="54" width="23.5703125" customWidth="1"/>
    <col min="55" max="55" width="8.85546875" customWidth="1"/>
    <col min="56" max="56" width="10.28515625" customWidth="1"/>
    <col min="57" max="57" width="9.85546875" customWidth="1"/>
    <col min="58" max="58" width="10.140625" customWidth="1"/>
    <col min="59" max="60" width="11.140625" customWidth="1"/>
    <col min="61" max="61" width="10.7109375" customWidth="1"/>
    <col min="62" max="62" width="9.5703125" customWidth="1"/>
    <col min="63" max="64" width="9.140625" customWidth="1"/>
    <col min="65" max="65" width="8.85546875" customWidth="1"/>
    <col min="66" max="66" width="16.28515625" customWidth="1"/>
    <col min="67" max="67" width="8.85546875" customWidth="1"/>
    <col min="68" max="68" width="9.7109375" customWidth="1"/>
    <col min="69" max="70" width="8.85546875" customWidth="1"/>
    <col min="71" max="71" width="11.140625" customWidth="1"/>
    <col min="72" max="80" width="8.85546875" customWidth="1"/>
    <col min="81" max="81" width="10.140625" customWidth="1"/>
    <col min="82" max="83" width="11.85546875" customWidth="1"/>
    <col min="85" max="86" width="11.42578125" customWidth="1"/>
    <col min="87" max="87" width="11.140625" hidden="1" customWidth="1"/>
    <col min="88" max="88" width="10.7109375" hidden="1" customWidth="1"/>
  </cols>
  <sheetData>
    <row r="2" spans="1:88" x14ac:dyDescent="0.25">
      <c r="A2" t="s">
        <v>158</v>
      </c>
      <c r="B2" t="s">
        <v>159</v>
      </c>
      <c r="C2" t="s">
        <v>160</v>
      </c>
      <c r="D2" t="s">
        <v>62</v>
      </c>
      <c r="E2" t="s">
        <v>161</v>
      </c>
      <c r="F2" t="s">
        <v>162</v>
      </c>
      <c r="G2" s="1" t="s">
        <v>0</v>
      </c>
      <c r="H2" s="1" t="s">
        <v>33</v>
      </c>
      <c r="I2" s="1" t="s">
        <v>163</v>
      </c>
      <c r="J2" s="1" t="s">
        <v>34</v>
      </c>
      <c r="K2" s="1" t="s">
        <v>164</v>
      </c>
      <c r="L2" s="1" t="s">
        <v>35</v>
      </c>
      <c r="M2" s="1" t="s">
        <v>165</v>
      </c>
      <c r="N2" s="1" t="s">
        <v>36</v>
      </c>
      <c r="O2" s="1" t="s">
        <v>166</v>
      </c>
      <c r="P2" s="1" t="s">
        <v>37</v>
      </c>
      <c r="Q2" s="1" t="s">
        <v>167</v>
      </c>
      <c r="R2" s="1" t="s">
        <v>38</v>
      </c>
      <c r="S2" s="1" t="s">
        <v>168</v>
      </c>
      <c r="T2" s="1" t="s">
        <v>39</v>
      </c>
      <c r="U2" s="1" t="s">
        <v>169</v>
      </c>
      <c r="V2" s="1" t="s">
        <v>40</v>
      </c>
      <c r="W2" s="1" t="s">
        <v>170</v>
      </c>
      <c r="X2" s="1" t="s">
        <v>41</v>
      </c>
      <c r="Y2" s="1" t="s">
        <v>171</v>
      </c>
      <c r="Z2" s="1" t="s">
        <v>42</v>
      </c>
      <c r="AA2" s="1" t="s">
        <v>172</v>
      </c>
      <c r="AB2" s="1" t="s">
        <v>173</v>
      </c>
      <c r="AC2" s="1" t="s">
        <v>174</v>
      </c>
      <c r="AD2" s="1" t="s">
        <v>175</v>
      </c>
      <c r="AE2" s="1" t="s">
        <v>176</v>
      </c>
      <c r="AF2" s="1" t="s">
        <v>177</v>
      </c>
      <c r="AG2" s="1" t="s">
        <v>178</v>
      </c>
      <c r="AH2" s="2" t="s">
        <v>179</v>
      </c>
      <c r="AI2" s="2" t="s">
        <v>180</v>
      </c>
      <c r="AJ2" s="2" t="s">
        <v>181</v>
      </c>
      <c r="AK2" t="s">
        <v>182</v>
      </c>
      <c r="AL2" t="s">
        <v>183</v>
      </c>
      <c r="AM2" t="s">
        <v>184</v>
      </c>
      <c r="AN2" s="2" t="s">
        <v>185</v>
      </c>
      <c r="AO2" t="s">
        <v>186</v>
      </c>
      <c r="AP2" t="s">
        <v>187</v>
      </c>
      <c r="AQ2" s="1" t="s">
        <v>188</v>
      </c>
      <c r="AR2" s="1" t="s">
        <v>189</v>
      </c>
      <c r="AS2" s="1" t="s">
        <v>190</v>
      </c>
      <c r="AT2" s="2" t="s">
        <v>191</v>
      </c>
      <c r="AU2" t="s">
        <v>192</v>
      </c>
      <c r="AV2" t="s">
        <v>193</v>
      </c>
      <c r="AW2" t="s">
        <v>194</v>
      </c>
      <c r="AX2" t="s">
        <v>195</v>
      </c>
      <c r="AY2" t="s">
        <v>196</v>
      </c>
      <c r="AZ2" t="s">
        <v>197</v>
      </c>
      <c r="BA2" t="s">
        <v>198</v>
      </c>
      <c r="BB2" s="1" t="s">
        <v>199</v>
      </c>
      <c r="BC2" t="s">
        <v>200</v>
      </c>
      <c r="BD2" s="2" t="s">
        <v>201</v>
      </c>
      <c r="BE2" s="3" t="s">
        <v>202</v>
      </c>
      <c r="BF2" s="3" t="s">
        <v>203</v>
      </c>
      <c r="BG2" s="3" t="s">
        <v>204</v>
      </c>
      <c r="BH2" s="3" t="s">
        <v>205</v>
      </c>
      <c r="BI2" s="3" t="s">
        <v>60</v>
      </c>
      <c r="BJ2" s="3" t="s">
        <v>206</v>
      </c>
      <c r="BK2" s="3" t="s">
        <v>207</v>
      </c>
      <c r="BL2" s="3" t="s">
        <v>208</v>
      </c>
      <c r="BM2" t="s">
        <v>209</v>
      </c>
      <c r="BN2" t="s">
        <v>210</v>
      </c>
      <c r="BO2" t="s">
        <v>211</v>
      </c>
      <c r="BP2" s="3" t="s">
        <v>212</v>
      </c>
      <c r="BQ2" s="3" t="s">
        <v>213</v>
      </c>
      <c r="BR2" s="3" t="s">
        <v>214</v>
      </c>
      <c r="BS2" s="3" t="s">
        <v>215</v>
      </c>
      <c r="BT2" s="1" t="s">
        <v>216</v>
      </c>
      <c r="BU2" t="s">
        <v>217</v>
      </c>
      <c r="BV2" t="s">
        <v>218</v>
      </c>
      <c r="BW2" t="s">
        <v>219</v>
      </c>
      <c r="BX2" t="s">
        <v>220</v>
      </c>
      <c r="BY2" t="s">
        <v>221</v>
      </c>
      <c r="BZ2" t="s">
        <v>65</v>
      </c>
      <c r="CA2" t="s">
        <v>222</v>
      </c>
      <c r="CB2" t="s">
        <v>223</v>
      </c>
      <c r="CC2" t="s">
        <v>66</v>
      </c>
      <c r="CD2" s="1" t="s">
        <v>224</v>
      </c>
      <c r="CE2" s="1" t="s">
        <v>225</v>
      </c>
      <c r="CF2" t="s">
        <v>226</v>
      </c>
      <c r="CG2" s="1" t="s">
        <v>227</v>
      </c>
      <c r="CH2" s="1" t="s">
        <v>228</v>
      </c>
      <c r="CI2" t="s">
        <v>229</v>
      </c>
      <c r="CJ2" t="s">
        <v>230</v>
      </c>
    </row>
    <row r="3" spans="1:88" x14ac:dyDescent="0.25">
      <c r="A3">
        <v>1</v>
      </c>
      <c r="B3">
        <v>533380</v>
      </c>
      <c r="C3" t="s">
        <v>231</v>
      </c>
      <c r="D3" t="s">
        <v>19</v>
      </c>
      <c r="E3" t="s">
        <v>232</v>
      </c>
      <c r="F3" t="s">
        <v>233</v>
      </c>
      <c r="G3" t="s">
        <v>46</v>
      </c>
      <c r="H3" s="4">
        <v>46925</v>
      </c>
      <c r="I3" s="4" t="str">
        <f ca="1">IF(
  _xlfn.XLOOKUP($D3 &amp; "-" &amp; H$2, 'TrainingReq (Ach)'!G:G, 'TrainingReq (Ach)'!F:F, "2-Year") = "Forever",
  "Valid",
  IF(H3="", "Not Trained",
     IF(H3 &lt; TODAY() - 1, "Expired",
        IF(H3 &lt;= TODAY() + 90, "Expiring", "Valid")
     )
  )
)</f>
        <v>Valid</v>
      </c>
      <c r="J3" s="4">
        <v>46925</v>
      </c>
      <c r="K3" s="4" t="str">
        <f ca="1">IF(
  _xlfn.XLOOKUP($D3 &amp; "-" &amp; J$2, 'TrainingReq (Ach)'!G:G, 'TrainingReq (Ach)'!F:F, "2-Year") = "Forever",
  "Valid",
  IF(J3="", "Not Trained",
     IF(J3 &lt; TODAY() - 1, "Expired",
        IF(J3 &lt;= TODAY() + 90, "Expiring", "Valid")
     )
  )
)</f>
        <v>Valid</v>
      </c>
      <c r="L3" s="4">
        <v>44692</v>
      </c>
      <c r="M3" s="4" t="str">
        <f ca="1">IF(
  _xlfn.XLOOKUP($D3 &amp; "-" &amp; L$2, TrainingMan!$G:$G, TrainingMan!$F:$F, "2-Year") = "Forever",
  "Valid",
  IF(L3="", "Not Trained",
     IF(L3 &lt; TODAY() - 1, "Expired",
        IF(L3 &lt;= TODAY() + 90, "Expiring", "Valid")
     )
  )
)</f>
        <v>Valid</v>
      </c>
      <c r="N3" s="4"/>
      <c r="O3" s="4" t="str">
        <f ca="1">IF(
  _xlfn.XLOOKUP($D3 &amp; "-" &amp; N$2, TrainingMan!$G:$G, TrainingMan!$F:$F, "2-Year") = "Forever",
  "Valid",
  IF(N3="", "Not Trained",
     IF(N3 &lt; TODAY() - 1, "Expired",
        IF(N3 &lt;= TODAY() + 90, "Expiring", "Valid")
     )
  )
)</f>
        <v>Valid</v>
      </c>
      <c r="P3" s="4"/>
      <c r="Q3" s="4" t="str">
        <f ca="1">IF(
  _xlfn.XLOOKUP($D3 &amp; "-" &amp; P$2, TrainingMan!$G:$G, TrainingMan!$F:$F, "2-Year") = "Forever",
  "Valid",
  IF(P3="", "Not Trained",
     IF(P3 &lt; TODAY() - 1, "Expired",
        IF(P3 &lt;= TODAY() + 90, "Expiring", "Valid")
     )
  )
)</f>
        <v>Valid</v>
      </c>
      <c r="R3" s="4"/>
      <c r="S3" s="4" t="str">
        <f ca="1">IF(
  _xlfn.XLOOKUP($D3 &amp; "-" &amp; R$2, TrainingMan!$G:$G, TrainingMan!$F:$F, "2-Year") = "Forever",
  "Valid",
  IF(R3="", "Not Trained",
     IF(R3 &lt; TODAY() - 1, "Expired",
        IF(R3 &lt;= TODAY() + 90, "Expiring", "Valid")
     )
  )
)</f>
        <v>Valid</v>
      </c>
      <c r="T3" s="4">
        <v>42450</v>
      </c>
      <c r="U3" s="4" t="str">
        <f ca="1">IF(
  _xlfn.XLOOKUP($D3 &amp; "-" &amp; T$2, TrainingMan!$G:$G, TrainingMan!$F:$F, "2-Year") = "Forever",
  "Valid",
  IF(T3="", "Not Trained",
     IF(T3 &lt; TODAY() - 1, "Expired",
        IF(T3 &lt;= TODAY() + 90, "Expiring", "Valid")
     )
  )
)</f>
        <v>Valid</v>
      </c>
      <c r="V3" s="4">
        <v>42352</v>
      </c>
      <c r="W3" s="4" t="str">
        <f ca="1">IF(
  _xlfn.XLOOKUP($D3 &amp; "-" &amp; V$2, TrainingMan!$G:$G, TrainingMan!$F:$F, "2-Year") = "Forever",
  "Valid",
  IF(V3="", "Not Trained",
     IF(V3 &lt; TODAY() - 1, "Expired",
        IF(V3 &lt;= TODAY() + 90, "Expiring", "Valid")
     )
  )
)</f>
        <v>Valid</v>
      </c>
      <c r="X3" s="4"/>
      <c r="Y3" s="4" t="str">
        <f ca="1">IF(
  _xlfn.XLOOKUP($D3 &amp; "-" &amp; X$2, TrainingMan!$G:$G, TrainingMan!$F:$F, "2-Year") = "Forever",
  "Valid",
  IF(X3="", "Not Trained",
     IF(X3 &lt; TODAY() - 1, "Expired",
        IF(X3 &lt;= TODAY() + 90, "Expiring", "Valid")
     )
  )
)</f>
        <v>Valid</v>
      </c>
      <c r="Z3" s="4">
        <v>42367</v>
      </c>
      <c r="AA3" s="4" t="str">
        <f ca="1">IF(LEN(TRIM(Z3)) = 0, "Not Trained",
  IF(_xlfn.XLOOKUP($D3 &amp; "-" &amp; Z$2, TrainingMan!$G:$G, TrainingMan!$F:$F, "2-Year") = "Forever", "Valid",
    IF(Z3 &lt; TODAY() - 1, "Expired",
      IF(Z3 &lt;= TODAY() + 90, "Expiring", "Valid")
    )
  )
)</f>
        <v>Valid</v>
      </c>
      <c r="AB3" s="4"/>
      <c r="AC3" s="4"/>
      <c r="AD3" s="4"/>
      <c r="AE3" s="4"/>
      <c r="AF3" s="4"/>
      <c r="AG3" s="4"/>
      <c r="AH3" s="4"/>
      <c r="AI3" s="4"/>
      <c r="AJ3" s="4"/>
      <c r="AN3" s="4"/>
      <c r="AQ3" s="4">
        <v>43203</v>
      </c>
      <c r="AR3" s="4"/>
      <c r="AS3" s="4">
        <v>45073</v>
      </c>
      <c r="AT3" s="4"/>
      <c r="AU3" s="4"/>
      <c r="AZ3" t="s">
        <v>234</v>
      </c>
      <c r="BA3" t="s">
        <v>235</v>
      </c>
      <c r="BB3" s="4"/>
      <c r="BC3" s="4"/>
      <c r="BD3" s="4" t="s">
        <v>236</v>
      </c>
      <c r="BE3" s="4"/>
      <c r="BF3" s="4"/>
      <c r="BG3" s="4">
        <v>40735</v>
      </c>
      <c r="BH3" s="4"/>
      <c r="BI3" s="4"/>
      <c r="BJ3" s="4"/>
      <c r="BK3" s="4"/>
      <c r="BL3" s="4"/>
      <c r="BM3" s="4"/>
      <c r="BN3" s="4"/>
      <c r="BO3" s="4"/>
      <c r="BP3" s="4"/>
      <c r="BQ3">
        <f>COUNTIF('TrainingReq (Ach)'!B:B,Table13[[#This Row],[Job Title]])</f>
        <v>2</v>
      </c>
      <c r="BR3" cm="1">
        <f t="array" aca="1" ref="BR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2</v>
      </c>
      <c r="BS3" s="5">
        <f t="shared" ref="BS3:BS66" ca="1" si="0">BR3/BQ3</f>
        <v>1</v>
      </c>
      <c r="BT3" t="s">
        <v>237</v>
      </c>
      <c r="BU3" t="s">
        <v>238</v>
      </c>
      <c r="BW3" s="4"/>
      <c r="CD3" s="6"/>
      <c r="CE3" s="4" t="str">
        <f ca="1">IF(
  _xlfn.XLOOKUP($D3 &amp; "-" &amp; CD$2, 'TrainingReq (Ach)'!$G:$G, 'TrainingReq (Ach)'!$F:$F, "2-Year") = "Forever",
  "Valid",
  IF(CD3="", "Not Trained",
     IF(CD3 &lt; TODAY() - 1, "Expired",
        IF(CD3 &lt;= TODAY() + 90, "Expiring", "Valid")
     )
  )
)</f>
        <v>Not Trained</v>
      </c>
      <c r="CF3" t="s">
        <v>239</v>
      </c>
      <c r="CG3" s="6"/>
      <c r="CH3" s="4" t="str">
        <f ca="1">IF(
  _xlfn.XLOOKUP($D3 &amp; "-" &amp; CF$2, '[1]TrainingReq (Ach)'!$G:$G, '[1]TrainingReq (Ach)'!$F:$F, "2-Year") = "Forever",
  "Valid",
  IF(CF3="", "Not Trained",
     IF(CF3 &lt; TODAY() - 1, "Expired",
        IF(CF3 &lt;= TODAY() + 90, "Expiring", "Valid")
     )
  )
)</f>
        <v>Valid</v>
      </c>
      <c r="CI3" t="str">
        <f t="shared" ref="CI3:CI66" si="1">IF(BW3&lt;&gt;"","Eligible","Not eligible")</f>
        <v>Not eligible</v>
      </c>
      <c r="CJ3" t="str">
        <f t="shared" ref="CJ3:CJ66" si="2">IF(BX3&lt;&gt;"","Eligible","Not eligible")</f>
        <v>Not eligible</v>
      </c>
    </row>
    <row r="4" spans="1:88" ht="15.75" x14ac:dyDescent="0.25">
      <c r="A4">
        <v>2</v>
      </c>
      <c r="B4">
        <v>783543</v>
      </c>
      <c r="C4" t="s">
        <v>240</v>
      </c>
      <c r="D4" t="s">
        <v>20</v>
      </c>
      <c r="G4" t="s">
        <v>46</v>
      </c>
      <c r="H4" s="4">
        <v>46655</v>
      </c>
      <c r="I4" s="4" t="str">
        <f ca="1">IF(
  _xlfn.XLOOKUP($D4 &amp; "-" &amp; H$2, 'TrainingReq (Ach)'!G:G, 'TrainingReq (Ach)'!F:F, "2-Year") = "Forever",
  "Valid",
  IF(H4="", "Not Trained",
     IF(H4 &lt; TODAY() - 1, "Expired",
        IF(H4 &lt;= TODAY() + 90, "Expiring", "Valid")
     )
  )
)</f>
        <v>Valid</v>
      </c>
      <c r="J4" s="4">
        <v>46655</v>
      </c>
      <c r="K4" s="4" t="str">
        <f ca="1">IF(
  _xlfn.XLOOKUP($D4 &amp; "-" &amp; J$2, 'TrainingReq (Ach)'!G:G, 'TrainingReq (Ach)'!F:F, "2-Year") = "Forever",
  "Valid",
  IF(J4="", "Not Trained",
     IF(J4 &lt; TODAY() - 1, "Expired",
        IF(J4 &lt;= TODAY() + 90, "Expiring", "Valid")
     )
  )
)</f>
        <v>Valid</v>
      </c>
      <c r="L4" s="4">
        <v>46655</v>
      </c>
      <c r="M4" s="4" t="str">
        <f ca="1">IF(
  _xlfn.XLOOKUP($D4 &amp; "-" &amp; L$2, TrainingMan!$G:$G, TrainingMan!$F:$F, "2-Year") = "Forever",
  "Valid",
  IF(L4="", "Not Trained",
     IF(L4 &lt; TODAY() - 1, "Expired",
        IF(L4 &lt;= TODAY() + 90, "Expiring", "Valid")
     )
  )
)</f>
        <v>Valid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N4" s="4"/>
      <c r="AP4" s="4"/>
      <c r="AQ4" s="4"/>
      <c r="AR4" s="4"/>
      <c r="AS4" s="4"/>
      <c r="AT4" s="4"/>
      <c r="AU4" s="4"/>
      <c r="BB4" s="4"/>
      <c r="BC4" s="4"/>
      <c r="BD4" s="4">
        <v>45965</v>
      </c>
      <c r="BE4" s="4"/>
      <c r="BF4" s="4"/>
      <c r="BG4" s="4"/>
      <c r="BH4" s="4">
        <v>46041</v>
      </c>
      <c r="BI4" s="4"/>
      <c r="BJ4" s="4"/>
      <c r="BK4" s="4"/>
      <c r="BL4" s="4"/>
      <c r="BM4" s="4"/>
      <c r="BN4" s="4"/>
      <c r="BO4" s="4"/>
      <c r="BP4" s="4"/>
      <c r="BQ4">
        <f>COUNTIF('TrainingReq (Ach)'!B:B,Table13[[#This Row],[Job Title]])</f>
        <v>3</v>
      </c>
      <c r="BR4" cm="1">
        <f t="array" aca="1" ref="BR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4" s="16">
        <f t="shared" ca="1" si="0"/>
        <v>1</v>
      </c>
      <c r="BW4" s="4"/>
      <c r="CD4" s="6"/>
      <c r="CE4" s="4" t="str">
        <f ca="1">IF(
  _xlfn.XLOOKUP($D4 &amp; "-" &amp; CD$2, 'TrainingReq (Ach)'!$G:$G, 'TrainingReq (Ach)'!$F:$F, "2-Year") = "Forever",
  "Valid",
  IF(CD4="", "Not Trained",
     IF(CD4 &lt; TODAY() - 1, "Expired",
        IF(CD4 &lt;= TODAY() + 90, "Expiring", "Valid")
     )
  )
)</f>
        <v>Not Trained</v>
      </c>
      <c r="CG4" s="6"/>
      <c r="CH4" s="4" t="str">
        <f ca="1">IF(
  _xlfn.XLOOKUP($D3 &amp; "-" &amp; CG$2, 'TrainingReq (Ach)'!$G:$G, 'TrainingReq (Ach)'!$F:$F, "2-Year") = "Forever",
  "Valid",
  IF(CG3="", "Not Trained",
     IF(CG3 &lt; TODAY() - 1, "Expired",
        IF(CG3 &lt;= TODAY() + 90, "Expiring", "Valid")
     )
  )
)</f>
        <v>Not Trained</v>
      </c>
      <c r="CI4" t="str">
        <f t="shared" si="1"/>
        <v>Not eligible</v>
      </c>
      <c r="CJ4" t="str">
        <f t="shared" si="2"/>
        <v>Not eligible</v>
      </c>
    </row>
    <row r="5" spans="1:88" x14ac:dyDescent="0.25">
      <c r="A5">
        <v>3</v>
      </c>
      <c r="B5">
        <v>532995</v>
      </c>
      <c r="C5" t="s">
        <v>241</v>
      </c>
      <c r="D5" t="s">
        <v>21</v>
      </c>
      <c r="G5" t="s">
        <v>47</v>
      </c>
      <c r="H5" s="4">
        <v>46288</v>
      </c>
      <c r="I5" s="4" t="str">
        <f ca="1">IF(
  _xlfn.XLOOKUP($D5 &amp; "-" &amp; H$2, 'TrainingReq (Ach)'!G:G, 'TrainingReq (Ach)'!F:F, "2-Year") = "Forever",
  "Valid",
  IF(H5="", "Not Trained",
     IF(H5 &lt; TODAY() - 1, "Expired",
        IF(H5 &lt;= TODAY() + 90, "Expiring", "Valid")
     )
  )
)</f>
        <v>Expiring</v>
      </c>
      <c r="J5" s="4">
        <v>46288</v>
      </c>
      <c r="K5" s="4" t="str">
        <f ca="1">IF(
  _xlfn.XLOOKUP($D5 &amp; "-" &amp; J$2, 'TrainingReq (Ach)'!G:G, 'TrainingReq (Ach)'!F:F, "2-Year") = "Forever",
  "Valid",
  IF(J5="", "Not Trained",
     IF(J5 &lt; TODAY() - 1, "Expired",
        IF(J5 &lt;= TODAY() + 90, "Expiring", "Valid")
     )
  )
)</f>
        <v>Expiring</v>
      </c>
      <c r="L5" s="4">
        <v>43370</v>
      </c>
      <c r="M5" s="4" t="str">
        <f ca="1">IF(
  _xlfn.XLOOKUP($D5 &amp; "-" &amp; L$2, TrainingMan!$G:$G, TrainingMan!$F:$F, "2-Year") = "Forever",
  "Valid",
  IF(L5="", "Not Trained",
     IF(L5 &lt; TODAY() - 1, "Expired",
        IF(L5 &lt;= TODAY() + 90, "Expiring", "Valid")
     )
  )
)</f>
        <v>Valid</v>
      </c>
      <c r="N5" s="4">
        <v>46443</v>
      </c>
      <c r="O5" s="4" t="str">
        <f ca="1">IF(
  _xlfn.XLOOKUP($D5 &amp; "-" &amp; N$2, TrainingMan!$G:$G, TrainingMan!$F:$F, "2-Year") = "Forever",
  "Valid",
  IF(N5="", "Not Trained",
     IF(N5 &lt; TODAY() - 1, "Expired",
        IF(N5 &lt;= TODAY() + 90, "Expiring", "Valid")
     )
  )
)</f>
        <v>Valid</v>
      </c>
      <c r="P5" s="4">
        <v>46443</v>
      </c>
      <c r="Q5" s="4" t="str">
        <f ca="1">IF(
  _xlfn.XLOOKUP($D5 &amp; "-" &amp; P$2, TrainingMan!$G:$G, TrainingMan!$F:$F, "2-Year") = "Forever",
  "Valid",
  IF(P5="", "Not Trained",
     IF(P5 &lt; TODAY() - 1, "Expired",
        IF(P5 &lt;= TODAY() + 90, "Expiring", "Valid")
     )
  )
)</f>
        <v>Valid</v>
      </c>
      <c r="R5" s="4">
        <v>46443</v>
      </c>
      <c r="S5" s="4" t="str">
        <f ca="1">IF(
  _xlfn.XLOOKUP($D5 &amp; "-" &amp; R$2, TrainingMan!$G:$G, TrainingMan!$F:$F, "2-Year") = "Forever",
  "Valid",
  IF(R5="", "Not Trained",
     IF(R5 &lt; TODAY() - 1, "Expired",
        IF(R5 &lt;= TODAY() + 90, "Expiring", "Valid")
     )
  )
)</f>
        <v>Valid</v>
      </c>
      <c r="T5" s="4">
        <v>46443</v>
      </c>
      <c r="U5" s="4" t="str">
        <f ca="1">IF(
  _xlfn.XLOOKUP($D5 &amp; "-" &amp; T$2, TrainingMan!$G:$G, TrainingMan!$F:$F, "2-Year") = "Forever",
  "Valid",
  IF(T5="", "Not Trained",
     IF(T5 &lt; TODAY() - 1, "Expired",
        IF(T5 &lt;= TODAY() + 90, "Expiring", "Valid")
     )
  )
)</f>
        <v>Valid</v>
      </c>
      <c r="V5" s="4">
        <v>44112</v>
      </c>
      <c r="W5" s="4" t="str">
        <f ca="1">IF(
  _xlfn.XLOOKUP($D5 &amp; "-" &amp; V$2, TrainingMan!$G:$G, TrainingMan!$F:$F, "2-Year") = "Forever",
  "Valid",
  IF(V5="", "Not Trained",
     IF(V5 &lt; TODAY() - 1, "Expired",
        IF(V5 &lt;= TODAY() + 90, "Expiring", "Valid")
     )
  )
)</f>
        <v>Valid</v>
      </c>
      <c r="X5" s="4">
        <v>41982</v>
      </c>
      <c r="Y5" s="4" t="str">
        <f ca="1">IF(
  _xlfn.XLOOKUP($D5 &amp; "-" &amp; X$2, TrainingMan!$G:$G, TrainingMan!$F:$F, "2-Year") = "Forever",
  "Valid",
  IF(X5="", "Not Trained",
     IF(X5 &lt; TODAY() - 1, "Expired",
        IF(X5 &lt;= TODAY() + 90, "Expiring", "Valid")
     )
  )
)</f>
        <v>Valid</v>
      </c>
      <c r="Z5" s="4">
        <v>42611</v>
      </c>
      <c r="AA5" s="4" t="str">
        <f ca="1">IF(LEN(TRIM(Z5)) = 0, "Not Trained",
  IF(_xlfn.XLOOKUP($D5 &amp; "-" &amp; Z$2, TrainingMan!$G:$G, TrainingMan!$F:$F, "2-Year") = "Forever", "Valid",
    IF(Z5 &lt; TODAY() - 1, "Expired",
      IF(Z5 &lt;= TODAY() + 90, "Expiring", "Valid")
    )
  )
)</f>
        <v>Valid</v>
      </c>
      <c r="AB5" s="4"/>
      <c r="AC5" s="4"/>
      <c r="AD5" s="4">
        <v>45728</v>
      </c>
      <c r="AE5" s="4"/>
      <c r="AF5" s="4"/>
      <c r="AG5" s="4">
        <v>45217</v>
      </c>
      <c r="AH5" s="4">
        <v>40644</v>
      </c>
      <c r="AI5" s="4"/>
      <c r="AJ5" s="4"/>
      <c r="AN5" s="4"/>
      <c r="AP5" s="4">
        <v>45268</v>
      </c>
      <c r="AQ5" s="4">
        <v>42620</v>
      </c>
      <c r="AR5" s="4">
        <v>42669</v>
      </c>
      <c r="AS5" s="4">
        <v>42842</v>
      </c>
      <c r="AT5" s="4"/>
      <c r="AU5" s="4">
        <v>45467</v>
      </c>
      <c r="BB5" s="4"/>
      <c r="BC5" s="4"/>
      <c r="BD5" s="4">
        <v>45427</v>
      </c>
      <c r="BE5" s="4"/>
      <c r="BF5" s="4"/>
      <c r="BG5" s="4">
        <v>40560</v>
      </c>
      <c r="BH5" s="4"/>
      <c r="BI5" s="4"/>
      <c r="BJ5" s="4"/>
      <c r="BK5" s="4"/>
      <c r="BL5" s="4"/>
      <c r="BM5" s="4"/>
      <c r="BN5" s="4"/>
      <c r="BO5" s="4"/>
      <c r="BP5" s="4"/>
      <c r="BQ5">
        <f>COUNTIF('TrainingReq (Ach)'!B:B,Table13[[#This Row],[Job Title]])</f>
        <v>12</v>
      </c>
      <c r="BR5" cm="1">
        <f t="array" aca="1" ref="BR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5" s="5">
        <f t="shared" ca="1" si="0"/>
        <v>1</v>
      </c>
      <c r="BW5" s="4"/>
      <c r="CD5" s="6"/>
      <c r="CE5" s="4" t="str">
        <f ca="1">IF(
  _xlfn.XLOOKUP($D5 &amp; "-" &amp; CD$2, 'TrainingReq (Ach)'!$G:$G, 'TrainingReq (Ach)'!$F:$F, "2-Year") = "Forever",
  "Valid",
  IF(CD5="", "Not Trained",
     IF(CD5 &lt; TODAY() - 1, "Expired",
        IF(CD5 &lt;= TODAY() + 90, "Expiring", "Valid")
     )
  )
)</f>
        <v>Not Trained</v>
      </c>
      <c r="CG5" s="6"/>
      <c r="CH5" s="4" t="str">
        <f ca="1">IF(
  _xlfn.XLOOKUP($D4 &amp; "-" &amp; CG$2, 'TrainingReq (Ach)'!$G:$G, 'TrainingReq (Ach)'!$F:$F, "2-Year") = "Forever",
  "Valid",
  IF(CG4="", "Not Trained",
     IF(CG4 &lt; TODAY() - 1, "Expired",
        IF(CG4 &lt;= TODAY() + 90, "Expiring", "Valid")
     )
  )
)</f>
        <v>Not Trained</v>
      </c>
      <c r="CI5" t="str">
        <f t="shared" si="1"/>
        <v>Not eligible</v>
      </c>
      <c r="CJ5" t="str">
        <f t="shared" si="2"/>
        <v>Not eligible</v>
      </c>
    </row>
    <row r="6" spans="1:88" x14ac:dyDescent="0.25">
      <c r="A6">
        <v>4</v>
      </c>
      <c r="B6">
        <v>581071</v>
      </c>
      <c r="C6" t="s">
        <v>242</v>
      </c>
      <c r="D6" t="s">
        <v>6</v>
      </c>
      <c r="E6" t="s">
        <v>243</v>
      </c>
      <c r="F6" t="s">
        <v>244</v>
      </c>
      <c r="G6" t="s">
        <v>48</v>
      </c>
      <c r="H6" s="4">
        <v>46514</v>
      </c>
      <c r="I6" s="4" t="str">
        <f ca="1">IF(
  _xlfn.XLOOKUP($D6 &amp; "-" &amp; H$2, 'TrainingReq (Ach)'!G:G, 'TrainingReq (Ach)'!F:F, "2-Year") = "Forever",
  "Valid",
  IF(H6="", "Not Trained",
     IF(H6 &lt; TODAY() - 1, "Expired",
        IF(H6 &lt;= TODAY() + 90, "Expiring", "Valid")
     )
  )
)</f>
        <v>Valid</v>
      </c>
      <c r="J6" s="4">
        <v>46514</v>
      </c>
      <c r="K6" s="4" t="str">
        <f ca="1">IF(
  _xlfn.XLOOKUP($D6 &amp; "-" &amp; J$2, 'TrainingReq (Ach)'!G:G, 'TrainingReq (Ach)'!F:F, "2-Year") = "Forever",
  "Valid",
  IF(J6="", "Not Trained",
     IF(J6 &lt; TODAY() - 1, "Expired",
        IF(J6 &lt;= TODAY() + 90, "Expiring", "Valid")
     )
  )
)</f>
        <v>Valid</v>
      </c>
      <c r="L6" s="4">
        <v>46501</v>
      </c>
      <c r="M6" s="4" t="str">
        <f ca="1">IF(
  _xlfn.XLOOKUP($D6 &amp; "-" &amp; L$2, TrainingMan!$G:$G, TrainingMan!$F:$F, "2-Year") = "Forever",
  "Valid",
  IF(L6="", "Not Trained",
     IF(L6 &lt; TODAY() - 1, "Expired",
        IF(L6 &lt;= TODAY() + 90, "Expiring", "Valid")
     )
  )
)</f>
        <v>Valid</v>
      </c>
      <c r="N6" s="4">
        <v>46501</v>
      </c>
      <c r="O6" s="4" t="str">
        <f ca="1">IF(
  _xlfn.XLOOKUP($D6 &amp; "-" &amp; N$2, TrainingMan!$G:$G, TrainingMan!$F:$F, "2-Year") = "Forever",
  "Valid",
  IF(N6="", "Not Trained",
     IF(N6 &lt; TODAY() - 1, "Expired",
        IF(N6 &lt;= TODAY() + 90, "Expiring", "Valid")
     )
  )
)</f>
        <v>Valid</v>
      </c>
      <c r="P6" s="4">
        <v>46501</v>
      </c>
      <c r="Q6" s="4" t="str">
        <f ca="1">IF(
  _xlfn.XLOOKUP($D6 &amp; "-" &amp; P$2, TrainingMan!$G:$G, TrainingMan!$F:$F, "2-Year") = "Forever",
  "Valid",
  IF(P6="", "Not Trained",
     IF(P6 &lt; TODAY() - 1, "Expired",
        IF(P6 &lt;= TODAY() + 90, "Expiring", "Valid")
     )
  )
)</f>
        <v>Valid</v>
      </c>
      <c r="R6" s="4">
        <v>46501</v>
      </c>
      <c r="S6" s="4" t="str">
        <f ca="1">IF(
  _xlfn.XLOOKUP($D6 &amp; "-" &amp; R$2, TrainingMan!$G:$G, TrainingMan!$F:$F, "2-Year") = "Forever",
  "Valid",
  IF(R6="", "Not Trained",
     IF(R6 &lt; TODAY() - 1, "Expired",
        IF(R6 &lt;= TODAY() + 90, "Expiring", "Valid")
     )
  )
)</f>
        <v>Valid</v>
      </c>
      <c r="T6" s="4">
        <v>46501</v>
      </c>
      <c r="U6" s="4" t="str">
        <f ca="1">IF(
  _xlfn.XLOOKUP($D6 &amp; "-" &amp; T$2, TrainingMan!$G:$G, TrainingMan!$F:$F, "2-Year") = "Forever",
  "Valid",
  IF(T6="", "Not Trained",
     IF(T6 &lt; TODAY() - 1, "Expired",
        IF(T6 &lt;= TODAY() + 90, "Expiring", "Valid")
     )
  )
)</f>
        <v>Valid</v>
      </c>
      <c r="V6" s="4">
        <v>46501</v>
      </c>
      <c r="W6" s="4" t="str">
        <f ca="1">IF(
  _xlfn.XLOOKUP($D6 &amp; "-" &amp; V$2, TrainingMan!$G:$G, TrainingMan!$F:$F, "2-Year") = "Forever",
  "Valid",
  IF(V6="", "Not Trained",
     IF(V6 &lt; TODAY() - 1, "Expired",
        IF(V6 &lt;= TODAY() + 90, "Expiring", "Valid")
     )
  )
)</f>
        <v>Valid</v>
      </c>
      <c r="X6" s="4">
        <v>46501</v>
      </c>
      <c r="Y6" s="4" t="str">
        <f ca="1">IF(
  _xlfn.XLOOKUP($D6 &amp; "-" &amp; X$2, TrainingMan!$G:$G, TrainingMan!$F:$F, "2-Year") = "Forever",
  "Valid",
  IF(X6="", "Not Trained",
     IF(X6 &lt; TODAY() - 1, "Expired",
        IF(X6 &lt;= TODAY() + 90, "Expiring", "Valid")
     )
  )
)</f>
        <v>Valid</v>
      </c>
      <c r="Z6" s="4">
        <v>45281</v>
      </c>
      <c r="AA6" s="4" t="str">
        <f ca="1">IF(LEN(TRIM(Z6)) = 0, "Not Trained",
  IF(_xlfn.XLOOKUP($D6 &amp; "-" &amp; Z$2, TrainingMan!$G:$G, TrainingMan!$F:$F, "2-Year") = "Forever", "Valid",
    IF(Z6 &lt; TODAY() - 1, "Expired",
      IF(Z6 &lt;= TODAY() + 90, "Expiring", "Valid")
    )
  )
)</f>
        <v>Valid</v>
      </c>
      <c r="AB6" s="4">
        <v>42445</v>
      </c>
      <c r="AC6" s="4">
        <v>43429</v>
      </c>
      <c r="AD6" s="4">
        <v>44624</v>
      </c>
      <c r="AE6" s="4">
        <v>44620</v>
      </c>
      <c r="AF6" s="4">
        <v>45683</v>
      </c>
      <c r="AG6" s="4"/>
      <c r="AH6" s="4"/>
      <c r="AI6" s="4"/>
      <c r="AJ6" s="4"/>
      <c r="AN6" s="4"/>
      <c r="AQ6" s="4"/>
      <c r="AR6" s="4"/>
      <c r="AS6" s="4"/>
      <c r="AT6" s="4"/>
      <c r="AU6" s="4"/>
      <c r="BB6" s="4">
        <v>46074</v>
      </c>
      <c r="BC6" s="4"/>
      <c r="BD6" s="4" t="s">
        <v>245</v>
      </c>
      <c r="BE6" s="4"/>
      <c r="BF6" s="4">
        <v>41991</v>
      </c>
      <c r="BG6" s="4"/>
      <c r="BH6" s="4"/>
      <c r="BI6" s="4">
        <v>45558</v>
      </c>
      <c r="BJ6" s="4" t="s">
        <v>140</v>
      </c>
      <c r="BK6" t="s">
        <v>153</v>
      </c>
      <c r="BL6" s="4"/>
      <c r="BM6" s="4"/>
      <c r="BN6" s="4"/>
      <c r="BO6" s="4"/>
      <c r="BP6" s="4"/>
      <c r="BQ6">
        <f>COUNTIF('TrainingReq (Ach)'!B:B,Table13[[#This Row],[Job Title]])</f>
        <v>15</v>
      </c>
      <c r="BR6" cm="1">
        <f t="array" aca="1" ref="BR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" s="5">
        <f t="shared" ca="1" si="0"/>
        <v>1</v>
      </c>
      <c r="BT6" t="s">
        <v>246</v>
      </c>
      <c r="BU6" t="s">
        <v>247</v>
      </c>
      <c r="BW6" s="4" t="s">
        <v>140</v>
      </c>
      <c r="BX6" t="s">
        <v>153</v>
      </c>
      <c r="BZ6" t="s">
        <v>248</v>
      </c>
      <c r="CC6" t="s">
        <v>249</v>
      </c>
      <c r="CD6" s="4">
        <v>47196</v>
      </c>
      <c r="CE6" s="4" t="str">
        <f ca="1">IF(
  _xlfn.XLOOKUP($D6 &amp; "-" &amp; CD$2, 'TrainingReq (Ach)'!$G:$G, 'TrainingReq (Ach)'!$F:$F, "2-Year") = "Forever",
  "Valid",
  IF(CD6="", "Not Trained",
     IF(CD6 &lt; TODAY() - 1, "Expired",
        IF(CD6 &lt;= TODAY() + 90, "Expiring", "Valid")
     )
  )
)</f>
        <v>Valid</v>
      </c>
      <c r="CF6" t="s">
        <v>250</v>
      </c>
      <c r="CG6" s="4">
        <v>54756</v>
      </c>
      <c r="CH6" s="4" t="str">
        <f ca="1">IF(
  _xlfn.XLOOKUP($D5 &amp; "-" &amp; CG$2, 'TrainingReq (Ach)'!$G:$G, 'TrainingReq (Ach)'!$F:$F, "2-Year") = "Forever",
  "Valid",
  IF(CG5="", "Not Trained",
     IF(CG5 &lt; TODAY() - 1, "Expired",
        IF(CG5 &lt;= TODAY() + 90, "Expiring", "Valid")
     )
  )
)</f>
        <v>Not Trained</v>
      </c>
      <c r="CI6" t="str">
        <f t="shared" si="1"/>
        <v>Eligible</v>
      </c>
      <c r="CJ6" t="str">
        <f t="shared" si="2"/>
        <v>Eligible</v>
      </c>
    </row>
    <row r="7" spans="1:88" x14ac:dyDescent="0.25">
      <c r="A7">
        <v>5</v>
      </c>
      <c r="B7">
        <v>532717</v>
      </c>
      <c r="C7" t="s">
        <v>251</v>
      </c>
      <c r="D7" t="s">
        <v>25</v>
      </c>
      <c r="E7" t="s">
        <v>252</v>
      </c>
      <c r="F7" t="s">
        <v>244</v>
      </c>
      <c r="G7" t="s">
        <v>55</v>
      </c>
      <c r="H7" s="4">
        <v>46528</v>
      </c>
      <c r="I7" s="4" t="str">
        <f ca="1">IF(
  _xlfn.XLOOKUP($D7 &amp; "-" &amp; H$2, 'TrainingReq (Ach)'!G:G, 'TrainingReq (Ach)'!F:F, "2-Year") = "Forever",
  "Valid",
  IF(H7="", "Not Trained",
     IF(H7 &lt; TODAY() - 1, "Expired",
        IF(H7 &lt;= TODAY() + 90, "Expiring", "Valid")
     )
  )
)</f>
        <v>Valid</v>
      </c>
      <c r="J7" s="4">
        <v>46528</v>
      </c>
      <c r="K7" s="4" t="str">
        <f ca="1">IF(
  _xlfn.XLOOKUP($D7 &amp; "-" &amp; J$2, 'TrainingReq (Ach)'!G:G, 'TrainingReq (Ach)'!F:F, "2-Year") = "Forever",
  "Valid",
  IF(J7="", "Not Trained",
     IF(J7 &lt; TODAY() - 1, "Expired",
        IF(J7 &lt;= TODAY() + 90, "Expiring", "Valid")
     )
  )
)</f>
        <v>Valid</v>
      </c>
      <c r="L7" s="4">
        <v>46533</v>
      </c>
      <c r="M7" s="4" t="str">
        <f ca="1">IF(
  _xlfn.XLOOKUP($D7 &amp; "-" &amp; L$2, TrainingMan!$G:$G, TrainingMan!$F:$F, "2-Year") = "Forever",
  "Valid",
  IF(L7="", "Not Trained",
     IF(L7 &lt; TODAY() - 1, "Expired",
        IF(L7 &lt;= TODAY() + 90, "Expiring", "Valid")
     )
  )
)</f>
        <v>Valid</v>
      </c>
      <c r="N7" s="4">
        <v>46205</v>
      </c>
      <c r="O7" s="4" t="str">
        <f ca="1">IF(
  _xlfn.XLOOKUP($D7 &amp; "-" &amp; N$2, TrainingMan!$G:$G, TrainingMan!$F:$F, "2-Year") = "Forever",
  "Valid",
  IF(N7="", "Not Trained",
     IF(N7 &lt; TODAY() - 1, "Expired",
        IF(N7 &lt;= TODAY() + 90, "Expiring", "Valid")
     )
  )
)</f>
        <v>Valid</v>
      </c>
      <c r="P7" s="4">
        <v>46210</v>
      </c>
      <c r="Q7" s="4" t="str">
        <f ca="1">IF(
  _xlfn.XLOOKUP($D7 &amp; "-" &amp; P$2, TrainingMan!$G:$G, TrainingMan!$F:$F, "2-Year") = "Forever",
  "Valid",
  IF(P7="", "Not Trained",
     IF(P7 &lt; TODAY() - 1, "Expired",
        IF(P7 &lt;= TODAY() + 90, "Expiring", "Valid")
     )
  )
)</f>
        <v>Valid</v>
      </c>
      <c r="R7" s="4">
        <v>46210</v>
      </c>
      <c r="S7" s="4" t="str">
        <f ca="1">IF(
  _xlfn.XLOOKUP($D7 &amp; "-" &amp; R$2, TrainingMan!$G:$G, TrainingMan!$F:$F, "2-Year") = "Forever",
  "Valid",
  IF(R7="", "Not Trained",
     IF(R7 &lt; TODAY() - 1, "Expired",
        IF(R7 &lt;= TODAY() + 90, "Expiring", "Valid")
     )
  )
)</f>
        <v>Valid</v>
      </c>
      <c r="T7" s="4">
        <v>46210</v>
      </c>
      <c r="U7" s="4" t="str">
        <f ca="1">IF(
  _xlfn.XLOOKUP($D7 &amp; "-" &amp; T$2, TrainingMan!$G:$G, TrainingMan!$F:$F, "2-Year") = "Forever",
  "Valid",
  IF(T7="", "Not Trained",
     IF(T7 &lt; TODAY() - 1, "Expired",
        IF(T7 &lt;= TODAY() + 90, "Expiring", "Valid")
     )
  )
)</f>
        <v>Valid</v>
      </c>
      <c r="V7" s="4">
        <v>46533</v>
      </c>
      <c r="W7" s="4" t="str">
        <f ca="1">IF(
  _xlfn.XLOOKUP($D7 &amp; "-" &amp; V$2, TrainingMan!$G:$G, TrainingMan!$F:$F, "2-Year") = "Forever",
  "Valid",
  IF(V7="", "Not Trained",
     IF(V7 &lt; TODAY() - 1, "Expired",
        IF(V7 &lt;= TODAY() + 90, "Expiring", "Valid")
     )
  )
)</f>
        <v>Valid</v>
      </c>
      <c r="X7" s="4">
        <v>46210</v>
      </c>
      <c r="Y7" s="4" t="str">
        <f ca="1">IF(
  _xlfn.XLOOKUP($D7 &amp; "-" &amp; X$2, TrainingMan!$G:$G, TrainingMan!$F:$F, "2-Year") = "Forever",
  "Valid",
  IF(X7="", "Not Trained",
     IF(X7 &lt; TODAY() - 1, "Expired",
        IF(X7 &lt;= TODAY() + 90, "Expiring", "Valid")
     )
  )
)</f>
        <v>Valid</v>
      </c>
      <c r="Z7" s="4">
        <v>45386</v>
      </c>
      <c r="AA7" s="4" t="str">
        <f ca="1">IF(LEN(TRIM(Z7)) = 0, "Not Trained",
  IF(_xlfn.XLOOKUP($D7 &amp; "-" &amp; Z$2, TrainingMan!$G:$G, TrainingMan!$F:$F, "2-Year") = "Forever", "Valid",
    IF(Z7 &lt; TODAY() - 1, "Expired",
      IF(Z7 &lt;= TODAY() + 90, "Expiring", "Valid")
    )
  )
)</f>
        <v>Valid</v>
      </c>
      <c r="AB7" s="4">
        <v>40676</v>
      </c>
      <c r="AC7" s="4">
        <v>42727</v>
      </c>
      <c r="AD7" s="4">
        <v>43001</v>
      </c>
      <c r="AE7" s="4">
        <v>43134</v>
      </c>
      <c r="AF7" s="4">
        <v>43889</v>
      </c>
      <c r="AG7" s="4">
        <v>43602</v>
      </c>
      <c r="AH7" s="4"/>
      <c r="AI7" s="4"/>
      <c r="AJ7" s="4"/>
      <c r="AN7" s="4"/>
      <c r="AP7" s="4">
        <v>46181</v>
      </c>
      <c r="AQ7" s="4"/>
      <c r="AR7" s="4"/>
      <c r="AS7" s="4"/>
      <c r="AT7" s="4"/>
      <c r="AU7" s="4"/>
      <c r="BB7" s="4">
        <v>46311</v>
      </c>
      <c r="BC7" s="4" t="s">
        <v>253</v>
      </c>
      <c r="BD7" s="4" t="s">
        <v>254</v>
      </c>
      <c r="BE7" s="4"/>
      <c r="BF7" s="4">
        <v>39701</v>
      </c>
      <c r="BG7" s="4"/>
      <c r="BH7" s="4"/>
      <c r="BI7" s="4">
        <v>42877</v>
      </c>
      <c r="BJ7" s="4" t="s">
        <v>140</v>
      </c>
      <c r="BK7" t="s">
        <v>148</v>
      </c>
      <c r="BL7" s="4"/>
      <c r="BM7" s="4" t="s">
        <v>255</v>
      </c>
      <c r="BN7" s="4"/>
      <c r="BO7" s="4"/>
      <c r="BP7" s="4"/>
      <c r="BQ7">
        <f>COUNTIF('TrainingReq (Ach)'!B:B,Table13[[#This Row],[Job Title]])</f>
        <v>9</v>
      </c>
      <c r="BR7" cm="1">
        <f t="array" aca="1" ref="BR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9</v>
      </c>
      <c r="BS7" s="5">
        <f t="shared" ca="1" si="0"/>
        <v>1</v>
      </c>
      <c r="BT7" t="s">
        <v>246</v>
      </c>
      <c r="BU7" t="s">
        <v>247</v>
      </c>
      <c r="BV7" t="s">
        <v>256</v>
      </c>
      <c r="BW7" s="4" t="s">
        <v>140</v>
      </c>
      <c r="BX7" t="s">
        <v>148</v>
      </c>
      <c r="BZ7" t="s">
        <v>257</v>
      </c>
      <c r="CC7" t="s">
        <v>258</v>
      </c>
      <c r="CD7" s="4">
        <v>46253</v>
      </c>
      <c r="CE7" s="4" t="str">
        <f ca="1">IF(
  _xlfn.XLOOKUP($D7 &amp; "-" &amp; CD$2, 'TrainingReq (Ach)'!$G:$G, 'TrainingReq (Ach)'!$F:$F, "2-Year") = "Forever",
  "Valid",
  IF(CD7="", "Not Trained",
     IF(CD7 &lt; TODAY() - 1, "Expired",
        IF(CD7 &lt;= TODAY() + 90, "Expiring", "Valid")
     )
  )
)</f>
        <v>Expired</v>
      </c>
      <c r="CF7" t="s">
        <v>250</v>
      </c>
      <c r="CG7" s="4">
        <v>53559</v>
      </c>
      <c r="CH7" s="4" t="str">
        <f ca="1">IF(
  _xlfn.XLOOKUP($D6 &amp; "-" &amp; CG$2, 'TrainingReq (Ach)'!$G:$G, 'TrainingReq (Ach)'!$F:$F, "2-Year") = "Forever",
  "Valid",
  IF(CG6="", "Not Trained",
     IF(CG6 &lt; TODAY() - 1, "Expired",
        IF(CG6 &lt;= TODAY() + 90, "Expiring", "Valid")
     )
  )
)</f>
        <v>Valid</v>
      </c>
      <c r="CI7" t="str">
        <f t="shared" si="1"/>
        <v>Eligible</v>
      </c>
      <c r="CJ7" t="str">
        <f t="shared" si="2"/>
        <v>Eligible</v>
      </c>
    </row>
    <row r="8" spans="1:88" x14ac:dyDescent="0.25">
      <c r="A8">
        <v>6</v>
      </c>
      <c r="B8">
        <v>533492</v>
      </c>
      <c r="C8" t="s">
        <v>259</v>
      </c>
      <c r="D8" t="s">
        <v>6</v>
      </c>
      <c r="E8" t="s">
        <v>243</v>
      </c>
      <c r="F8" t="s">
        <v>244</v>
      </c>
      <c r="G8" t="s">
        <v>48</v>
      </c>
      <c r="H8" s="4">
        <v>46581</v>
      </c>
      <c r="I8" s="4" t="str">
        <f ca="1">IF(
  _xlfn.XLOOKUP($D8 &amp; "-" &amp; H$2, 'TrainingReq (Ach)'!G:G, 'TrainingReq (Ach)'!F:F, "2-Year") = "Forever",
  "Valid",
  IF(H8="", "Not Trained",
     IF(H8 &lt; TODAY() - 1, "Expired",
        IF(H8 &lt;= TODAY() + 90, "Expiring", "Valid")
     )
  )
)</f>
        <v>Valid</v>
      </c>
      <c r="J8" s="4">
        <v>46581</v>
      </c>
      <c r="K8" s="4" t="str">
        <f ca="1">IF(
  _xlfn.XLOOKUP($D8 &amp; "-" &amp; J$2, 'TrainingReq (Ach)'!G:G, 'TrainingReq (Ach)'!F:F, "2-Year") = "Forever",
  "Valid",
  IF(J8="", "Not Trained",
     IF(J8 &lt; TODAY() - 1, "Expired",
        IF(J8 &lt;= TODAY() + 90, "Expiring", "Valid")
     )
  )
)</f>
        <v>Valid</v>
      </c>
      <c r="L8" s="4">
        <v>46470</v>
      </c>
      <c r="M8" s="4" t="str">
        <f ca="1">IF(
  _xlfn.XLOOKUP($D8 &amp; "-" &amp; L$2, TrainingMan!$G:$G, TrainingMan!$F:$F, "2-Year") = "Forever",
  "Valid",
  IF(L8="", "Not Trained",
     IF(L8 &lt; TODAY() - 1, "Expired",
        IF(L8 &lt;= TODAY() + 90, "Expiring", "Valid")
     )
  )
)</f>
        <v>Valid</v>
      </c>
      <c r="N8" s="4">
        <v>46636</v>
      </c>
      <c r="O8" s="4" t="str">
        <f ca="1">IF(
  _xlfn.XLOOKUP($D8 &amp; "-" &amp; N$2, TrainingMan!$G:$G, TrainingMan!$F:$F, "2-Year") = "Forever",
  "Valid",
  IF(N8="", "Not Trained",
     IF(N8 &lt; TODAY() - 1, "Expired",
        IF(N8 &lt;= TODAY() + 90, "Expiring", "Valid")
     )
  )
)</f>
        <v>Valid</v>
      </c>
      <c r="P8" s="4">
        <v>46636</v>
      </c>
      <c r="Q8" s="4" t="str">
        <f ca="1">IF(
  _xlfn.XLOOKUP($D8 &amp; "-" &amp; P$2, TrainingMan!$G:$G, TrainingMan!$F:$F, "2-Year") = "Forever",
  "Valid",
  IF(P8="", "Not Trained",
     IF(P8 &lt; TODAY() - 1, "Expired",
        IF(P8 &lt;= TODAY() + 90, "Expiring", "Valid")
     )
  )
)</f>
        <v>Valid</v>
      </c>
      <c r="R8" s="4">
        <v>46636</v>
      </c>
      <c r="S8" s="4" t="str">
        <f ca="1">IF(
  _xlfn.XLOOKUP($D8 &amp; "-" &amp; R$2, TrainingMan!$G:$G, TrainingMan!$F:$F, "2-Year") = "Forever",
  "Valid",
  IF(R8="", "Not Trained",
     IF(R8 &lt; TODAY() - 1, "Expired",
        IF(R8 &lt;= TODAY() + 90, "Expiring", "Valid")
     )
  )
)</f>
        <v>Valid</v>
      </c>
      <c r="T8" s="4">
        <v>46636</v>
      </c>
      <c r="U8" s="4" t="str">
        <f ca="1">IF(
  _xlfn.XLOOKUP($D8 &amp; "-" &amp; T$2, TrainingMan!$G:$G, TrainingMan!$F:$F, "2-Year") = "Forever",
  "Valid",
  IF(T8="", "Not Trained",
     IF(T8 &lt; TODAY() - 1, "Expired",
        IF(T8 &lt;= TODAY() + 90, "Expiring", "Valid")
     )
  )
)</f>
        <v>Valid</v>
      </c>
      <c r="V8" s="4">
        <v>46376</v>
      </c>
      <c r="W8" s="4" t="str">
        <f ca="1">IF(
  _xlfn.XLOOKUP($D8 &amp; "-" &amp; V$2, TrainingMan!$G:$G, TrainingMan!$F:$F, "2-Year") = "Forever",
  "Valid",
  IF(V8="", "Not Trained",
     IF(V8 &lt; TODAY() - 1, "Expired",
        IF(V8 &lt;= TODAY() + 90, "Expiring", "Valid")
     )
  )
)</f>
        <v>Valid</v>
      </c>
      <c r="X8" s="4">
        <v>46451</v>
      </c>
      <c r="Y8" s="4" t="str">
        <f ca="1">IF(
  _xlfn.XLOOKUP($D8 &amp; "-" &amp; X$2, TrainingMan!$G:$G, TrainingMan!$F:$F, "2-Year") = "Forever",
  "Valid",
  IF(X8="", "Not Trained",
     IF(X8 &lt; TODAY() - 1, "Expired",
        IF(X8 &lt;= TODAY() + 90, "Expiring", "Valid")
     )
  )
)</f>
        <v>Valid</v>
      </c>
      <c r="Z8" s="4">
        <v>45191</v>
      </c>
      <c r="AA8" s="4" t="str">
        <f ca="1">IF(LEN(TRIM(Z8)) = 0, "Not Trained",
  IF(_xlfn.XLOOKUP($D8 &amp; "-" &amp; Z$2, TrainingMan!$G:$G, TrainingMan!$F:$F, "2-Year") = "Forever", "Valid",
    IF(Z8 &lt; TODAY() - 1, "Expired",
      IF(Z8 &lt;= TODAY() + 90, "Expiring", "Valid")
    )
  )
)</f>
        <v>Valid</v>
      </c>
      <c r="AB8" s="4">
        <v>40856</v>
      </c>
      <c r="AC8" s="4">
        <v>43453</v>
      </c>
      <c r="AD8" s="4">
        <v>43623</v>
      </c>
      <c r="AE8" s="4">
        <v>45506</v>
      </c>
      <c r="AF8" s="4">
        <v>45338</v>
      </c>
      <c r="AG8" s="4">
        <v>45097</v>
      </c>
      <c r="AH8" s="4"/>
      <c r="AI8" s="4"/>
      <c r="AJ8" s="4"/>
      <c r="AN8" s="4"/>
      <c r="AQ8" s="4"/>
      <c r="AR8" s="4"/>
      <c r="AS8" s="4"/>
      <c r="AT8" s="4"/>
      <c r="AU8" s="4"/>
      <c r="BB8" s="4">
        <v>46318</v>
      </c>
      <c r="BC8" s="4" t="s">
        <v>260</v>
      </c>
      <c r="BD8" s="4" t="s">
        <v>254</v>
      </c>
      <c r="BE8" s="4"/>
      <c r="BF8" s="4"/>
      <c r="BG8" s="4"/>
      <c r="BH8" s="4"/>
      <c r="BI8" s="4">
        <v>44545</v>
      </c>
      <c r="BJ8" s="4" t="s">
        <v>145</v>
      </c>
      <c r="BK8" t="s">
        <v>146</v>
      </c>
      <c r="BL8" s="4"/>
      <c r="BM8" s="4"/>
      <c r="BN8" s="4"/>
      <c r="BO8" s="4"/>
      <c r="BP8" s="4"/>
      <c r="BQ8">
        <f>COUNTIF('TrainingReq (Ach)'!B:B,Table13[[#This Row],[Job Title]])</f>
        <v>15</v>
      </c>
      <c r="BR8" cm="1">
        <f t="array" aca="1" ref="BR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" s="5">
        <f t="shared" ca="1" si="0"/>
        <v>1</v>
      </c>
      <c r="BT8" t="s">
        <v>246</v>
      </c>
      <c r="BU8" t="s">
        <v>247</v>
      </c>
      <c r="BV8" t="s">
        <v>256</v>
      </c>
      <c r="BW8" s="4" t="s">
        <v>145</v>
      </c>
      <c r="BX8" t="s">
        <v>146</v>
      </c>
      <c r="BZ8" t="s">
        <v>261</v>
      </c>
      <c r="CA8">
        <v>2</v>
      </c>
      <c r="CC8" t="s">
        <v>262</v>
      </c>
      <c r="CD8" s="4">
        <v>46813</v>
      </c>
      <c r="CE8" s="4" t="str">
        <f ca="1">IF(
  _xlfn.XLOOKUP($D8 &amp; "-" &amp; CD$2, 'TrainingReq (Ach)'!$G:$G, 'TrainingReq (Ach)'!$F:$F, "2-Year") = "Forever",
  "Valid",
  IF(CD8="", "Not Trained",
     IF(CD8 &lt; TODAY() - 1, "Expired",
        IF(CD8 &lt;= TODAY() + 90, "Expiring", "Valid")
     )
  )
)</f>
        <v>Valid</v>
      </c>
      <c r="CF8" t="s">
        <v>250</v>
      </c>
      <c r="CG8" s="4">
        <v>53885</v>
      </c>
      <c r="CH8" s="4" t="str">
        <f ca="1">IF(
  _xlfn.XLOOKUP($D7 &amp; "-" &amp; CG$2, 'TrainingReq (Ach)'!$G:$G, 'TrainingReq (Ach)'!$F:$F, "2-Year") = "Forever",
  "Valid",
  IF(CG7="", "Not Trained",
     IF(CG7 &lt; TODAY() - 1, "Expired",
        IF(CG7 &lt;= TODAY() + 90, "Expiring", "Valid")
     )
  )
)</f>
        <v>Valid</v>
      </c>
      <c r="CI8" t="str">
        <f t="shared" si="1"/>
        <v>Eligible</v>
      </c>
      <c r="CJ8" t="str">
        <f t="shared" si="2"/>
        <v>Eligible</v>
      </c>
    </row>
    <row r="9" spans="1:88" x14ac:dyDescent="0.25">
      <c r="A9">
        <v>7</v>
      </c>
      <c r="B9">
        <v>583742</v>
      </c>
      <c r="C9" t="s">
        <v>88</v>
      </c>
      <c r="D9" t="s">
        <v>18</v>
      </c>
      <c r="E9" t="s">
        <v>263</v>
      </c>
      <c r="F9" t="s">
        <v>244</v>
      </c>
      <c r="G9" t="s">
        <v>48</v>
      </c>
      <c r="H9" s="4">
        <v>46766</v>
      </c>
      <c r="I9" s="4" t="str">
        <f ca="1">IF(
  _xlfn.XLOOKUP($D9 &amp; "-" &amp; H$2, 'TrainingReq (Ach)'!G:G, 'TrainingReq (Ach)'!F:F, "2-Year") = "Forever",
  "Valid",
  IF(H9="", "Not Trained",
     IF(H9 &lt; TODAY() - 1, "Expired",
        IF(H9 &lt;= TODAY() + 90, "Expiring", "Valid")
     )
  )
)</f>
        <v>Valid</v>
      </c>
      <c r="J9" s="4">
        <v>46766</v>
      </c>
      <c r="K9" s="4" t="str">
        <f ca="1">IF(
  _xlfn.XLOOKUP($D9 &amp; "-" &amp; J$2, 'TrainingReq (Ach)'!G:G, 'TrainingReq (Ach)'!F:F, "2-Year") = "Forever",
  "Valid",
  IF(J9="", "Not Trained",
     IF(J9 &lt; TODAY() - 1, "Expired",
        IF(J9 &lt;= TODAY() + 90, "Expiring", "Valid")
     )
  )
)</f>
        <v>Valid</v>
      </c>
      <c r="L9" s="4">
        <v>46813</v>
      </c>
      <c r="M9" s="4" t="str">
        <f ca="1">IF(
  _xlfn.XLOOKUP($D9 &amp; "-" &amp; L$2, TrainingMan!$G:$G, TrainingMan!$F:$F, "2-Year") = "Forever",
  "Valid",
  IF(L9="", "Not Trained",
     IF(L9 &lt; TODAY() - 1, "Expired",
        IF(L9 &lt;= TODAY() + 90, "Expiring", "Valid")
     )
  )
)</f>
        <v>Valid</v>
      </c>
      <c r="N9" s="4">
        <v>46813</v>
      </c>
      <c r="O9" s="4" t="str">
        <f ca="1">IF(
  _xlfn.XLOOKUP($D9 &amp; "-" &amp; N$2, TrainingMan!$G:$G, TrainingMan!$F:$F, "2-Year") = "Forever",
  "Valid",
  IF(N9="", "Not Trained",
     IF(N9 &lt; TODAY() - 1, "Expired",
        IF(N9 &lt;= TODAY() + 90, "Expiring", "Valid")
     )
  )
)</f>
        <v>Valid</v>
      </c>
      <c r="P9" s="4">
        <v>46813</v>
      </c>
      <c r="Q9" s="4" t="str">
        <f ca="1">IF(
  _xlfn.XLOOKUP($D9 &amp; "-" &amp; P$2, TrainingMan!$G:$G, TrainingMan!$F:$F, "2-Year") = "Forever",
  "Valid",
  IF(P9="", "Not Trained",
     IF(P9 &lt; TODAY() - 1, "Expired",
        IF(P9 &lt;= TODAY() + 90, "Expiring", "Valid")
     )
  )
)</f>
        <v>Valid</v>
      </c>
      <c r="R9" s="4">
        <v>46813</v>
      </c>
      <c r="S9" s="4" t="str">
        <f ca="1">IF(
  _xlfn.XLOOKUP($D9 &amp; "-" &amp; R$2, TrainingMan!$G:$G, TrainingMan!$F:$F, "2-Year") = "Forever",
  "Valid",
  IF(R9="", "Not Trained",
     IF(R9 &lt; TODAY() - 1, "Expired",
        IF(R9 &lt;= TODAY() + 90, "Expiring", "Valid")
     )
  )
)</f>
        <v>Valid</v>
      </c>
      <c r="T9" s="4">
        <v>46813</v>
      </c>
      <c r="U9" s="4" t="str">
        <f ca="1">IF(
  _xlfn.XLOOKUP($D9 &amp; "-" &amp; T$2, TrainingMan!$G:$G, TrainingMan!$F:$F, "2-Year") = "Forever",
  "Valid",
  IF(T9="", "Not Trained",
     IF(T9 &lt; TODAY() - 1, "Expired",
        IF(T9 &lt;= TODAY() + 90, "Expiring", "Valid")
     )
  )
)</f>
        <v>Valid</v>
      </c>
      <c r="V9" s="4">
        <v>46645</v>
      </c>
      <c r="W9" s="4" t="str">
        <f ca="1">IF(
  _xlfn.XLOOKUP($D9 &amp; "-" &amp; V$2, TrainingMan!$G:$G, TrainingMan!$F:$F, "2-Year") = "Forever",
  "Valid",
  IF(V9="", "Not Trained",
     IF(V9 &lt; TODAY() - 1, "Expired",
        IF(V9 &lt;= TODAY() + 90, "Expiring", "Valid")
     )
  )
)</f>
        <v>Valid</v>
      </c>
      <c r="X9" s="4">
        <v>46575</v>
      </c>
      <c r="Y9" s="4" t="str">
        <f ca="1">IF(
  _xlfn.XLOOKUP($D9 &amp; "-" &amp; X$2, TrainingMan!$G:$G, TrainingMan!$F:$F, "2-Year") = "Forever",
  "Valid",
  IF(X9="", "Not Trained",
     IF(X9 &lt; TODAY() - 1, "Expired",
        IF(X9 &lt;= TODAY() + 90, "Expiring", "Valid")
     )
  )
)</f>
        <v>Valid</v>
      </c>
      <c r="Z9" s="4">
        <v>45304</v>
      </c>
      <c r="AA9" s="4" t="str">
        <f ca="1">IF(LEN(TRIM(Z9)) = 0, "Not Trained",
  IF(_xlfn.XLOOKUP($D9 &amp; "-" &amp; Z$2, TrainingMan!$G:$G, TrainingMan!$F:$F, "2-Year") = "Forever", "Valid",
    IF(Z9 &lt; TODAY() - 1, "Expired",
      IF(Z9 &lt;= TODAY() + 90, "Expiring", "Valid")
    )
  )
)</f>
        <v>Valid</v>
      </c>
      <c r="AB9" s="4">
        <v>45452</v>
      </c>
      <c r="AC9" s="4"/>
      <c r="AD9" s="4">
        <v>45702</v>
      </c>
      <c r="AE9" s="4"/>
      <c r="AF9" s="4">
        <v>46076</v>
      </c>
      <c r="AG9" s="4"/>
      <c r="AH9" s="4"/>
      <c r="AI9" s="4"/>
      <c r="AJ9" s="4"/>
      <c r="AN9" s="4"/>
      <c r="AQ9" s="4"/>
      <c r="AR9" s="4"/>
      <c r="AS9" s="4"/>
      <c r="AT9" s="4"/>
      <c r="AU9" s="4"/>
      <c r="BB9" s="4">
        <v>46068</v>
      </c>
      <c r="BC9" s="4" t="s">
        <v>264</v>
      </c>
      <c r="BD9" s="4">
        <v>45840</v>
      </c>
      <c r="BE9" s="4"/>
      <c r="BF9" s="4">
        <v>42996</v>
      </c>
      <c r="BG9" s="4"/>
      <c r="BH9" s="4"/>
      <c r="BI9" s="4">
        <v>45526</v>
      </c>
      <c r="BJ9" s="4" t="s">
        <v>145</v>
      </c>
      <c r="BK9" s="4"/>
      <c r="BL9" s="4"/>
      <c r="BM9" s="4"/>
      <c r="BN9" s="4"/>
      <c r="BO9" s="4"/>
      <c r="BP9" s="4"/>
      <c r="BQ9">
        <f>COUNTIF('TrainingReq (Ach)'!B:B,Table13[[#This Row],[Job Title]])</f>
        <v>15</v>
      </c>
      <c r="BR9" cm="1">
        <f t="array" aca="1" ref="BR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9" s="5">
        <f t="shared" ca="1" si="0"/>
        <v>0.93333333333333335</v>
      </c>
      <c r="BT9" t="s">
        <v>265</v>
      </c>
      <c r="BU9" t="s">
        <v>247</v>
      </c>
      <c r="BV9" t="s">
        <v>256</v>
      </c>
      <c r="BW9" s="4"/>
      <c r="CC9" t="s">
        <v>266</v>
      </c>
      <c r="CD9" s="4"/>
      <c r="CE9" s="4" t="str">
        <f ca="1">IF(
  _xlfn.XLOOKUP($D9 &amp; "-" &amp; CD$2, 'TrainingReq (Ach)'!$G:$G, 'TrainingReq (Ach)'!$F:$F, "2-Year") = "Forever",
  "Valid",
  IF(CD9="", "Not Trained",
     IF(CD9 &lt; TODAY() - 1, "Expired",
        IF(CD9 &lt;= TODAY() + 90, "Expiring", "Valid")
     )
  )
)</f>
        <v>Not Trained</v>
      </c>
      <c r="CF9" t="s">
        <v>250</v>
      </c>
      <c r="CG9" s="4">
        <v>56983</v>
      </c>
      <c r="CH9" s="4" t="str">
        <f ca="1">IF(
  _xlfn.XLOOKUP($D8 &amp; "-" &amp; CG$2, 'TrainingReq (Ach)'!$G:$G, 'TrainingReq (Ach)'!$F:$F, "2-Year") = "Forever",
  "Valid",
  IF(CG8="", "Not Trained",
     IF(CG8 &lt; TODAY() - 1, "Expired",
        IF(CG8 &lt;= TODAY() + 90, "Expiring", "Valid")
     )
  )
)</f>
        <v>Valid</v>
      </c>
      <c r="CI9" t="str">
        <f t="shared" si="1"/>
        <v>Not eligible</v>
      </c>
      <c r="CJ9" t="str">
        <f t="shared" si="2"/>
        <v>Not eligible</v>
      </c>
    </row>
    <row r="10" spans="1:88" x14ac:dyDescent="0.25">
      <c r="A10">
        <v>8</v>
      </c>
      <c r="B10">
        <v>582541</v>
      </c>
      <c r="C10" t="s">
        <v>267</v>
      </c>
      <c r="D10" t="s">
        <v>18</v>
      </c>
      <c r="E10" t="s">
        <v>263</v>
      </c>
      <c r="F10" t="s">
        <v>244</v>
      </c>
      <c r="G10" t="s">
        <v>52</v>
      </c>
      <c r="H10" s="4">
        <v>46794</v>
      </c>
      <c r="I10" s="4" t="str">
        <f ca="1">IF(
  _xlfn.XLOOKUP($D10 &amp; "-" &amp; H$2, 'TrainingReq (Ach)'!G:G, 'TrainingReq (Ach)'!F:F, "2-Year") = "Forever",
  "Valid",
  IF(H10="", "Not Trained",
     IF(H10 &lt; TODAY() - 1, "Expired",
        IF(H10 &lt;= TODAY() + 90, "Expiring", "Valid")
     )
  )
)</f>
        <v>Valid</v>
      </c>
      <c r="J10" s="4">
        <v>46794</v>
      </c>
      <c r="K10" s="4" t="str">
        <f ca="1">IF(
  _xlfn.XLOOKUP($D10 &amp; "-" &amp; J$2, 'TrainingReq (Ach)'!G:G, 'TrainingReq (Ach)'!F:F, "2-Year") = "Forever",
  "Valid",
  IF(J10="", "Not Trained",
     IF(J10 &lt; TODAY() - 1, "Expired",
        IF(J10 &lt;= TODAY() + 90, "Expiring", "Valid")
     )
  )
)</f>
        <v>Valid</v>
      </c>
      <c r="L10" s="4">
        <v>46845</v>
      </c>
      <c r="M10" s="4" t="str">
        <f ca="1">IF(
  _xlfn.XLOOKUP($D10 &amp; "-" &amp; L$2, TrainingMan!$G:$G, TrainingMan!$F:$F, "2-Year") = "Forever",
  "Valid",
  IF(L10="", "Not Trained",
     IF(L10 &lt; TODAY() - 1, "Expired",
        IF(L10 &lt;= TODAY() + 90, "Expiring", "Valid")
     )
  )
)</f>
        <v>Valid</v>
      </c>
      <c r="N10" s="4">
        <v>46845</v>
      </c>
      <c r="O10" s="4" t="str">
        <f ca="1">IF(
  _xlfn.XLOOKUP($D10 &amp; "-" &amp; N$2, TrainingMan!$G:$G, TrainingMan!$F:$F, "2-Year") = "Forever",
  "Valid",
  IF(N10="", "Not Trained",
     IF(N10 &lt; TODAY() - 1, "Expired",
        IF(N10 &lt;= TODAY() + 90, "Expiring", "Valid")
     )
  )
)</f>
        <v>Valid</v>
      </c>
      <c r="P10" s="4">
        <v>46845</v>
      </c>
      <c r="Q10" s="4" t="str">
        <f ca="1">IF(
  _xlfn.XLOOKUP($D10 &amp; "-" &amp; P$2, TrainingMan!$G:$G, TrainingMan!$F:$F, "2-Year") = "Forever",
  "Valid",
  IF(P10="", "Not Trained",
     IF(P10 &lt; TODAY() - 1, "Expired",
        IF(P10 &lt;= TODAY() + 90, "Expiring", "Valid")
     )
  )
)</f>
        <v>Valid</v>
      </c>
      <c r="R10" s="4">
        <v>46845</v>
      </c>
      <c r="S10" s="4" t="str">
        <f ca="1">IF(
  _xlfn.XLOOKUP($D10 &amp; "-" &amp; R$2, TrainingMan!$G:$G, TrainingMan!$F:$F, "2-Year") = "Forever",
  "Valid",
  IF(R10="", "Not Trained",
     IF(R10 &lt; TODAY() - 1, "Expired",
        IF(R10 &lt;= TODAY() + 90, "Expiring", "Valid")
     )
  )
)</f>
        <v>Valid</v>
      </c>
      <c r="T10" s="4">
        <v>46845</v>
      </c>
      <c r="U10" s="4" t="str">
        <f ca="1">IF(
  _xlfn.XLOOKUP($D10 &amp; "-" &amp; T$2, TrainingMan!$G:$G, TrainingMan!$F:$F, "2-Year") = "Forever",
  "Valid",
  IF(T10="", "Not Trained",
     IF(T10 &lt; TODAY() - 1, "Expired",
        IF(T10 &lt;= TODAY() + 90, "Expiring", "Valid")
     )
  )
)</f>
        <v>Valid</v>
      </c>
      <c r="V10" s="4">
        <v>46845</v>
      </c>
      <c r="W10" s="4" t="str">
        <f ca="1">IF(
  _xlfn.XLOOKUP($D10 &amp; "-" &amp; V$2, TrainingMan!$G:$G, TrainingMan!$F:$F, "2-Year") = "Forever",
  "Valid",
  IF(V10="", "Not Trained",
     IF(V10 &lt; TODAY() - 1, "Expired",
        IF(V10 &lt;= TODAY() + 90, "Expiring", "Valid")
     )
  )
)</f>
        <v>Valid</v>
      </c>
      <c r="X10" s="4">
        <v>46845</v>
      </c>
      <c r="Y10" s="4" t="str">
        <f ca="1">IF(
  _xlfn.XLOOKUP($D10 &amp; "-" &amp; X$2, TrainingMan!$G:$G, TrainingMan!$F:$F, "2-Year") = "Forever",
  "Valid",
  IF(X10="", "Not Trained",
     IF(X10 &lt; TODAY() - 1, "Expired",
        IF(X10 &lt;= TODAY() + 90, "Expiring", "Valid")
     )
  )
)</f>
        <v>Valid</v>
      </c>
      <c r="Z10" s="4">
        <v>45397</v>
      </c>
      <c r="AA10" s="4" t="str">
        <f ca="1">IF(LEN(TRIM(Z10)) = 0, "Not Trained",
  IF(_xlfn.XLOOKUP($D10 &amp; "-" &amp; Z$2, TrainingMan!$G:$G, TrainingMan!$F:$F, "2-Year") = "Forever", "Valid",
    IF(Z10 &lt; TODAY() - 1, "Expired",
      IF(Z10 &lt;= TODAY() + 90, "Expiring", "Valid")
    )
  )
)</f>
        <v>Valid</v>
      </c>
      <c r="AB10" s="4">
        <v>44618</v>
      </c>
      <c r="AC10" s="4">
        <v>45716</v>
      </c>
      <c r="AD10" s="4">
        <v>44456</v>
      </c>
      <c r="AE10" s="4">
        <v>45058</v>
      </c>
      <c r="AF10" s="4">
        <v>44834</v>
      </c>
      <c r="AG10" s="4">
        <v>45139</v>
      </c>
      <c r="AH10" s="4"/>
      <c r="AI10" s="4"/>
      <c r="AJ10" s="4"/>
      <c r="AN10" s="4"/>
      <c r="AQ10" s="4"/>
      <c r="AR10" s="4"/>
      <c r="AS10" s="4"/>
      <c r="AT10" s="4">
        <v>46076</v>
      </c>
      <c r="AU10" s="4"/>
      <c r="BB10" s="4">
        <v>46255</v>
      </c>
      <c r="BC10" s="4" t="s">
        <v>268</v>
      </c>
      <c r="BD10" s="4" t="s">
        <v>269</v>
      </c>
      <c r="BE10" s="4"/>
      <c r="BF10" s="4"/>
      <c r="BG10" s="4"/>
      <c r="BH10" s="4"/>
      <c r="BI10" s="4">
        <v>44165</v>
      </c>
      <c r="BJ10" s="4" t="s">
        <v>145</v>
      </c>
      <c r="BK10" t="s">
        <v>146</v>
      </c>
      <c r="BL10" s="4"/>
      <c r="BM10" s="4"/>
      <c r="BN10" s="4"/>
      <c r="BO10" s="4"/>
      <c r="BP10" s="4"/>
      <c r="BQ10">
        <f>COUNTIF('TrainingReq (Ach)'!B:B,Table13[[#This Row],[Job Title]])</f>
        <v>15</v>
      </c>
      <c r="BR10" cm="1">
        <f t="array" aca="1" ref="BR1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0" s="5">
        <f t="shared" ca="1" si="0"/>
        <v>1</v>
      </c>
      <c r="BT10" t="s">
        <v>246</v>
      </c>
      <c r="BU10" t="s">
        <v>247</v>
      </c>
      <c r="BV10" t="s">
        <v>270</v>
      </c>
      <c r="BW10" s="4" t="s">
        <v>145</v>
      </c>
      <c r="BX10" t="s">
        <v>146</v>
      </c>
      <c r="BZ10" t="s">
        <v>271</v>
      </c>
      <c r="CC10" t="s">
        <v>272</v>
      </c>
      <c r="CD10" s="4">
        <v>47078</v>
      </c>
      <c r="CE10" s="4" t="str">
        <f ca="1">IF(
  _xlfn.XLOOKUP($D10 &amp; "-" &amp; CD$2, 'TrainingReq (Ach)'!$G:$G, 'TrainingReq (Ach)'!$F:$F, "2-Year") = "Forever",
  "Valid",
  IF(CD10="", "Not Trained",
     IF(CD10 &lt; TODAY() - 1, "Expired",
        IF(CD10 &lt;= TODAY() + 90, "Expiring", "Valid")
     )
  )
)</f>
        <v>Valid</v>
      </c>
      <c r="CF10" t="s">
        <v>250</v>
      </c>
      <c r="CG10" s="4">
        <v>56195</v>
      </c>
      <c r="CH10" s="4" t="str">
        <f ca="1">IF(
  _xlfn.XLOOKUP($D9 &amp; "-" &amp; CG$2, 'TrainingReq (Ach)'!$G:$G, 'TrainingReq (Ach)'!$F:$F, "2-Year") = "Forever",
  "Valid",
  IF(CG9="", "Not Trained",
     IF(CG9 &lt; TODAY() - 1, "Expired",
        IF(CG9 &lt;= TODAY() + 90, "Expiring", "Valid")
     )
  )
)</f>
        <v>Valid</v>
      </c>
      <c r="CI10" t="str">
        <f t="shared" si="1"/>
        <v>Eligible</v>
      </c>
      <c r="CJ10" t="str">
        <f t="shared" si="2"/>
        <v>Eligible</v>
      </c>
    </row>
    <row r="11" spans="1:88" x14ac:dyDescent="0.25">
      <c r="A11">
        <v>9</v>
      </c>
      <c r="B11">
        <v>581765</v>
      </c>
      <c r="C11" t="s">
        <v>273</v>
      </c>
      <c r="D11" t="s">
        <v>6</v>
      </c>
      <c r="E11" t="s">
        <v>243</v>
      </c>
      <c r="F11" t="s">
        <v>244</v>
      </c>
      <c r="G11" t="s">
        <v>48</v>
      </c>
      <c r="H11" s="4">
        <v>46851</v>
      </c>
      <c r="I11" s="4" t="str">
        <f ca="1">IF(
  _xlfn.XLOOKUP($D11 &amp; "-" &amp; H$2, 'TrainingReq (Ach)'!G:G, 'TrainingReq (Ach)'!F:F, "2-Year") = "Forever",
  "Valid",
  IF(H11="", "Not Trained",
     IF(H11 &lt; TODAY() - 1, "Expired",
        IF(H11 &lt;= TODAY() + 90, "Expiring", "Valid")
     )
  )
)</f>
        <v>Valid</v>
      </c>
      <c r="J11" s="4">
        <v>46851</v>
      </c>
      <c r="K11" s="4" t="str">
        <f ca="1">IF(
  _xlfn.XLOOKUP($D11 &amp; "-" &amp; J$2, 'TrainingReq (Ach)'!G:G, 'TrainingReq (Ach)'!F:F, "2-Year") = "Forever",
  "Valid",
  IF(J11="", "Not Trained",
     IF(J11 &lt; TODAY() - 1, "Expired",
        IF(J11 &lt;= TODAY() + 90, "Expiring", "Valid")
     )
  )
)</f>
        <v>Valid</v>
      </c>
      <c r="L11" s="4">
        <v>46795</v>
      </c>
      <c r="M11" s="4" t="str">
        <f ca="1">IF(
  _xlfn.XLOOKUP($D11 &amp; "-" &amp; L$2, TrainingMan!$G:$G, TrainingMan!$F:$F, "2-Year") = "Forever",
  "Valid",
  IF(L11="", "Not Trained",
     IF(L11 &lt; TODAY() - 1, "Expired",
        IF(L11 &lt;= TODAY() + 90, "Expiring", "Valid")
     )
  )
)</f>
        <v>Valid</v>
      </c>
      <c r="N11" s="4">
        <v>46795</v>
      </c>
      <c r="O11" s="4" t="str">
        <f ca="1">IF(
  _xlfn.XLOOKUP($D11 &amp; "-" &amp; N$2, TrainingMan!$G:$G, TrainingMan!$F:$F, "2-Year") = "Forever",
  "Valid",
  IF(N11="", "Not Trained",
     IF(N11 &lt; TODAY() - 1, "Expired",
        IF(N11 &lt;= TODAY() + 90, "Expiring", "Valid")
     )
  )
)</f>
        <v>Valid</v>
      </c>
      <c r="P11" s="4">
        <v>46795</v>
      </c>
      <c r="Q11" s="4" t="str">
        <f ca="1">IF(
  _xlfn.XLOOKUP($D11 &amp; "-" &amp; P$2, TrainingMan!$G:$G, TrainingMan!$F:$F, "2-Year") = "Forever",
  "Valid",
  IF(P11="", "Not Trained",
     IF(P11 &lt; TODAY() - 1, "Expired",
        IF(P11 &lt;= TODAY() + 90, "Expiring", "Valid")
     )
  )
)</f>
        <v>Valid</v>
      </c>
      <c r="R11" s="4">
        <v>46795</v>
      </c>
      <c r="S11" s="4" t="str">
        <f ca="1">IF(
  _xlfn.XLOOKUP($D11 &amp; "-" &amp; R$2, TrainingMan!$G:$G, TrainingMan!$F:$F, "2-Year") = "Forever",
  "Valid",
  IF(R11="", "Not Trained",
     IF(R11 &lt; TODAY() - 1, "Expired",
        IF(R11 &lt;= TODAY() + 90, "Expiring", "Valid")
     )
  )
)</f>
        <v>Valid</v>
      </c>
      <c r="T11" s="4">
        <v>46795</v>
      </c>
      <c r="U11" s="4" t="str">
        <f ca="1">IF(
  _xlfn.XLOOKUP($D11 &amp; "-" &amp; T$2, TrainingMan!$G:$G, TrainingMan!$F:$F, "2-Year") = "Forever",
  "Valid",
  IF(T11="", "Not Trained",
     IF(T11 &lt; TODAY() - 1, "Expired",
        IF(T11 &lt;= TODAY() + 90, "Expiring", "Valid")
     )
  )
)</f>
        <v>Valid</v>
      </c>
      <c r="V11" s="4">
        <v>46795</v>
      </c>
      <c r="W11" s="4" t="str">
        <f ca="1">IF(
  _xlfn.XLOOKUP($D11 &amp; "-" &amp; V$2, TrainingMan!$G:$G, TrainingMan!$F:$F, "2-Year") = "Forever",
  "Valid",
  IF(V11="", "Not Trained",
     IF(V11 &lt; TODAY() - 1, "Expired",
        IF(V11 &lt;= TODAY() + 90, "Expiring", "Valid")
     )
  )
)</f>
        <v>Valid</v>
      </c>
      <c r="X11" s="4">
        <v>46795</v>
      </c>
      <c r="Y11" s="4" t="str">
        <f ca="1">IF(
  _xlfn.XLOOKUP($D11 &amp; "-" &amp; X$2, TrainingMan!$G:$G, TrainingMan!$F:$F, "2-Year") = "Forever",
  "Valid",
  IF(X11="", "Not Trained",
     IF(X11 &lt; TODAY() - 1, "Expired",
        IF(X11 &lt;= TODAY() + 90, "Expiring", "Valid")
     )
  )
)</f>
        <v>Valid</v>
      </c>
      <c r="Z11" s="4">
        <v>45390</v>
      </c>
      <c r="AA11" s="4" t="str">
        <f ca="1">IF(LEN(TRIM(Z11)) = 0, "Not Trained",
  IF(_xlfn.XLOOKUP($D11 &amp; "-" &amp; Z$2, TrainingMan!$G:$G, TrainingMan!$F:$F, "2-Year") = "Forever", "Valid",
    IF(Z11 &lt; TODAY() - 1, "Expired",
      IF(Z11 &lt;= TODAY() + 90, "Expiring", "Valid")
    )
  )
)</f>
        <v>Valid</v>
      </c>
      <c r="AB11" s="4">
        <v>43579</v>
      </c>
      <c r="AC11" s="4">
        <v>43969</v>
      </c>
      <c r="AD11" s="4">
        <v>44779</v>
      </c>
      <c r="AE11" s="4">
        <v>45355</v>
      </c>
      <c r="AF11" s="4">
        <v>45331</v>
      </c>
      <c r="AG11" s="4">
        <v>45006</v>
      </c>
      <c r="AH11" s="4"/>
      <c r="AI11" s="4"/>
      <c r="AJ11" s="4"/>
      <c r="AN11" s="4"/>
      <c r="AQ11" s="4"/>
      <c r="AR11" s="4"/>
      <c r="AS11" s="4"/>
      <c r="AT11" s="4"/>
      <c r="AU11" s="4"/>
      <c r="BB11" s="4">
        <v>46096</v>
      </c>
      <c r="BC11" s="4" t="s">
        <v>274</v>
      </c>
      <c r="BD11" s="4" t="s">
        <v>275</v>
      </c>
      <c r="BE11" s="4"/>
      <c r="BF11" s="4"/>
      <c r="BG11" s="4"/>
      <c r="BH11" s="4"/>
      <c r="BI11" s="4">
        <v>44467</v>
      </c>
      <c r="BJ11" s="4" t="s">
        <v>140</v>
      </c>
      <c r="BK11" t="s">
        <v>148</v>
      </c>
      <c r="BL11" s="4"/>
      <c r="BM11" s="4"/>
      <c r="BN11" s="4"/>
      <c r="BO11" s="4"/>
      <c r="BP11" s="4"/>
      <c r="BQ11">
        <f>COUNTIF('TrainingReq (Ach)'!B:B,Table13[[#This Row],[Job Title]])</f>
        <v>15</v>
      </c>
      <c r="BR11" cm="1">
        <f t="array" aca="1" ref="BR1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" s="5">
        <f t="shared" ca="1" si="0"/>
        <v>1</v>
      </c>
      <c r="BT11" t="s">
        <v>246</v>
      </c>
      <c r="BU11" t="s">
        <v>247</v>
      </c>
      <c r="BV11" t="s">
        <v>276</v>
      </c>
      <c r="BW11" s="4" t="s">
        <v>140</v>
      </c>
      <c r="BX11" t="s">
        <v>148</v>
      </c>
      <c r="BZ11" t="s">
        <v>277</v>
      </c>
      <c r="CC11" t="s">
        <v>278</v>
      </c>
      <c r="CD11" s="4">
        <v>47097</v>
      </c>
      <c r="CE11" s="4" t="str">
        <f ca="1">IF(
  _xlfn.XLOOKUP($D11 &amp; "-" &amp; CD$2, 'TrainingReq (Ach)'!$G:$G, 'TrainingReq (Ach)'!$F:$F, "2-Year") = "Forever",
  "Valid",
  IF(CD11="", "Not Trained",
     IF(CD11 &lt; TODAY() - 1, "Expired",
        IF(CD11 &lt;= TODAY() + 90, "Expiring", "Valid")
     )
  )
)</f>
        <v>Valid</v>
      </c>
      <c r="CF11" t="s">
        <v>250</v>
      </c>
      <c r="CG11" s="4">
        <v>55002</v>
      </c>
      <c r="CH11" s="4" t="str">
        <f ca="1">IF(
  _xlfn.XLOOKUP($D10 &amp; "-" &amp; CG$2, 'TrainingReq (Ach)'!$G:$G, 'TrainingReq (Ach)'!$F:$F, "2-Year") = "Forever",
  "Valid",
  IF(CG10="", "Not Trained",
     IF(CG10 &lt; TODAY() - 1, "Expired",
        IF(CG10 &lt;= TODAY() + 90, "Expiring", "Valid")
     )
  )
)</f>
        <v>Valid</v>
      </c>
      <c r="CI11" t="str">
        <f t="shared" si="1"/>
        <v>Eligible</v>
      </c>
      <c r="CJ11" t="str">
        <f t="shared" si="2"/>
        <v>Eligible</v>
      </c>
    </row>
    <row r="12" spans="1:88" x14ac:dyDescent="0.25">
      <c r="A12">
        <v>10</v>
      </c>
      <c r="B12">
        <v>582542</v>
      </c>
      <c r="C12" t="s">
        <v>279</v>
      </c>
      <c r="D12" t="s">
        <v>18</v>
      </c>
      <c r="E12" t="s">
        <v>263</v>
      </c>
      <c r="F12" t="s">
        <v>244</v>
      </c>
      <c r="G12" t="s">
        <v>48</v>
      </c>
      <c r="H12" s="4">
        <v>46858</v>
      </c>
      <c r="I12" s="4" t="str">
        <f ca="1">IF(
  _xlfn.XLOOKUP($D12 &amp; "-" &amp; H$2, 'TrainingReq (Ach)'!G:G, 'TrainingReq (Ach)'!F:F, "2-Year") = "Forever",
  "Valid",
  IF(H12="", "Not Trained",
     IF(H12 &lt; TODAY() - 1, "Expired",
        IF(H12 &lt;= TODAY() + 90, "Expiring", "Valid")
     )
  )
)</f>
        <v>Valid</v>
      </c>
      <c r="J12" s="4">
        <v>46858</v>
      </c>
      <c r="K12" s="4" t="str">
        <f ca="1">IF(
  _xlfn.XLOOKUP($D12 &amp; "-" &amp; J$2, 'TrainingReq (Ach)'!G:G, 'TrainingReq (Ach)'!F:F, "2-Year") = "Forever",
  "Valid",
  IF(J12="", "Not Trained",
     IF(J12 &lt; TODAY() - 1, "Expired",
        IF(J12 &lt;= TODAY() + 90, "Expiring", "Valid")
     )
  )
)</f>
        <v>Valid</v>
      </c>
      <c r="L12" s="4">
        <v>46898</v>
      </c>
      <c r="M12" s="4" t="str">
        <f ca="1">IF(
  _xlfn.XLOOKUP($D12 &amp; "-" &amp; L$2, TrainingMan!$G:$G, TrainingMan!$F:$F, "2-Year") = "Forever",
  "Valid",
  IF(L12="", "Not Trained",
     IF(L12 &lt; TODAY() - 1, "Expired",
        IF(L12 &lt;= TODAY() + 90, "Expiring", "Valid")
     )
  )
)</f>
        <v>Valid</v>
      </c>
      <c r="N12" s="4">
        <v>46898</v>
      </c>
      <c r="O12" s="4" t="str">
        <f ca="1">IF(
  _xlfn.XLOOKUP($D12 &amp; "-" &amp; N$2, TrainingMan!$G:$G, TrainingMan!$F:$F, "2-Year") = "Forever",
  "Valid",
  IF(N12="", "Not Trained",
     IF(N12 &lt; TODAY() - 1, "Expired",
        IF(N12 &lt;= TODAY() + 90, "Expiring", "Valid")
     )
  )
)</f>
        <v>Valid</v>
      </c>
      <c r="P12" s="4">
        <v>46898</v>
      </c>
      <c r="Q12" s="4" t="str">
        <f ca="1">IF(
  _xlfn.XLOOKUP($D12 &amp; "-" &amp; P$2, TrainingMan!$G:$G, TrainingMan!$F:$F, "2-Year") = "Forever",
  "Valid",
  IF(P12="", "Not Trained",
     IF(P12 &lt; TODAY() - 1, "Expired",
        IF(P12 &lt;= TODAY() + 90, "Expiring", "Valid")
     )
  )
)</f>
        <v>Valid</v>
      </c>
      <c r="R12" s="4">
        <v>46898</v>
      </c>
      <c r="S12" s="4" t="str">
        <f ca="1">IF(
  _xlfn.XLOOKUP($D12 &amp; "-" &amp; R$2, TrainingMan!$G:$G, TrainingMan!$F:$F, "2-Year") = "Forever",
  "Valid",
  IF(R12="", "Not Trained",
     IF(R12 &lt; TODAY() - 1, "Expired",
        IF(R12 &lt;= TODAY() + 90, "Expiring", "Valid")
     )
  )
)</f>
        <v>Valid</v>
      </c>
      <c r="T12" s="4">
        <v>46898</v>
      </c>
      <c r="U12" s="4" t="str">
        <f ca="1">IF(
  _xlfn.XLOOKUP($D12 &amp; "-" &amp; T$2, TrainingMan!$G:$G, TrainingMan!$F:$F, "2-Year") = "Forever",
  "Valid",
  IF(T12="", "Not Trained",
     IF(T12 &lt; TODAY() - 1, "Expired",
        IF(T12 &lt;= TODAY() + 90, "Expiring", "Valid")
     )
  )
)</f>
        <v>Valid</v>
      </c>
      <c r="V12" s="4">
        <v>46898</v>
      </c>
      <c r="W12" s="4" t="str">
        <f ca="1">IF(
  _xlfn.XLOOKUP($D12 &amp; "-" &amp; V$2, TrainingMan!$G:$G, TrainingMan!$F:$F, "2-Year") = "Forever",
  "Valid",
  IF(V12="", "Not Trained",
     IF(V12 &lt; TODAY() - 1, "Expired",
        IF(V12 &lt;= TODAY() + 90, "Expiring", "Valid")
     )
  )
)</f>
        <v>Valid</v>
      </c>
      <c r="X12" s="4">
        <v>46898</v>
      </c>
      <c r="Y12" s="4" t="str">
        <f ca="1">IF(
  _xlfn.XLOOKUP($D12 &amp; "-" &amp; X$2, TrainingMan!$G:$G, TrainingMan!$F:$F, "2-Year") = "Forever",
  "Valid",
  IF(X12="", "Not Trained",
     IF(X12 &lt; TODAY() - 1, "Expired",
        IF(X12 &lt;= TODAY() + 90, "Expiring", "Valid")
     )
  )
)</f>
        <v>Valid</v>
      </c>
      <c r="Z12" s="4">
        <v>45451</v>
      </c>
      <c r="AA12" s="4" t="str">
        <f ca="1">IF(LEN(TRIM(Z12)) = 0, "Not Trained",
  IF(_xlfn.XLOOKUP($D12 &amp; "-" &amp; Z$2, TrainingMan!$G:$G, TrainingMan!$F:$F, "2-Year") = "Forever", "Valid",
    IF(Z12 &lt; TODAY() - 1, "Expired",
      IF(Z12 &lt;= TODAY() + 90, "Expiring", "Valid")
    )
  )
)</f>
        <v>Valid</v>
      </c>
      <c r="AB12" s="4">
        <v>43742</v>
      </c>
      <c r="AC12" s="4">
        <v>45548</v>
      </c>
      <c r="AD12" s="4">
        <v>44589</v>
      </c>
      <c r="AE12" s="4">
        <v>45096</v>
      </c>
      <c r="AF12" s="4">
        <v>44644</v>
      </c>
      <c r="AG12" s="4">
        <v>45412</v>
      </c>
      <c r="AH12" s="4"/>
      <c r="AI12" s="4"/>
      <c r="AJ12" s="4"/>
      <c r="AN12" s="4"/>
      <c r="AQ12" s="4"/>
      <c r="AR12" s="4"/>
      <c r="AS12" s="4"/>
      <c r="AT12" s="4"/>
      <c r="AU12" s="4"/>
      <c r="BB12" s="4">
        <v>45997</v>
      </c>
      <c r="BC12" s="4" t="s">
        <v>280</v>
      </c>
      <c r="BD12" s="4" t="s">
        <v>269</v>
      </c>
      <c r="BE12" s="4"/>
      <c r="BF12" s="4"/>
      <c r="BG12" s="4"/>
      <c r="BH12" s="4"/>
      <c r="BI12" s="4">
        <v>44263</v>
      </c>
      <c r="BJ12" s="4" t="s">
        <v>144</v>
      </c>
      <c r="BK12" s="4"/>
      <c r="BL12" s="4"/>
      <c r="BM12" s="4"/>
      <c r="BN12" s="4" t="s">
        <v>281</v>
      </c>
      <c r="BO12" s="4"/>
      <c r="BP12" s="4"/>
      <c r="BQ12">
        <f>COUNTIF('TrainingReq (Ach)'!B:B,Table13[[#This Row],[Job Title]])</f>
        <v>15</v>
      </c>
      <c r="BR12" cm="1">
        <f t="array" aca="1" ref="BR1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" s="5">
        <f t="shared" ca="1" si="0"/>
        <v>1</v>
      </c>
      <c r="BT12" t="s">
        <v>246</v>
      </c>
      <c r="BU12" t="s">
        <v>247</v>
      </c>
      <c r="BV12" t="s">
        <v>270</v>
      </c>
      <c r="BW12" s="4" t="s">
        <v>144</v>
      </c>
      <c r="BZ12" t="s">
        <v>282</v>
      </c>
      <c r="CB12" s="26">
        <v>13763</v>
      </c>
      <c r="CC12" t="s">
        <v>283</v>
      </c>
      <c r="CD12" s="4">
        <v>47153</v>
      </c>
      <c r="CE12" s="4" t="str">
        <f ca="1">IF(
  _xlfn.XLOOKUP($D12 &amp; "-" &amp; CD$2, 'TrainingReq (Ach)'!$G:$G, 'TrainingReq (Ach)'!$F:$F, "2-Year") = "Forever",
  "Valid",
  IF(CD12="", "Not Trained",
     IF(CD12 &lt; TODAY() - 1, "Expired",
        IF(CD12 &lt;= TODAY() + 90, "Expiring", "Valid")
     )
  )
)</f>
        <v>Valid</v>
      </c>
      <c r="CF12" t="s">
        <v>250</v>
      </c>
      <c r="CG12" s="4">
        <v>55891</v>
      </c>
      <c r="CH12" s="4" t="str">
        <f ca="1">IF(
  _xlfn.XLOOKUP($D11 &amp; "-" &amp; CG$2, 'TrainingReq (Ach)'!$G:$G, 'TrainingReq (Ach)'!$F:$F, "2-Year") = "Forever",
  "Valid",
  IF(CG11="", "Not Trained",
     IF(CG11 &lt; TODAY() - 1, "Expired",
        IF(CG11 &lt;= TODAY() + 90, "Expiring", "Valid")
     )
  )
)</f>
        <v>Valid</v>
      </c>
      <c r="CI12" t="str">
        <f t="shared" si="1"/>
        <v>Eligible</v>
      </c>
      <c r="CJ12" t="str">
        <f t="shared" si="2"/>
        <v>Not eligible</v>
      </c>
    </row>
    <row r="13" spans="1:88" x14ac:dyDescent="0.25">
      <c r="A13">
        <v>11</v>
      </c>
      <c r="B13">
        <v>533498</v>
      </c>
      <c r="C13" t="s">
        <v>284</v>
      </c>
      <c r="D13" t="s">
        <v>22</v>
      </c>
      <c r="E13" t="s">
        <v>285</v>
      </c>
      <c r="F13" t="s">
        <v>244</v>
      </c>
      <c r="G13" t="s">
        <v>48</v>
      </c>
      <c r="H13" s="4">
        <v>46956</v>
      </c>
      <c r="I13" s="4" t="str">
        <f ca="1">IF(
  _xlfn.XLOOKUP($D13 &amp; "-" &amp; H$2, 'TrainingReq (Ach)'!G:G, 'TrainingReq (Ach)'!F:F, "2-Year") = "Forever",
  "Valid",
  IF(H13="", "Not Trained",
     IF(H13 &lt; TODAY() - 1, "Expired",
        IF(H13 &lt;= TODAY() + 90, "Expiring", "Valid")
     )
  )
)</f>
        <v>Valid</v>
      </c>
      <c r="J13" s="4">
        <v>46956</v>
      </c>
      <c r="K13" s="4" t="str">
        <f ca="1">IF(
  _xlfn.XLOOKUP($D13 &amp; "-" &amp; J$2, 'TrainingReq (Ach)'!G:G, 'TrainingReq (Ach)'!F:F, "2-Year") = "Forever",
  "Valid",
  IF(J13="", "Not Trained",
     IF(J13 &lt; TODAY() - 1, "Expired",
        IF(J13 &lt;= TODAY() + 90, "Expiring", "Valid")
     )
  )
)</f>
        <v>Valid</v>
      </c>
      <c r="L13" s="4">
        <v>46368</v>
      </c>
      <c r="M13" s="4" t="str">
        <f ca="1">IF(
  _xlfn.XLOOKUP($D13 &amp; "-" &amp; L$2, TrainingMan!$G:$G, TrainingMan!$F:$F, "2-Year") = "Forever",
  "Valid",
  IF(L13="", "Not Trained",
     IF(L13 &lt; TODAY() - 1, "Expired",
        IF(L13 &lt;= TODAY() + 90, "Expiring", "Valid")
     )
  )
)</f>
        <v>Valid</v>
      </c>
      <c r="N13" s="4">
        <v>46368</v>
      </c>
      <c r="O13" s="4" t="str">
        <f ca="1">IF(
  _xlfn.XLOOKUP($D13 &amp; "-" &amp; N$2, TrainingMan!$G:$G, TrainingMan!$F:$F, "2-Year") = "Forever",
  "Valid",
  IF(N13="", "Not Trained",
     IF(N13 &lt; TODAY() - 1, "Expired",
        IF(N13 &lt;= TODAY() + 90, "Expiring", "Valid")
     )
  )
)</f>
        <v>Valid</v>
      </c>
      <c r="P13" s="4">
        <v>46305</v>
      </c>
      <c r="Q13" s="4" t="str">
        <f ca="1">IF(
  _xlfn.XLOOKUP($D13 &amp; "-" &amp; P$2, TrainingMan!$G:$G, TrainingMan!$F:$F, "2-Year") = "Forever",
  "Valid",
  IF(P13="", "Not Trained",
     IF(P13 &lt; TODAY() - 1, "Expired",
        IF(P13 &lt;= TODAY() + 90, "Expiring", "Valid")
     )
  )
)</f>
        <v>Expiring</v>
      </c>
      <c r="R13" s="4">
        <v>46368</v>
      </c>
      <c r="S13" s="4" t="str">
        <f ca="1">IF(
  _xlfn.XLOOKUP($D13 &amp; "-" &amp; R$2, TrainingMan!$G:$G, TrainingMan!$F:$F, "2-Year") = "Forever",
  "Valid",
  IF(R13="", "Not Trained",
     IF(R13 &lt; TODAY() - 1, "Expired",
        IF(R13 &lt;= TODAY() + 90, "Expiring", "Valid")
     )
  )
)</f>
        <v>Valid</v>
      </c>
      <c r="T13" s="4">
        <v>46305</v>
      </c>
      <c r="U13" s="4" t="str">
        <f ca="1">IF(
  _xlfn.XLOOKUP($D13 &amp; "-" &amp; T$2, TrainingMan!$G:$G, TrainingMan!$F:$F, "2-Year") = "Forever",
  "Valid",
  IF(T13="", "Not Trained",
     IF(T13 &lt; TODAY() - 1, "Expired",
        IF(T13 &lt;= TODAY() + 90, "Expiring", "Valid")
     )
  )
)</f>
        <v>Expiring</v>
      </c>
      <c r="V13" s="4">
        <v>46598</v>
      </c>
      <c r="W13" s="4" t="str">
        <f ca="1">IF(
  _xlfn.XLOOKUP($D13 &amp; "-" &amp; V$2, TrainingMan!$G:$G, TrainingMan!$F:$F, "2-Year") = "Forever",
  "Valid",
  IF(V13="", "Not Trained",
     IF(V13 &lt; TODAY() - 1, "Expired",
        IF(V13 &lt;= TODAY() + 90, "Expiring", "Valid")
     )
  )
)</f>
        <v>Valid</v>
      </c>
      <c r="X13" s="4">
        <v>46598</v>
      </c>
      <c r="Y13" s="4" t="str">
        <f ca="1">IF(
  _xlfn.XLOOKUP($D13 &amp; "-" &amp; X$2, TrainingMan!$G:$G, TrainingMan!$F:$F, "2-Year") = "Forever",
  "Valid",
  IF(X13="", "Not Trained",
     IF(X13 &lt; TODAY() - 1, "Expired",
        IF(X13 &lt;= TODAY() + 90, "Expiring", "Valid")
     )
  )
)</f>
        <v>Valid</v>
      </c>
      <c r="Z13" s="4">
        <v>44443</v>
      </c>
      <c r="AA13" s="4" t="str">
        <f ca="1">IF(LEN(TRIM(Z13)) = 0, "Not Trained",
  IF(_xlfn.XLOOKUP($D13 &amp; "-" &amp; Z$2, TrainingMan!$G:$G, TrainingMan!$F:$F, "2-Year") = "Forever", "Valid",
    IF(Z13 &lt; TODAY() - 1, "Expired",
      IF(Z13 &lt;= TODAY() + 90, "Expiring", "Valid")
    )
  )
)</f>
        <v>Valid</v>
      </c>
      <c r="AB13" s="4">
        <v>40851</v>
      </c>
      <c r="AC13" s="4">
        <v>42517</v>
      </c>
      <c r="AD13" s="4">
        <v>42837</v>
      </c>
      <c r="AE13" s="4">
        <v>44529</v>
      </c>
      <c r="AF13" s="4">
        <v>44230</v>
      </c>
      <c r="AG13" s="4">
        <v>44782</v>
      </c>
      <c r="AH13" s="4"/>
      <c r="AI13" s="4"/>
      <c r="AJ13" s="4"/>
      <c r="AN13" s="4"/>
      <c r="AP13" s="4">
        <v>45882</v>
      </c>
      <c r="AQ13" s="4">
        <v>46366</v>
      </c>
      <c r="AR13" s="4">
        <v>46074</v>
      </c>
      <c r="AS13" s="4">
        <v>46290</v>
      </c>
      <c r="AT13" s="4"/>
      <c r="AU13" s="4"/>
      <c r="BB13" s="4"/>
      <c r="BC13" s="4" t="s">
        <v>260</v>
      </c>
      <c r="BD13" s="4" t="s">
        <v>245</v>
      </c>
      <c r="BE13" s="4"/>
      <c r="BF13" s="4"/>
      <c r="BG13" s="4"/>
      <c r="BH13" s="4"/>
      <c r="BI13" s="4">
        <v>43019</v>
      </c>
      <c r="BJ13" s="4" t="s">
        <v>151</v>
      </c>
      <c r="BK13" s="4"/>
      <c r="BL13" s="4"/>
      <c r="BM13" s="4"/>
      <c r="BN13" s="4"/>
      <c r="BO13" s="4"/>
      <c r="BP13" s="4"/>
      <c r="BQ13">
        <f>COUNTIF('TrainingReq (Ach)'!B:B,Table13[[#This Row],[Job Title]])</f>
        <v>14</v>
      </c>
      <c r="BR13" cm="1">
        <f t="array" aca="1" ref="BR1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3" s="5">
        <f t="shared" ca="1" si="0"/>
        <v>1</v>
      </c>
      <c r="BT13" t="s">
        <v>246</v>
      </c>
      <c r="BU13" t="s">
        <v>238</v>
      </c>
      <c r="BV13" t="s">
        <v>256</v>
      </c>
      <c r="BW13" s="4" t="s">
        <v>151</v>
      </c>
      <c r="BZ13" t="s">
        <v>286</v>
      </c>
      <c r="CC13" t="s">
        <v>287</v>
      </c>
      <c r="CD13" s="4">
        <v>46294</v>
      </c>
      <c r="CE13" s="4" t="str">
        <f ca="1">IF(
  _xlfn.XLOOKUP($D13 &amp; "-" &amp; CD$2, 'TrainingReq (Ach)'!$G:$G, 'TrainingReq (Ach)'!$F:$F, "2-Year") = "Forever",
  "Valid",
  IF(CD13="", "Not Trained",
     IF(CD13 &lt; TODAY() - 1, "Expired",
        IF(CD13 &lt;= TODAY() + 90, "Expiring", "Valid")
     )
  )
)</f>
        <v>Expiring</v>
      </c>
      <c r="CF13" t="s">
        <v>250</v>
      </c>
      <c r="CG13" s="4">
        <v>53549</v>
      </c>
      <c r="CH13" s="4" t="str">
        <f ca="1">IF(
  _xlfn.XLOOKUP($D12 &amp; "-" &amp; CG$2, 'TrainingReq (Ach)'!$G:$G, 'TrainingReq (Ach)'!$F:$F, "2-Year") = "Forever",
  "Valid",
  IF(CG12="", "Not Trained",
     IF(CG12 &lt; TODAY() - 1, "Expired",
        IF(CG12 &lt;= TODAY() + 90, "Expiring", "Valid")
     )
  )
)</f>
        <v>Valid</v>
      </c>
      <c r="CI13" t="str">
        <f t="shared" si="1"/>
        <v>Eligible</v>
      </c>
      <c r="CJ13" t="str">
        <f t="shared" si="2"/>
        <v>Not eligible</v>
      </c>
    </row>
    <row r="14" spans="1:88" x14ac:dyDescent="0.25">
      <c r="A14">
        <v>12</v>
      </c>
      <c r="B14">
        <v>533457</v>
      </c>
      <c r="C14" t="s">
        <v>288</v>
      </c>
      <c r="D14" t="s">
        <v>6</v>
      </c>
      <c r="E14" t="s">
        <v>243</v>
      </c>
      <c r="F14" t="s">
        <v>244</v>
      </c>
      <c r="G14" t="s">
        <v>48</v>
      </c>
      <c r="H14" s="4">
        <v>46960</v>
      </c>
      <c r="I14" s="4" t="str">
        <f ca="1">IF(
  _xlfn.XLOOKUP($D14 &amp; "-" &amp; H$2, 'TrainingReq (Ach)'!G:G, 'TrainingReq (Ach)'!F:F, "2-Year") = "Forever",
  "Valid",
  IF(H14="", "Not Trained",
     IF(H14 &lt; TODAY() - 1, "Expired",
        IF(H14 &lt;= TODAY() + 90, "Expiring", "Valid")
     )
  )
)</f>
        <v>Valid</v>
      </c>
      <c r="J14" s="4">
        <v>46960</v>
      </c>
      <c r="K14" s="4" t="str">
        <f ca="1">IF(
  _xlfn.XLOOKUP($D14 &amp; "-" &amp; J$2, 'TrainingReq (Ach)'!G:G, 'TrainingReq (Ach)'!F:F, "2-Year") = "Forever",
  "Valid",
  IF(J14="", "Not Trained",
     IF(J14 &lt; TODAY() - 1, "Expired",
        IF(J14 &lt;= TODAY() + 90, "Expiring", "Valid")
     )
  )
)</f>
        <v>Valid</v>
      </c>
      <c r="L14" s="4">
        <v>46311</v>
      </c>
      <c r="M14" s="4" t="str">
        <f ca="1">IF(
  _xlfn.XLOOKUP($D14 &amp; "-" &amp; L$2, TrainingMan!$G:$G, TrainingMan!$F:$F, "2-Year") = "Forever",
  "Valid",
  IF(L14="", "Not Trained",
     IF(L14 &lt; TODAY() - 1, "Expired",
        IF(L14 &lt;= TODAY() + 90, "Expiring", "Valid")
     )
  )
)</f>
        <v>Expiring</v>
      </c>
      <c r="N14" s="4">
        <v>46311</v>
      </c>
      <c r="O14" s="4" t="str">
        <f ca="1">IF(
  _xlfn.XLOOKUP($D14 &amp; "-" &amp; N$2, TrainingMan!$G:$G, TrainingMan!$F:$F, "2-Year") = "Forever",
  "Valid",
  IF(N14="", "Not Trained",
     IF(N14 &lt; TODAY() - 1, "Expired",
        IF(N14 &lt;= TODAY() + 90, "Expiring", "Valid")
     )
  )
)</f>
        <v>Expiring</v>
      </c>
      <c r="P14" s="4">
        <v>46311</v>
      </c>
      <c r="Q14" s="4" t="str">
        <f ca="1">IF(
  _xlfn.XLOOKUP($D14 &amp; "-" &amp; P$2, TrainingMan!$G:$G, TrainingMan!$F:$F, "2-Year") = "Forever",
  "Valid",
  IF(P14="", "Not Trained",
     IF(P14 &lt; TODAY() - 1, "Expired",
        IF(P14 &lt;= TODAY() + 90, "Expiring", "Valid")
     )
  )
)</f>
        <v>Expiring</v>
      </c>
      <c r="R14" s="4">
        <v>46311</v>
      </c>
      <c r="S14" s="4" t="str">
        <f ca="1">IF(
  _xlfn.XLOOKUP($D14 &amp; "-" &amp; R$2, TrainingMan!$G:$G, TrainingMan!$F:$F, "2-Year") = "Forever",
  "Valid",
  IF(R14="", "Not Trained",
     IF(R14 &lt; TODAY() - 1, "Expired",
        IF(R14 &lt;= TODAY() + 90, "Expiring", "Valid")
     )
  )
)</f>
        <v>Expiring</v>
      </c>
      <c r="T14" s="4">
        <v>46597</v>
      </c>
      <c r="U14" s="4" t="str">
        <f ca="1">IF(
  _xlfn.XLOOKUP($D14 &amp; "-" &amp; T$2, TrainingMan!$G:$G, TrainingMan!$F:$F, "2-Year") = "Forever",
  "Valid",
  IF(T14="", "Not Trained",
     IF(T14 &lt; TODAY() - 1, "Expired",
        IF(T14 &lt;= TODAY() + 90, "Expiring", "Valid")
     )
  )
)</f>
        <v>Valid</v>
      </c>
      <c r="V14" s="4">
        <v>46311</v>
      </c>
      <c r="W14" s="4" t="str">
        <f ca="1">IF(
  _xlfn.XLOOKUP($D14 &amp; "-" &amp; V$2, TrainingMan!$G:$G, TrainingMan!$F:$F, "2-Year") = "Forever",
  "Valid",
  IF(V14="", "Not Trained",
     IF(V14 &lt; TODAY() - 1, "Expired",
        IF(V14 &lt;= TODAY() + 90, "Expiring", "Valid")
     )
  )
)</f>
        <v>Expiring</v>
      </c>
      <c r="X14" s="4">
        <v>46311</v>
      </c>
      <c r="Y14" s="4" t="str">
        <f ca="1">IF(
  _xlfn.XLOOKUP($D14 &amp; "-" &amp; X$2, TrainingMan!$G:$G, TrainingMan!$F:$F, "2-Year") = "Forever",
  "Valid",
  IF(X14="", "Not Trained",
     IF(X14 &lt; TODAY() - 1, "Expired",
        IF(X14 &lt;= TODAY() + 90, "Expiring", "Valid")
     )
  )
)</f>
        <v>Expiring</v>
      </c>
      <c r="Z14" s="4">
        <v>44366</v>
      </c>
      <c r="AA14" s="4" t="str">
        <f ca="1">IF(LEN(TRIM(Z14)) = 0, "Not Trained",
  IF(_xlfn.XLOOKUP($D14 &amp; "-" &amp; Z$2, TrainingMan!$G:$G, TrainingMan!$F:$F, "2-Year") = "Forever", "Valid",
    IF(Z14 &lt; TODAY() - 1, "Expired",
      IF(Z14 &lt;= TODAY() + 90, "Expiring", "Valid")
    )
  )
)</f>
        <v>Valid</v>
      </c>
      <c r="AB14" s="4">
        <v>40843</v>
      </c>
      <c r="AC14" s="4">
        <v>43653</v>
      </c>
      <c r="AD14" s="4">
        <v>43030</v>
      </c>
      <c r="AE14" s="4">
        <v>45620</v>
      </c>
      <c r="AF14" s="4">
        <v>45585</v>
      </c>
      <c r="AG14" s="4">
        <v>44733</v>
      </c>
      <c r="AH14" s="4"/>
      <c r="AI14" s="4"/>
      <c r="AJ14" s="4"/>
      <c r="AN14" s="4"/>
      <c r="AQ14" s="4"/>
      <c r="AR14" s="4"/>
      <c r="AS14" s="4"/>
      <c r="AT14" s="4"/>
      <c r="AU14" s="4"/>
      <c r="BB14" s="4">
        <v>45921</v>
      </c>
      <c r="BC14" s="4" t="s">
        <v>289</v>
      </c>
      <c r="BD14" s="4" t="s">
        <v>254</v>
      </c>
      <c r="BE14" s="4"/>
      <c r="BF14" s="4"/>
      <c r="BG14" s="4"/>
      <c r="BH14" s="4"/>
      <c r="BI14" s="4">
        <v>43017</v>
      </c>
      <c r="BJ14" s="4" t="s">
        <v>151</v>
      </c>
      <c r="BK14" s="4"/>
      <c r="BL14" s="4"/>
      <c r="BM14" s="4"/>
      <c r="BN14" s="4"/>
      <c r="BO14" s="4"/>
      <c r="BP14" s="4"/>
      <c r="BQ14">
        <f>COUNTIF('TrainingReq (Ach)'!B:B,Table13[[#This Row],[Job Title]])</f>
        <v>15</v>
      </c>
      <c r="BR14" cm="1">
        <f t="array" aca="1" ref="BR1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4" s="5">
        <f t="shared" ca="1" si="0"/>
        <v>1</v>
      </c>
      <c r="BT14" t="s">
        <v>246</v>
      </c>
      <c r="BU14" t="s">
        <v>247</v>
      </c>
      <c r="BV14" t="s">
        <v>256</v>
      </c>
      <c r="BW14" s="4" t="s">
        <v>151</v>
      </c>
      <c r="BZ14" t="s">
        <v>290</v>
      </c>
      <c r="CA14">
        <v>1</v>
      </c>
      <c r="CC14" t="s">
        <v>291</v>
      </c>
      <c r="CD14" s="4">
        <v>46294</v>
      </c>
      <c r="CE14" s="4" t="str">
        <f ca="1">IF(
  _xlfn.XLOOKUP($D14 &amp; "-" &amp; CD$2, 'TrainingReq (Ach)'!$G:$G, 'TrainingReq (Ach)'!$F:$F, "2-Year") = "Forever",
  "Valid",
  IF(CD14="", "Not Trained",
     IF(CD14 &lt; TODAY() - 1, "Expired",
        IF(CD14 &lt;= TODAY() + 90, "Expiring", "Valid")
     )
  )
)</f>
        <v>Expiring</v>
      </c>
      <c r="CF14" t="s">
        <v>250</v>
      </c>
      <c r="CG14" s="4">
        <v>53789</v>
      </c>
      <c r="CH14" s="4" t="str">
        <f ca="1">IF(
  _xlfn.XLOOKUP($D13 &amp; "-" &amp; CG$2, 'TrainingReq (Ach)'!$G:$G, 'TrainingReq (Ach)'!$F:$F, "2-Year") = "Forever",
  "Valid",
  IF(CG13="", "Not Trained",
     IF(CG13 &lt; TODAY() - 1, "Expired",
        IF(CG13 &lt;= TODAY() + 90, "Expiring", "Valid")
     )
  )
)</f>
        <v>Valid</v>
      </c>
      <c r="CI14" t="str">
        <f t="shared" si="1"/>
        <v>Eligible</v>
      </c>
      <c r="CJ14" t="str">
        <f t="shared" si="2"/>
        <v>Not eligible</v>
      </c>
    </row>
    <row r="15" spans="1:88" x14ac:dyDescent="0.25">
      <c r="A15">
        <v>13</v>
      </c>
      <c r="B15">
        <v>580790</v>
      </c>
      <c r="C15" t="s">
        <v>69</v>
      </c>
      <c r="D15" t="s">
        <v>15</v>
      </c>
      <c r="E15" t="s">
        <v>292</v>
      </c>
      <c r="F15" t="s">
        <v>244</v>
      </c>
      <c r="G15" t="s">
        <v>51</v>
      </c>
      <c r="H15" s="4">
        <v>46640</v>
      </c>
      <c r="I15" s="4" t="str">
        <f ca="1">IF(
  _xlfn.XLOOKUP($D15 &amp; "-" &amp; H$2, 'TrainingReq (Ach)'!G:G, 'TrainingReq (Ach)'!F:F, "2-Year") = "Forever",
  "Valid",
  IF(H15="", "Not Trained",
     IF(H15 &lt; TODAY() - 1, "Expired",
        IF(H15 &lt;= TODAY() + 90, "Expiring", "Valid")
     )
  )
)</f>
        <v>Valid</v>
      </c>
      <c r="J15" s="4">
        <v>46640</v>
      </c>
      <c r="K15" s="4" t="str">
        <f ca="1">IF(
  _xlfn.XLOOKUP($D15 &amp; "-" &amp; J$2, 'TrainingReq (Ach)'!G:G, 'TrainingReq (Ach)'!F:F, "2-Year") = "Forever",
  "Valid",
  IF(J15="", "Not Trained",
     IF(J15 &lt; TODAY() - 1, "Expired",
        IF(J15 &lt;= TODAY() + 90, "Expiring", "Valid")
     )
  )
)</f>
        <v>Valid</v>
      </c>
      <c r="L15" s="4">
        <v>46810</v>
      </c>
      <c r="M15" s="4" t="str">
        <f ca="1">IF(
  _xlfn.XLOOKUP($D15 &amp; "-" &amp; L$2, TrainingMan!$G:$G, TrainingMan!$F:$F, "2-Year") = "Forever",
  "Valid",
  IF(L15="", "Not Trained",
     IF(L15 &lt; TODAY() - 1, "Expired",
        IF(L15 &lt;= TODAY() + 90, "Expiring", "Valid")
     )
  )
)</f>
        <v>Valid</v>
      </c>
      <c r="N15" s="4">
        <v>46793</v>
      </c>
      <c r="O15" s="4" t="str">
        <f ca="1">IF(
  _xlfn.XLOOKUP($D15 &amp; "-" &amp; N$2, TrainingMan!$G:$G, TrainingMan!$F:$F, "2-Year") = "Forever",
  "Valid",
  IF(N15="", "Not Trained",
     IF(N15 &lt; TODAY() - 1, "Expired",
        IF(N15 &lt;= TODAY() + 90, "Expiring", "Valid")
     )
  )
)</f>
        <v>Valid</v>
      </c>
      <c r="P15" s="4">
        <v>46793</v>
      </c>
      <c r="Q15" s="4" t="str">
        <f ca="1">IF(
  _xlfn.XLOOKUP($D15 &amp; "-" &amp; P$2, TrainingMan!$G:$G, TrainingMan!$F:$F, "2-Year") = "Forever",
  "Valid",
  IF(P15="", "Not Trained",
     IF(P15 &lt; TODAY() - 1, "Expired",
        IF(P15 &lt;= TODAY() + 90, "Expiring", "Valid")
     )
  )
)</f>
        <v>Valid</v>
      </c>
      <c r="R15" s="4">
        <v>46793</v>
      </c>
      <c r="S15" s="4" t="str">
        <f ca="1">IF(
  _xlfn.XLOOKUP($D15 &amp; "-" &amp; R$2, TrainingMan!$G:$G, TrainingMan!$F:$F, "2-Year") = "Forever",
  "Valid",
  IF(R15="", "Not Trained",
     IF(R15 &lt; TODAY() - 1, "Expired",
        IF(R15 &lt;= TODAY() + 90, "Expiring", "Valid")
     )
  )
)</f>
        <v>Valid</v>
      </c>
      <c r="T15" s="4">
        <v>46793</v>
      </c>
      <c r="U15" s="4" t="str">
        <f ca="1">IF(
  _xlfn.XLOOKUP($D15 &amp; "-" &amp; T$2, TrainingMan!$G:$G, TrainingMan!$F:$F, "2-Year") = "Forever",
  "Valid",
  IF(T15="", "Not Trained",
     IF(T15 &lt; TODAY() - 1, "Expired",
        IF(T15 &lt;= TODAY() + 90, "Expiring", "Valid")
     )
  )
)</f>
        <v>Valid</v>
      </c>
      <c r="V15" s="4">
        <v>46810</v>
      </c>
      <c r="W15" s="4" t="str">
        <f ca="1">IF(
  _xlfn.XLOOKUP($D15 &amp; "-" &amp; V$2, TrainingMan!$G:$G, TrainingMan!$F:$F, "2-Year") = "Forever",
  "Valid",
  IF(V15="", "Not Trained",
     IF(V15 &lt; TODAY() - 1, "Expired",
        IF(V15 &lt;= TODAY() + 90, "Expiring", "Valid")
     )
  )
)</f>
        <v>Valid</v>
      </c>
      <c r="X15" s="4">
        <v>46404</v>
      </c>
      <c r="Y15" s="4" t="str">
        <f ca="1">IF(
  _xlfn.XLOOKUP($D15 &amp; "-" &amp; X$2, TrainingMan!$G:$G, TrainingMan!$F:$F, "2-Year") = "Forever",
  "Valid",
  IF(X15="", "Not Trained",
     IF(X15 &lt; TODAY() - 1, "Expired",
        IF(X15 &lt;= TODAY() + 90, "Expiring", "Valid")
     )
  )
)</f>
        <v>Valid</v>
      </c>
      <c r="Z15" s="4">
        <v>45449</v>
      </c>
      <c r="AA15" s="4" t="str">
        <f ca="1">IF(LEN(TRIM(Z15)) = 0, "Not Trained",
  IF(_xlfn.XLOOKUP($D15 &amp; "-" &amp; Z$2, TrainingMan!$G:$G, TrainingMan!$F:$F, "2-Year") = "Forever", "Valid",
    IF(Z15 &lt; TODAY() - 1, "Expired",
      IF(Z15 &lt;= TODAY() + 90, "Expiring", "Valid")
    )
  )
)</f>
        <v>Valid</v>
      </c>
      <c r="AB15" s="4">
        <v>43660</v>
      </c>
      <c r="AC15" s="4">
        <v>44130</v>
      </c>
      <c r="AD15" s="4"/>
      <c r="AE15" s="4"/>
      <c r="AF15" s="4">
        <v>44875</v>
      </c>
      <c r="AG15" s="4"/>
      <c r="AH15" s="4"/>
      <c r="AI15" s="4"/>
      <c r="AJ15" s="4"/>
      <c r="AN15" s="4"/>
      <c r="AQ15" s="4"/>
      <c r="AR15" s="4"/>
      <c r="AS15" s="4"/>
      <c r="AT15" s="4"/>
      <c r="AU15" s="4"/>
      <c r="BB15" s="4">
        <v>46039</v>
      </c>
      <c r="BC15" s="4" t="s">
        <v>293</v>
      </c>
      <c r="BD15" s="4" t="s">
        <v>294</v>
      </c>
      <c r="BE15" s="4">
        <v>41513</v>
      </c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>
        <f>COUNTIF('TrainingReq (Ach)'!B:B,Table13[[#This Row],[Job Title]])</f>
        <v>13</v>
      </c>
      <c r="BR15" cm="1">
        <f t="array" aca="1" ref="BR1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5" s="5">
        <f t="shared" ca="1" si="0"/>
        <v>1</v>
      </c>
      <c r="BT15" t="s">
        <v>246</v>
      </c>
      <c r="BU15" t="s">
        <v>247</v>
      </c>
      <c r="BW15" s="4"/>
      <c r="CC15" t="s">
        <v>295</v>
      </c>
      <c r="CD15" s="4"/>
      <c r="CE15" s="4" t="str">
        <f ca="1">IF(
  _xlfn.XLOOKUP($D15 &amp; "-" &amp; CD$2, 'TrainingReq (Ach)'!$G:$G, 'TrainingReq (Ach)'!$F:$F, "2-Year") = "Forever",
  "Valid",
  IF(CD15="", "Not Trained",
     IF(CD15 &lt; TODAY() - 1, "Expired",
        IF(CD15 &lt;= TODAY() + 90, "Expiring", "Valid")
     )
  )
)</f>
        <v>Not Trained</v>
      </c>
      <c r="CF15" t="s">
        <v>250</v>
      </c>
      <c r="CG15" s="4">
        <v>54205</v>
      </c>
      <c r="CH15" s="4" t="str">
        <f ca="1">IF(
  _xlfn.XLOOKUP($D14 &amp; "-" &amp; CG$2, 'TrainingReq (Ach)'!$G:$G, 'TrainingReq (Ach)'!$F:$F, "2-Year") = "Forever",
  "Valid",
  IF(CG14="", "Not Trained",
     IF(CG14 &lt; TODAY() - 1, "Expired",
        IF(CG14 &lt;= TODAY() + 90, "Expiring", "Valid")
     )
  )
)</f>
        <v>Valid</v>
      </c>
      <c r="CI15" t="str">
        <f t="shared" si="1"/>
        <v>Not eligible</v>
      </c>
      <c r="CJ15" t="str">
        <f t="shared" si="2"/>
        <v>Not eligible</v>
      </c>
    </row>
    <row r="16" spans="1:88" x14ac:dyDescent="0.25">
      <c r="A16">
        <v>14</v>
      </c>
      <c r="B16">
        <v>580950</v>
      </c>
      <c r="C16" t="s">
        <v>296</v>
      </c>
      <c r="D16" t="s">
        <v>18</v>
      </c>
      <c r="E16" t="s">
        <v>263</v>
      </c>
      <c r="F16" t="s">
        <v>244</v>
      </c>
      <c r="G16" t="s">
        <v>48</v>
      </c>
      <c r="H16" s="4">
        <v>46375</v>
      </c>
      <c r="I16" s="4" t="str">
        <f ca="1">IF(
  _xlfn.XLOOKUP($D16 &amp; "-" &amp; H$2, 'TrainingReq (Ach)'!G:G, 'TrainingReq (Ach)'!F:F, "2-Year") = "Forever",
  "Valid",
  IF(H16="", "Not Trained",
     IF(H16 &lt; TODAY() - 1, "Expired",
        IF(H16 &lt;= TODAY() + 90, "Expiring", "Valid")
     )
  )
)</f>
        <v>Valid</v>
      </c>
      <c r="J16" s="4">
        <v>46375</v>
      </c>
      <c r="K16" s="4" t="str">
        <f ca="1">IF(
  _xlfn.XLOOKUP($D16 &amp; "-" &amp; J$2, 'TrainingReq (Ach)'!G:G, 'TrainingReq (Ach)'!F:F, "2-Year") = "Forever",
  "Valid",
  IF(J16="", "Not Trained",
     IF(J16 &lt; TODAY() - 1, "Expired",
        IF(J16 &lt;= TODAY() + 90, "Expiring", "Valid")
     )
  )
)</f>
        <v>Valid</v>
      </c>
      <c r="L16" s="4">
        <v>46884</v>
      </c>
      <c r="M16" s="4" t="str">
        <f ca="1">IF(
  _xlfn.XLOOKUP($D16 &amp; "-" &amp; L$2, TrainingMan!$G:$G, TrainingMan!$F:$F, "2-Year") = "Forever",
  "Valid",
  IF(L16="", "Not Trained",
     IF(L16 &lt; TODAY() - 1, "Expired",
        IF(L16 &lt;= TODAY() + 90, "Expiring", "Valid")
     )
  )
)</f>
        <v>Valid</v>
      </c>
      <c r="N16" s="4">
        <v>46884</v>
      </c>
      <c r="O16" s="4" t="str">
        <f ca="1">IF(
  _xlfn.XLOOKUP($D16 &amp; "-" &amp; N$2, TrainingMan!$G:$G, TrainingMan!$F:$F, "2-Year") = "Forever",
  "Valid",
  IF(N16="", "Not Trained",
     IF(N16 &lt; TODAY() - 1, "Expired",
        IF(N16 &lt;= TODAY() + 90, "Expiring", "Valid")
     )
  )
)</f>
        <v>Valid</v>
      </c>
      <c r="P16" s="4">
        <v>46884</v>
      </c>
      <c r="Q16" s="4" t="str">
        <f ca="1">IF(
  _xlfn.XLOOKUP($D16 &amp; "-" &amp; P$2, TrainingMan!$G:$G, TrainingMan!$F:$F, "2-Year") = "Forever",
  "Valid",
  IF(P16="", "Not Trained",
     IF(P16 &lt; TODAY() - 1, "Expired",
        IF(P16 &lt;= TODAY() + 90, "Expiring", "Valid")
     )
  )
)</f>
        <v>Valid</v>
      </c>
      <c r="R16" s="4">
        <v>46884</v>
      </c>
      <c r="S16" s="4" t="str">
        <f ca="1">IF(
  _xlfn.XLOOKUP($D16 &amp; "-" &amp; R$2, TrainingMan!$G:$G, TrainingMan!$F:$F, "2-Year") = "Forever",
  "Valid",
  IF(R16="", "Not Trained",
     IF(R16 &lt; TODAY() - 1, "Expired",
        IF(R16 &lt;= TODAY() + 90, "Expiring", "Valid")
     )
  )
)</f>
        <v>Valid</v>
      </c>
      <c r="T16" s="4">
        <v>46884</v>
      </c>
      <c r="U16" s="4" t="str">
        <f ca="1">IF(
  _xlfn.XLOOKUP($D16 &amp; "-" &amp; T$2, TrainingMan!$G:$G, TrainingMan!$F:$F, "2-Year") = "Forever",
  "Valid",
  IF(T16="", "Not Trained",
     IF(T16 &lt; TODAY() - 1, "Expired",
        IF(T16 &lt;= TODAY() + 90, "Expiring", "Valid")
     )
  )
)</f>
        <v>Valid</v>
      </c>
      <c r="V16" s="4">
        <v>46884</v>
      </c>
      <c r="W16" s="4" t="str">
        <f ca="1">IF(
  _xlfn.XLOOKUP($D16 &amp; "-" &amp; V$2, TrainingMan!$G:$G, TrainingMan!$F:$F, "2-Year") = "Forever",
  "Valid",
  IF(V16="", "Not Trained",
     IF(V16 &lt; TODAY() - 1, "Expired",
        IF(V16 &lt;= TODAY() + 90, "Expiring", "Valid")
     )
  )
)</f>
        <v>Valid</v>
      </c>
      <c r="X16" s="4">
        <v>46884</v>
      </c>
      <c r="Y16" s="4" t="str">
        <f ca="1">IF(
  _xlfn.XLOOKUP($D16 &amp; "-" &amp; X$2, TrainingMan!$G:$G, TrainingMan!$F:$F, "2-Year") = "Forever",
  "Valid",
  IF(X16="", "Not Trained",
     IF(X16 &lt; TODAY() - 1, "Expired",
        IF(X16 &lt;= TODAY() + 90, "Expiring", "Valid")
     )
  )
)</f>
        <v>Valid</v>
      </c>
      <c r="Z16" s="4">
        <v>45427</v>
      </c>
      <c r="AA16" s="4" t="str">
        <f ca="1">IF(LEN(TRIM(Z16)) = 0, "Not Trained",
  IF(_xlfn.XLOOKUP($D16 &amp; "-" &amp; Z$2, TrainingMan!$G:$G, TrainingMan!$F:$F, "2-Year") = "Forever", "Valid",
    IF(Z16 &lt; TODAY() - 1, "Expired",
      IF(Z16 &lt;= TODAY() + 90, "Expiring", "Valid")
    )
  )
)</f>
        <v>Valid</v>
      </c>
      <c r="AB16" s="4">
        <v>43285</v>
      </c>
      <c r="AC16" s="4">
        <v>43429</v>
      </c>
      <c r="AD16" s="4">
        <v>42957</v>
      </c>
      <c r="AE16" s="4">
        <v>43678</v>
      </c>
      <c r="AF16" s="4">
        <v>44644</v>
      </c>
      <c r="AG16" s="4"/>
      <c r="AH16" s="4"/>
      <c r="AI16" s="4"/>
      <c r="AJ16" s="4"/>
      <c r="AN16" s="4"/>
      <c r="AQ16" s="4"/>
      <c r="AR16" s="4"/>
      <c r="AS16" s="4"/>
      <c r="AT16" s="4"/>
      <c r="AU16" s="4"/>
      <c r="BB16" s="4">
        <v>46046</v>
      </c>
      <c r="BC16" s="4" t="s">
        <v>297</v>
      </c>
      <c r="BD16" s="4" t="s">
        <v>254</v>
      </c>
      <c r="BE16" s="4"/>
      <c r="BF16" s="4">
        <v>41991</v>
      </c>
      <c r="BG16" s="4"/>
      <c r="BH16" s="4"/>
      <c r="BI16" s="4">
        <v>44830</v>
      </c>
      <c r="BJ16" s="4" t="s">
        <v>144</v>
      </c>
      <c r="BK16" t="s">
        <v>149</v>
      </c>
      <c r="BL16" s="4"/>
      <c r="BM16" s="4"/>
      <c r="BN16" s="4"/>
      <c r="BO16" s="4"/>
      <c r="BP16" s="4"/>
      <c r="BQ16">
        <f>COUNTIF('TrainingReq (Ach)'!B:B,Table13[[#This Row],[Job Title]])</f>
        <v>15</v>
      </c>
      <c r="BR16" cm="1">
        <f t="array" aca="1" ref="BR1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6" s="5">
        <f t="shared" ca="1" si="0"/>
        <v>1</v>
      </c>
      <c r="BT16" t="s">
        <v>246</v>
      </c>
      <c r="BU16" t="s">
        <v>247</v>
      </c>
      <c r="BV16" t="s">
        <v>270</v>
      </c>
      <c r="BW16" s="4" t="s">
        <v>144</v>
      </c>
      <c r="BX16" t="s">
        <v>149</v>
      </c>
      <c r="BZ16" t="s">
        <v>298</v>
      </c>
      <c r="CC16" t="s">
        <v>299</v>
      </c>
      <c r="CD16" s="4">
        <v>47196</v>
      </c>
      <c r="CE16" s="4" t="str">
        <f ca="1">IF(
  _xlfn.XLOOKUP($D16 &amp; "-" &amp; CD$2, 'TrainingReq (Ach)'!$G:$G, 'TrainingReq (Ach)'!$F:$F, "2-Year") = "Forever",
  "Valid",
  IF(CD16="", "Not Trained",
     IF(CD16 &lt; TODAY() - 1, "Expired",
        IF(CD16 &lt;= TODAY() + 90, "Expiring", "Valid")
     )
  )
)</f>
        <v>Valid</v>
      </c>
      <c r="CF16" t="s">
        <v>250</v>
      </c>
      <c r="CG16" s="4">
        <v>54372</v>
      </c>
      <c r="CH16" s="4" t="str">
        <f ca="1">IF(
  _xlfn.XLOOKUP($D15 &amp; "-" &amp; CG$2, 'TrainingReq (Ach)'!$G:$G, 'TrainingReq (Ach)'!$F:$F, "2-Year") = "Forever",
  "Valid",
  IF(CG15="", "Not Trained",
     IF(CG15 &lt; TODAY() - 1, "Expired",
        IF(CG15 &lt;= TODAY() + 90, "Expiring", "Valid")
     )
  )
)</f>
        <v>Valid</v>
      </c>
      <c r="CI16" t="str">
        <f t="shared" si="1"/>
        <v>Eligible</v>
      </c>
      <c r="CJ16" t="str">
        <f t="shared" si="2"/>
        <v>Eligible</v>
      </c>
    </row>
    <row r="17" spans="1:88" x14ac:dyDescent="0.25">
      <c r="A17">
        <v>15</v>
      </c>
      <c r="B17">
        <v>584197</v>
      </c>
      <c r="C17" t="s">
        <v>75</v>
      </c>
      <c r="D17" t="s">
        <v>15</v>
      </c>
      <c r="E17" t="s">
        <v>263</v>
      </c>
      <c r="F17" t="s">
        <v>244</v>
      </c>
      <c r="G17" t="s">
        <v>48</v>
      </c>
      <c r="H17" s="4">
        <v>46409</v>
      </c>
      <c r="I17" s="4" t="str">
        <f ca="1">IF(
  _xlfn.XLOOKUP($D17 &amp; "-" &amp; H$2, 'TrainingReq (Ach)'!G:G, 'TrainingReq (Ach)'!F:F, "2-Year") = "Forever",
  "Valid",
  IF(H17="", "Not Trained",
     IF(H17 &lt; TODAY() - 1, "Expired",
        IF(H17 &lt;= TODAY() + 90, "Expiring", "Valid")
     )
  )
)</f>
        <v>Valid</v>
      </c>
      <c r="J17" s="4">
        <v>46417</v>
      </c>
      <c r="K17" s="4" t="str">
        <f ca="1">IF(
  _xlfn.XLOOKUP($D17 &amp; "-" &amp; J$2, 'TrainingReq (Ach)'!G:G, 'TrainingReq (Ach)'!F:F, "2-Year") = "Forever",
  "Valid",
  IF(J17="", "Not Trained",
     IF(J17 &lt; TODAY() - 1, "Expired",
        IF(J17 &lt;= TODAY() + 90, "Expiring", "Valid")
     )
  )
)</f>
        <v>Valid</v>
      </c>
      <c r="L17" s="4">
        <v>46401</v>
      </c>
      <c r="M17" s="4" t="str">
        <f ca="1">IF(
  _xlfn.XLOOKUP($D17 &amp; "-" &amp; L$2, TrainingMan!$G:$G, TrainingMan!$F:$F, "2-Year") = "Forever",
  "Valid",
  IF(L17="", "Not Trained",
     IF(L17 &lt; TODAY() - 1, "Expired",
        IF(L17 &lt;= TODAY() + 90, "Expiring", "Valid")
     )
  )
)</f>
        <v>Valid</v>
      </c>
      <c r="N17" s="4">
        <v>46396</v>
      </c>
      <c r="O17" s="4" t="str">
        <f ca="1">IF(
  _xlfn.XLOOKUP($D17 &amp; "-" &amp; N$2, TrainingMan!$G:$G, TrainingMan!$F:$F, "2-Year") = "Forever",
  "Valid",
  IF(N17="", "Not Trained",
     IF(N17 &lt; TODAY() - 1, "Expired",
        IF(N17 &lt;= TODAY() + 90, "Expiring", "Valid")
     )
  )
)</f>
        <v>Valid</v>
      </c>
      <c r="P17" s="4">
        <v>46396</v>
      </c>
      <c r="Q17" s="4" t="str">
        <f ca="1">IF(
  _xlfn.XLOOKUP($D17 &amp; "-" &amp; P$2, TrainingMan!$G:$G, TrainingMan!$F:$F, "2-Year") = "Forever",
  "Valid",
  IF(P17="", "Not Trained",
     IF(P17 &lt; TODAY() - 1, "Expired",
        IF(P17 &lt;= TODAY() + 90, "Expiring", "Valid")
     )
  )
)</f>
        <v>Valid</v>
      </c>
      <c r="R17" s="4">
        <v>46396</v>
      </c>
      <c r="S17" s="4" t="str">
        <f ca="1">IF(
  _xlfn.XLOOKUP($D17 &amp; "-" &amp; R$2, TrainingMan!$G:$G, TrainingMan!$F:$F, "2-Year") = "Forever",
  "Valid",
  IF(R17="", "Not Trained",
     IF(R17 &lt; TODAY() - 1, "Expired",
        IF(R17 &lt;= TODAY() + 90, "Expiring", "Valid")
     )
  )
)</f>
        <v>Valid</v>
      </c>
      <c r="T17" s="4">
        <v>46397</v>
      </c>
      <c r="U17" s="4" t="str">
        <f ca="1">IF(
  _xlfn.XLOOKUP($D17 &amp; "-" &amp; T$2, TrainingMan!$G:$G, TrainingMan!$F:$F, "2-Year") = "Forever",
  "Valid",
  IF(T17="", "Not Trained",
     IF(T17 &lt; TODAY() - 1, "Expired",
        IF(T17 &lt;= TODAY() + 90, "Expiring", "Valid")
     )
  )
)</f>
        <v>Valid</v>
      </c>
      <c r="V17" s="4">
        <v>46404</v>
      </c>
      <c r="W17" s="4" t="str">
        <f ca="1">IF(
  _xlfn.XLOOKUP($D17 &amp; "-" &amp; V$2, TrainingMan!$G:$G, TrainingMan!$F:$F, "2-Year") = "Forever",
  "Valid",
  IF(V17="", "Not Trained",
     IF(V17 &lt; TODAY() - 1, "Expired",
        IF(V17 &lt;= TODAY() + 90, "Expiring", "Valid")
     )
  )
)</f>
        <v>Valid</v>
      </c>
      <c r="X17" s="4">
        <v>46501</v>
      </c>
      <c r="Y17" s="4" t="str">
        <f ca="1">IF(
  _xlfn.XLOOKUP($D17 &amp; "-" &amp; X$2, TrainingMan!$G:$G, TrainingMan!$F:$F, "2-Year") = "Forever",
  "Valid",
  IF(X17="", "Not Trained",
     IF(X17 &lt; TODAY() - 1, "Expired",
        IF(X17 &lt;= TODAY() + 90, "Expiring", "Valid")
     )
  )
)</f>
        <v>Valid</v>
      </c>
      <c r="Z17" s="4">
        <v>46568</v>
      </c>
      <c r="AA17" s="4" t="str">
        <f ca="1">IF(LEN(TRIM(Z17)) = 0, "Not Trained",
  IF(_xlfn.XLOOKUP($D17 &amp; "-" &amp; Z$2, TrainingMan!$G:$G, TrainingMan!$F:$F, "2-Year") = "Forever", "Valid",
    IF(Z17 &lt; TODAY() - 1, "Expired",
      IF(Z17 &lt;= TODAY() + 90, "Expiring", "Valid")
    )
  )
)</f>
        <v>Valid</v>
      </c>
      <c r="AB17" s="4">
        <v>46376</v>
      </c>
      <c r="AC17" s="4"/>
      <c r="AD17" s="4"/>
      <c r="AE17" s="4"/>
      <c r="AF17" s="4"/>
      <c r="AG17" s="4"/>
      <c r="AH17" s="4"/>
      <c r="AI17" s="4"/>
      <c r="AJ17" s="4"/>
      <c r="AN17" s="4"/>
      <c r="AQ17" s="4"/>
      <c r="AR17" s="4"/>
      <c r="AS17" s="4"/>
      <c r="AT17" s="4"/>
      <c r="AU17" s="4"/>
      <c r="BB17" s="4">
        <v>45818</v>
      </c>
      <c r="BC17" s="4"/>
      <c r="BD17" s="4" t="s">
        <v>300</v>
      </c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>
        <f>COUNTIF('TrainingReq (Ach)'!B:B,Table13[[#This Row],[Job Title]])</f>
        <v>13</v>
      </c>
      <c r="BR17" cm="1">
        <f t="array" aca="1" ref="BR1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7" s="5">
        <f t="shared" ca="1" si="0"/>
        <v>0.92307692307692313</v>
      </c>
      <c r="BT17" t="s">
        <v>301</v>
      </c>
      <c r="BU17" t="s">
        <v>247</v>
      </c>
      <c r="BV17" t="s">
        <v>270</v>
      </c>
      <c r="BW17" s="4"/>
      <c r="CC17" t="s">
        <v>302</v>
      </c>
      <c r="CD17" s="4"/>
      <c r="CE17" s="4" t="str">
        <f ca="1">IF(
  _xlfn.XLOOKUP($D17 &amp; "-" &amp; CD$2, 'TrainingReq (Ach)'!$G:$G, 'TrainingReq (Ach)'!$F:$F, "2-Year") = "Forever",
  "Valid",
  IF(CD17="", "Not Trained",
     IF(CD17 &lt; TODAY() - 1, "Expired",
        IF(CD17 &lt;= TODAY() + 90, "Expiring", "Valid")
     )
  )
)</f>
        <v>Not Trained</v>
      </c>
      <c r="CF17" t="s">
        <v>250</v>
      </c>
      <c r="CG17" s="4"/>
      <c r="CH17" s="4" t="str">
        <f ca="1">IF(
  _xlfn.XLOOKUP($D16 &amp; "-" &amp; CG$2, 'TrainingReq (Ach)'!$G:$G, 'TrainingReq (Ach)'!$F:$F, "2-Year") = "Forever",
  "Valid",
  IF(CG16="", "Not Trained",
     IF(CG16 &lt; TODAY() - 1, "Expired",
        IF(CG16 &lt;= TODAY() + 90, "Expiring", "Valid")
     )
  )
)</f>
        <v>Valid</v>
      </c>
      <c r="CI17" t="str">
        <f t="shared" si="1"/>
        <v>Not eligible</v>
      </c>
      <c r="CJ17" t="str">
        <f t="shared" si="2"/>
        <v>Not eligible</v>
      </c>
    </row>
    <row r="18" spans="1:88" x14ac:dyDescent="0.25">
      <c r="A18">
        <v>16</v>
      </c>
      <c r="B18">
        <v>581601</v>
      </c>
      <c r="C18" t="s">
        <v>87</v>
      </c>
      <c r="D18" t="s">
        <v>15</v>
      </c>
      <c r="E18" t="s">
        <v>303</v>
      </c>
      <c r="F18" t="s">
        <v>244</v>
      </c>
      <c r="G18" t="s">
        <v>52</v>
      </c>
      <c r="H18" s="4">
        <v>46424</v>
      </c>
      <c r="I18" s="4" t="str">
        <f ca="1">IF(
  _xlfn.XLOOKUP($D18 &amp; "-" &amp; H$2, 'TrainingReq (Ach)'!G:G, 'TrainingReq (Ach)'!F:F, "2-Year") = "Forever",
  "Valid",
  IF(H18="", "Not Trained",
     IF(H18 &lt; TODAY() - 1, "Expired",
        IF(H18 &lt;= TODAY() + 90, "Expiring", "Valid")
     )
  )
)</f>
        <v>Valid</v>
      </c>
      <c r="J18" s="4">
        <v>46424</v>
      </c>
      <c r="K18" s="4" t="str">
        <f ca="1">IF(
  _xlfn.XLOOKUP($D18 &amp; "-" &amp; J$2, 'TrainingReq (Ach)'!G:G, 'TrainingReq (Ach)'!F:F, "2-Year") = "Forever",
  "Valid",
  IF(J18="", "Not Trained",
     IF(J18 &lt; TODAY() - 1, "Expired",
        IF(J18 &lt;= TODAY() + 90, "Expiring", "Valid")
     )
  )
)</f>
        <v>Valid</v>
      </c>
      <c r="L18" s="4">
        <v>46379</v>
      </c>
      <c r="M18" s="4" t="str">
        <f ca="1">IF(
  _xlfn.XLOOKUP($D18 &amp; "-" &amp; L$2, TrainingMan!$G:$G, TrainingMan!$F:$F, "2-Year") = "Forever",
  "Valid",
  IF(L18="", "Not Trained",
     IF(L18 &lt; TODAY() - 1, "Expired",
        IF(L18 &lt;= TODAY() + 90, "Expiring", "Valid")
     )
  )
)</f>
        <v>Valid</v>
      </c>
      <c r="N18" s="4">
        <v>46379</v>
      </c>
      <c r="O18" s="4" t="str">
        <f ca="1">IF(
  _xlfn.XLOOKUP($D18 &amp; "-" &amp; N$2, TrainingMan!$G:$G, TrainingMan!$F:$F, "2-Year") = "Forever",
  "Valid",
  IF(N18="", "Not Trained",
     IF(N18 &lt; TODAY() - 1, "Expired",
        IF(N18 &lt;= TODAY() + 90, "Expiring", "Valid")
     )
  )
)</f>
        <v>Valid</v>
      </c>
      <c r="P18" s="4">
        <v>46379</v>
      </c>
      <c r="Q18" s="4" t="str">
        <f ca="1">IF(
  _xlfn.XLOOKUP($D18 &amp; "-" &amp; P$2, TrainingMan!$G:$G, TrainingMan!$F:$F, "2-Year") = "Forever",
  "Valid",
  IF(P18="", "Not Trained",
     IF(P18 &lt; TODAY() - 1, "Expired",
        IF(P18 &lt;= TODAY() + 90, "Expiring", "Valid")
     )
  )
)</f>
        <v>Valid</v>
      </c>
      <c r="R18" s="4">
        <v>46379</v>
      </c>
      <c r="S18" s="4" t="str">
        <f ca="1">IF(
  _xlfn.XLOOKUP($D18 &amp; "-" &amp; R$2, TrainingMan!$G:$G, TrainingMan!$F:$F, "2-Year") = "Forever",
  "Valid",
  IF(R18="", "Not Trained",
     IF(R18 &lt; TODAY() - 1, "Expired",
        IF(R18 &lt;= TODAY() + 90, "Expiring", "Valid")
     )
  )
)</f>
        <v>Valid</v>
      </c>
      <c r="T18" s="4">
        <v>46379</v>
      </c>
      <c r="U18" s="4" t="str">
        <f ca="1">IF(
  _xlfn.XLOOKUP($D18 &amp; "-" &amp; T$2, TrainingMan!$G:$G, TrainingMan!$F:$F, "2-Year") = "Forever",
  "Valid",
  IF(T18="", "Not Trained",
     IF(T18 &lt; TODAY() - 1, "Expired",
        IF(T18 &lt;= TODAY() + 90, "Expiring", "Valid")
     )
  )
)</f>
        <v>Valid</v>
      </c>
      <c r="V18" s="4">
        <v>46379</v>
      </c>
      <c r="W18" s="4" t="str">
        <f ca="1">IF(
  _xlfn.XLOOKUP($D18 &amp; "-" &amp; V$2, TrainingMan!$G:$G, TrainingMan!$F:$F, "2-Year") = "Forever",
  "Valid",
  IF(V18="", "Not Trained",
     IF(V18 &lt; TODAY() - 1, "Expired",
        IF(V18 &lt;= TODAY() + 90, "Expiring", "Valid")
     )
  )
)</f>
        <v>Valid</v>
      </c>
      <c r="X18" s="4">
        <v>46379</v>
      </c>
      <c r="Y18" s="4" t="str">
        <f ca="1">IF(
  _xlfn.XLOOKUP($D18 &amp; "-" &amp; X$2, TrainingMan!$G:$G, TrainingMan!$F:$F, "2-Year") = "Forever",
  "Valid",
  IF(X18="", "Not Trained",
     IF(X18 &lt; TODAY() - 1, "Expired",
        IF(X18 &lt;= TODAY() + 90, "Expiring", "Valid")
     )
  )
)</f>
        <v>Valid</v>
      </c>
      <c r="Z18" s="4">
        <v>44937</v>
      </c>
      <c r="AA18" s="4" t="str">
        <f ca="1">IF(LEN(TRIM(Z18)) = 0, "Not Trained",
  IF(_xlfn.XLOOKUP($D18 &amp; "-" &amp; Z$2, TrainingMan!$G:$G, TrainingMan!$F:$F, "2-Year") = "Forever", "Valid",
    IF(Z18 &lt; TODAY() - 1, "Expired",
      IF(Z18 &lt;= TODAY() + 90, "Expiring", "Valid")
    )
  )
)</f>
        <v>Valid</v>
      </c>
      <c r="AB18" s="4">
        <v>43303</v>
      </c>
      <c r="AC18" s="4"/>
      <c r="AD18" s="4"/>
      <c r="AE18" s="4"/>
      <c r="AF18" s="4">
        <v>46076</v>
      </c>
      <c r="AG18" s="4"/>
      <c r="AH18" s="4"/>
      <c r="AI18" s="4"/>
      <c r="AJ18" s="4"/>
      <c r="AN18" s="4"/>
      <c r="AQ18" s="4"/>
      <c r="AR18" s="4"/>
      <c r="AS18" s="4"/>
      <c r="AT18" s="4"/>
      <c r="AU18" s="4"/>
      <c r="BB18" s="4">
        <v>45371</v>
      </c>
      <c r="BC18" s="4" t="s">
        <v>253</v>
      </c>
      <c r="BD18" s="4" t="s">
        <v>304</v>
      </c>
      <c r="BE18" s="4">
        <v>42033</v>
      </c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>
        <f>COUNTIF('TrainingReq (Ach)'!B:B,Table13[[#This Row],[Job Title]])</f>
        <v>13</v>
      </c>
      <c r="BR18" cm="1">
        <f t="array" aca="1" ref="BR1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8" s="5">
        <f t="shared" ca="1" si="0"/>
        <v>0.92307692307692313</v>
      </c>
      <c r="BT18" t="s">
        <v>246</v>
      </c>
      <c r="BU18" t="s">
        <v>247</v>
      </c>
      <c r="BW18" s="4"/>
      <c r="CC18" t="s">
        <v>305</v>
      </c>
      <c r="CD18" s="4"/>
      <c r="CE18" s="4" t="str">
        <f ca="1">IF(
  _xlfn.XLOOKUP($D18 &amp; "-" &amp; CD$2, 'TrainingReq (Ach)'!$G:$G, 'TrainingReq (Ach)'!$F:$F, "2-Year") = "Forever",
  "Valid",
  IF(CD18="", "Not Trained",
     IF(CD18 &lt; TODAY() - 1, "Expired",
        IF(CD18 &lt;= TODAY() + 90, "Expiring", "Valid")
     )
  )
)</f>
        <v>Not Trained</v>
      </c>
      <c r="CF18" t="s">
        <v>250</v>
      </c>
      <c r="CG18" s="4">
        <v>54087</v>
      </c>
      <c r="CH18" s="4" t="str">
        <f ca="1">IF(
  _xlfn.XLOOKUP($D17 &amp; "-" &amp; CG$2, 'TrainingReq (Ach)'!$G:$G, 'TrainingReq (Ach)'!$F:$F, "2-Year") = "Forever",
  "Valid",
  IF(CG17="", "Not Trained",
     IF(CG17 &lt; TODAY() - 1, "Expired",
        IF(CG17 &lt;= TODAY() + 90, "Expiring", "Valid")
     )
  )
)</f>
        <v>Not Trained</v>
      </c>
      <c r="CI18" t="str">
        <f t="shared" si="1"/>
        <v>Not eligible</v>
      </c>
      <c r="CJ18" t="str">
        <f t="shared" si="2"/>
        <v>Not eligible</v>
      </c>
    </row>
    <row r="19" spans="1:88" x14ac:dyDescent="0.25">
      <c r="A19">
        <v>17</v>
      </c>
      <c r="B19">
        <v>581602</v>
      </c>
      <c r="C19" t="s">
        <v>90</v>
      </c>
      <c r="D19" t="s">
        <v>15</v>
      </c>
      <c r="E19" t="s">
        <v>292</v>
      </c>
      <c r="F19" t="s">
        <v>244</v>
      </c>
      <c r="G19" t="s">
        <v>48</v>
      </c>
      <c r="H19" s="4">
        <v>46514</v>
      </c>
      <c r="I19" s="4" t="str">
        <f ca="1">IF(
  _xlfn.XLOOKUP($D19 &amp; "-" &amp; H$2, 'TrainingReq (Ach)'!G:G, 'TrainingReq (Ach)'!F:F, "2-Year") = "Forever",
  "Valid",
  IF(H19="", "Not Trained",
     IF(H19 &lt; TODAY() - 1, "Expired",
        IF(H19 &lt;= TODAY() + 90, "Expiring", "Valid")
     )
  )
)</f>
        <v>Valid</v>
      </c>
      <c r="J19" s="4">
        <v>46514</v>
      </c>
      <c r="K19" s="4" t="str">
        <f ca="1">IF(
  _xlfn.XLOOKUP($D19 &amp; "-" &amp; J$2, 'TrainingReq (Ach)'!G:G, 'TrainingReq (Ach)'!F:F, "2-Year") = "Forever",
  "Valid",
  IF(J19="", "Not Trained",
     IF(J19 &lt; TODAY() - 1, "Expired",
        IF(J19 &lt;= TODAY() + 90, "Expiring", "Valid")
     )
  )
)</f>
        <v>Valid</v>
      </c>
      <c r="L19" s="4">
        <v>46568</v>
      </c>
      <c r="M19" s="4" t="str">
        <f ca="1">IF(
  _xlfn.XLOOKUP($D19 &amp; "-" &amp; L$2, TrainingMan!$G:$G, TrainingMan!$F:$F, "2-Year") = "Forever",
  "Valid",
  IF(L19="", "Not Trained",
     IF(L19 &lt; TODAY() - 1, "Expired",
        IF(L19 &lt;= TODAY() + 90, "Expiring", "Valid")
     )
  )
)</f>
        <v>Valid</v>
      </c>
      <c r="N19" s="4">
        <v>46568</v>
      </c>
      <c r="O19" s="4" t="str">
        <f ca="1">IF(
  _xlfn.XLOOKUP($D19 &amp; "-" &amp; N$2, TrainingMan!$G:$G, TrainingMan!$F:$F, "2-Year") = "Forever",
  "Valid",
  IF(N19="", "Not Trained",
     IF(N19 &lt; TODAY() - 1, "Expired",
        IF(N19 &lt;= TODAY() + 90, "Expiring", "Valid")
     )
  )
)</f>
        <v>Valid</v>
      </c>
      <c r="P19" s="4">
        <v>46568</v>
      </c>
      <c r="Q19" s="4" t="str">
        <f ca="1">IF(
  _xlfn.XLOOKUP($D19 &amp; "-" &amp; P$2, TrainingMan!$G:$G, TrainingMan!$F:$F, "2-Year") = "Forever",
  "Valid",
  IF(P19="", "Not Trained",
     IF(P19 &lt; TODAY() - 1, "Expired",
        IF(P19 &lt;= TODAY() + 90, "Expiring", "Valid")
     )
  )
)</f>
        <v>Valid</v>
      </c>
      <c r="R19" s="4">
        <v>46568</v>
      </c>
      <c r="S19" s="4" t="str">
        <f ca="1">IF(
  _xlfn.XLOOKUP($D19 &amp; "-" &amp; R$2, TrainingMan!$G:$G, TrainingMan!$F:$F, "2-Year") = "Forever",
  "Valid",
  IF(R19="", "Not Trained",
     IF(R19 &lt; TODAY() - 1, "Expired",
        IF(R19 &lt;= TODAY() + 90, "Expiring", "Valid")
     )
  )
)</f>
        <v>Valid</v>
      </c>
      <c r="T19" s="4">
        <v>46568</v>
      </c>
      <c r="U19" s="4" t="str">
        <f ca="1">IF(
  _xlfn.XLOOKUP($D19 &amp; "-" &amp; T$2, TrainingMan!$G:$G, TrainingMan!$F:$F, "2-Year") = "Forever",
  "Valid",
  IF(T19="", "Not Trained",
     IF(T19 &lt; TODAY() - 1, "Expired",
        IF(T19 &lt;= TODAY() + 90, "Expiring", "Valid")
     )
  )
)</f>
        <v>Valid</v>
      </c>
      <c r="V19" s="4">
        <v>46568</v>
      </c>
      <c r="W19" s="4" t="str">
        <f ca="1">IF(
  _xlfn.XLOOKUP($D19 &amp; "-" &amp; V$2, TrainingMan!$G:$G, TrainingMan!$F:$F, "2-Year") = "Forever",
  "Valid",
  IF(V19="", "Not Trained",
     IF(V19 &lt; TODAY() - 1, "Expired",
        IF(V19 &lt;= TODAY() + 90, "Expiring", "Valid")
     )
  )
)</f>
        <v>Valid</v>
      </c>
      <c r="X19" s="4">
        <v>46568</v>
      </c>
      <c r="Y19" s="4" t="str">
        <f ca="1">IF(
  _xlfn.XLOOKUP($D19 &amp; "-" &amp; X$2, TrainingMan!$G:$G, TrainingMan!$F:$F, "2-Year") = "Forever",
  "Valid",
  IF(X19="", "Not Trained",
     IF(X19 &lt; TODAY() - 1, "Expired",
        IF(X19 &lt;= TODAY() + 90, "Expiring", "Valid")
     )
  )
)</f>
        <v>Valid</v>
      </c>
      <c r="Z19" s="4">
        <v>45120</v>
      </c>
      <c r="AA19" s="4" t="str">
        <f ca="1">IF(LEN(TRIM(Z19)) = 0, "Not Trained",
  IF(_xlfn.XLOOKUP($D19 &amp; "-" &amp; Z$2, TrainingMan!$G:$G, TrainingMan!$F:$F, "2-Year") = "Forever", "Valid",
    IF(Z19 &lt; TODAY() - 1, "Expired",
      IF(Z19 &lt;= TODAY() + 90, "Expiring", "Valid")
    )
  )
)</f>
        <v>Valid</v>
      </c>
      <c r="AB19" s="4">
        <v>43303</v>
      </c>
      <c r="AC19" s="4">
        <v>43934</v>
      </c>
      <c r="AD19" s="4"/>
      <c r="AE19" s="4"/>
      <c r="AF19" s="4">
        <v>45029</v>
      </c>
      <c r="AG19" s="4"/>
      <c r="AH19" s="4"/>
      <c r="AI19" s="4"/>
      <c r="AJ19" s="4"/>
      <c r="AN19" s="4"/>
      <c r="AQ19" s="4"/>
      <c r="AR19" s="4"/>
      <c r="AS19" s="4"/>
      <c r="AT19" s="4"/>
      <c r="AU19" s="4"/>
      <c r="BB19" s="4">
        <v>46108</v>
      </c>
      <c r="BC19" s="4"/>
      <c r="BD19" s="4" t="s">
        <v>304</v>
      </c>
      <c r="BE19" s="4">
        <v>42033</v>
      </c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>
        <f>COUNTIF('TrainingReq (Ach)'!B:B,Table13[[#This Row],[Job Title]])</f>
        <v>13</v>
      </c>
      <c r="BR19" cm="1">
        <f t="array" aca="1" ref="BR1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9" s="5">
        <f t="shared" ca="1" si="0"/>
        <v>1</v>
      </c>
      <c r="BT19" t="s">
        <v>246</v>
      </c>
      <c r="BU19" t="s">
        <v>247</v>
      </c>
      <c r="BW19" s="4"/>
      <c r="CC19" t="s">
        <v>306</v>
      </c>
      <c r="CD19" s="4"/>
      <c r="CE19" s="4" t="str">
        <f ca="1">IF(
  _xlfn.XLOOKUP($D19 &amp; "-" &amp; CD$2, 'TrainingReq (Ach)'!$G:$G, 'TrainingReq (Ach)'!$F:$F, "2-Year") = "Forever",
  "Valid",
  IF(CD19="", "Not Trained",
     IF(CD19 &lt; TODAY() - 1, "Expired",
        IF(CD19 &lt;= TODAY() + 90, "Expiring", "Valid")
     )
  )
)</f>
        <v>Not Trained</v>
      </c>
      <c r="CF19" t="s">
        <v>250</v>
      </c>
      <c r="CG19" s="4">
        <v>54112</v>
      </c>
      <c r="CH19" s="4" t="str">
        <f ca="1">IF(
  _xlfn.XLOOKUP($D18 &amp; "-" &amp; CG$2, 'TrainingReq (Ach)'!$G:$G, 'TrainingReq (Ach)'!$F:$F, "2-Year") = "Forever",
  "Valid",
  IF(CG18="", "Not Trained",
     IF(CG18 &lt; TODAY() - 1, "Expired",
        IF(CG18 &lt;= TODAY() + 90, "Expiring", "Valid")
     )
  )
)</f>
        <v>Valid</v>
      </c>
      <c r="CI19" t="str">
        <f t="shared" si="1"/>
        <v>Not eligible</v>
      </c>
      <c r="CJ19" t="str">
        <f t="shared" si="2"/>
        <v>Not eligible</v>
      </c>
    </row>
    <row r="20" spans="1:88" x14ac:dyDescent="0.25">
      <c r="A20">
        <v>18</v>
      </c>
      <c r="B20">
        <v>581603</v>
      </c>
      <c r="C20" t="s">
        <v>136</v>
      </c>
      <c r="D20" t="s">
        <v>15</v>
      </c>
      <c r="E20" t="s">
        <v>292</v>
      </c>
      <c r="F20" t="s">
        <v>244</v>
      </c>
      <c r="G20" t="s">
        <v>48</v>
      </c>
      <c r="H20" s="4">
        <v>46360</v>
      </c>
      <c r="I20" s="4" t="str">
        <f ca="1">IF(
  _xlfn.XLOOKUP($D20 &amp; "-" &amp; H$2, 'TrainingReq (Ach)'!G:G, 'TrainingReq (Ach)'!F:F, "2-Year") = "Forever",
  "Valid",
  IF(H20="", "Not Trained",
     IF(H20 &lt; TODAY() - 1, "Expired",
        IF(H20 &lt;= TODAY() + 90, "Expiring", "Valid")
     )
  )
)</f>
        <v>Valid</v>
      </c>
      <c r="J20" s="4">
        <v>46360</v>
      </c>
      <c r="K20" s="4" t="str">
        <f ca="1">IF(
  _xlfn.XLOOKUP($D20 &amp; "-" &amp; J$2, 'TrainingReq (Ach)'!G:G, 'TrainingReq (Ach)'!F:F, "2-Year") = "Forever",
  "Valid",
  IF(J20="", "Not Trained",
     IF(J20 &lt; TODAY() - 1, "Expired",
        IF(J20 &lt;= TODAY() + 90, "Expiring", "Valid")
     )
  )
)</f>
        <v>Valid</v>
      </c>
      <c r="L20" s="4">
        <v>46381</v>
      </c>
      <c r="M20" s="4" t="str">
        <f ca="1">IF(
  _xlfn.XLOOKUP($D20 &amp; "-" &amp; L$2, TrainingMan!$G:$G, TrainingMan!$F:$F, "2-Year") = "Forever",
  "Valid",
  IF(L20="", "Not Trained",
     IF(L20 &lt; TODAY() - 1, "Expired",
        IF(L20 &lt;= TODAY() + 90, "Expiring", "Valid")
     )
  )
)</f>
        <v>Valid</v>
      </c>
      <c r="N20" s="4">
        <v>46381</v>
      </c>
      <c r="O20" s="4" t="str">
        <f ca="1">IF(
  _xlfn.XLOOKUP($D20 &amp; "-" &amp; N$2, TrainingMan!$G:$G, TrainingMan!$F:$F, "2-Year") = "Forever",
  "Valid",
  IF(N20="", "Not Trained",
     IF(N20 &lt; TODAY() - 1, "Expired",
        IF(N20 &lt;= TODAY() + 90, "Expiring", "Valid")
     )
  )
)</f>
        <v>Valid</v>
      </c>
      <c r="P20" s="4">
        <v>46381</v>
      </c>
      <c r="Q20" s="4" t="str">
        <f ca="1">IF(
  _xlfn.XLOOKUP($D20 &amp; "-" &amp; P$2, TrainingMan!$G:$G, TrainingMan!$F:$F, "2-Year") = "Forever",
  "Valid",
  IF(P20="", "Not Trained",
     IF(P20 &lt; TODAY() - 1, "Expired",
        IF(P20 &lt;= TODAY() + 90, "Expiring", "Valid")
     )
  )
)</f>
        <v>Valid</v>
      </c>
      <c r="R20" s="4">
        <v>46381</v>
      </c>
      <c r="S20" s="4" t="str">
        <f ca="1">IF(
  _xlfn.XLOOKUP($D20 &amp; "-" &amp; R$2, TrainingMan!$G:$G, TrainingMan!$F:$F, "2-Year") = "Forever",
  "Valid",
  IF(R20="", "Not Trained",
     IF(R20 &lt; TODAY() - 1, "Expired",
        IF(R20 &lt;= TODAY() + 90, "Expiring", "Valid")
     )
  )
)</f>
        <v>Valid</v>
      </c>
      <c r="T20" s="4">
        <v>46391</v>
      </c>
      <c r="U20" s="4" t="str">
        <f ca="1">IF(
  _xlfn.XLOOKUP($D20 &amp; "-" &amp; T$2, TrainingMan!$G:$G, TrainingMan!$F:$F, "2-Year") = "Forever",
  "Valid",
  IF(T20="", "Not Trained",
     IF(T20 &lt; TODAY() - 1, "Expired",
        IF(T20 &lt;= TODAY() + 90, "Expiring", "Valid")
     )
  )
)</f>
        <v>Valid</v>
      </c>
      <c r="V20" s="4">
        <v>46386</v>
      </c>
      <c r="W20" s="4" t="str">
        <f ca="1">IF(
  _xlfn.XLOOKUP($D20 &amp; "-" &amp; V$2, TrainingMan!$G:$G, TrainingMan!$F:$F, "2-Year") = "Forever",
  "Valid",
  IF(V20="", "Not Trained",
     IF(V20 &lt; TODAY() - 1, "Expired",
        IF(V20 &lt;= TODAY() + 90, "Expiring", "Valid")
     )
  )
)</f>
        <v>Valid</v>
      </c>
      <c r="X20" s="4">
        <v>46386</v>
      </c>
      <c r="Y20" s="4" t="str">
        <f ca="1">IF(
  _xlfn.XLOOKUP($D20 &amp; "-" &amp; X$2, TrainingMan!$G:$G, TrainingMan!$F:$F, "2-Year") = "Forever",
  "Valid",
  IF(X20="", "Not Trained",
     IF(X20 &lt; TODAY() - 1, "Expired",
        IF(X20 &lt;= TODAY() + 90, "Expiring", "Valid")
     )
  )
)</f>
        <v>Valid</v>
      </c>
      <c r="Z20" s="4">
        <v>45028</v>
      </c>
      <c r="AA20" s="4" t="str">
        <f ca="1">IF(LEN(TRIM(Z20)) = 0, "Not Trained",
  IF(_xlfn.XLOOKUP($D20 &amp; "-" &amp; Z$2, TrainingMan!$G:$G, TrainingMan!$F:$F, "2-Year") = "Forever", "Valid",
    IF(Z20 &lt; TODAY() - 1, "Expired",
      IF(Z20 &lt;= TODAY() + 90, "Expiring", "Valid")
    )
  )
)</f>
        <v>Valid</v>
      </c>
      <c r="AB20" s="4">
        <v>43688</v>
      </c>
      <c r="AC20" s="4">
        <v>45720</v>
      </c>
      <c r="AD20" s="4">
        <v>46062</v>
      </c>
      <c r="AE20" s="4"/>
      <c r="AF20" s="4">
        <v>44720</v>
      </c>
      <c r="AG20" s="4"/>
      <c r="AH20" s="4"/>
      <c r="AI20" s="4"/>
      <c r="AJ20" s="4"/>
      <c r="AN20" s="4"/>
      <c r="AQ20" s="4"/>
      <c r="AR20" s="4"/>
      <c r="AS20" s="4"/>
      <c r="AT20" s="4"/>
      <c r="AU20" s="4"/>
      <c r="BB20" s="4">
        <v>46255</v>
      </c>
      <c r="BC20" s="4" t="s">
        <v>253</v>
      </c>
      <c r="BD20" s="4" t="s">
        <v>304</v>
      </c>
      <c r="BE20" s="4">
        <v>42033</v>
      </c>
      <c r="BF20" s="4"/>
      <c r="BG20" s="4"/>
      <c r="BH20" s="4"/>
      <c r="BI20" s="4">
        <v>45337</v>
      </c>
      <c r="BJ20" s="4" t="s">
        <v>140</v>
      </c>
      <c r="BK20" s="4"/>
      <c r="BL20" s="4"/>
      <c r="BM20" s="4"/>
      <c r="BN20" s="4"/>
      <c r="BO20" s="4"/>
      <c r="BP20" s="4"/>
      <c r="BQ20">
        <f>COUNTIF('TrainingReq (Ach)'!B:B,Table13[[#This Row],[Job Title]])</f>
        <v>13</v>
      </c>
      <c r="BR20" cm="1">
        <f t="array" aca="1" ref="BR2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20" s="5">
        <f t="shared" ca="1" si="0"/>
        <v>1</v>
      </c>
      <c r="BT20" t="s">
        <v>246</v>
      </c>
      <c r="BU20" t="s">
        <v>247</v>
      </c>
      <c r="BV20" t="s">
        <v>270</v>
      </c>
      <c r="BW20" s="4" t="s">
        <v>140</v>
      </c>
      <c r="BZ20">
        <v>14175</v>
      </c>
      <c r="CA20">
        <v>1</v>
      </c>
      <c r="CC20" s="4" t="s">
        <v>307</v>
      </c>
      <c r="CD20" s="4"/>
      <c r="CE20" s="4" t="str">
        <f ca="1">IF(
  _xlfn.XLOOKUP($D20 &amp; "-" &amp; CD$2, 'TrainingReq (Ach)'!$G:$G, 'TrainingReq (Ach)'!$F:$F, "2-Year") = "Forever",
  "Valid",
  IF(CD20="", "Not Trained",
     IF(CD20 &lt; TODAY() - 1, "Expired",
        IF(CD20 &lt;= TODAY() + 90, "Expiring", "Valid")
     )
  )
)</f>
        <v>Not Trained</v>
      </c>
      <c r="CF20" t="s">
        <v>250</v>
      </c>
      <c r="CG20" s="4">
        <v>55132</v>
      </c>
      <c r="CH20" s="4" t="str">
        <f ca="1">IF(
  _xlfn.XLOOKUP($D19 &amp; "-" &amp; CG$2, 'TrainingReq (Ach)'!$G:$G, 'TrainingReq (Ach)'!$F:$F, "2-Year") = "Forever",
  "Valid",
  IF(CG19="", "Not Trained",
     IF(CG19 &lt; TODAY() - 1, "Expired",
        IF(CG19 &lt;= TODAY() + 90, "Expiring", "Valid")
     )
  )
)</f>
        <v>Valid</v>
      </c>
      <c r="CI20" t="str">
        <f t="shared" si="1"/>
        <v>Eligible</v>
      </c>
      <c r="CJ20" t="str">
        <f t="shared" si="2"/>
        <v>Not eligible</v>
      </c>
    </row>
    <row r="21" spans="1:88" x14ac:dyDescent="0.25">
      <c r="A21">
        <v>19</v>
      </c>
      <c r="B21">
        <v>782740</v>
      </c>
      <c r="C21" t="s">
        <v>308</v>
      </c>
      <c r="D21" t="s">
        <v>23</v>
      </c>
      <c r="E21" t="s">
        <v>303</v>
      </c>
      <c r="F21" t="s">
        <v>244</v>
      </c>
      <c r="G21" t="s">
        <v>48</v>
      </c>
      <c r="H21" s="4">
        <v>46487</v>
      </c>
      <c r="I21" s="4" t="str">
        <f ca="1">IF(
  _xlfn.XLOOKUP($D21 &amp; "-" &amp; H$2, 'TrainingReq (Ach)'!G:G, 'TrainingReq (Ach)'!F:F, "2-Year") = "Forever",
  "Valid",
  IF(H21="", "Not Trained",
     IF(H21 &lt; TODAY() - 1, "Expired",
        IF(H21 &lt;= TODAY() + 90, "Expiring", "Valid")
     )
  )
)</f>
        <v>Valid</v>
      </c>
      <c r="J21" s="4">
        <v>46550</v>
      </c>
      <c r="K21" s="4" t="str">
        <f ca="1">IF(
  _xlfn.XLOOKUP($D21 &amp; "-" &amp; J$2, 'TrainingReq (Ach)'!G:G, 'TrainingReq (Ach)'!F:F, "2-Year") = "Forever",
  "Valid",
  IF(J21="", "Not Trained",
     IF(J21 &lt; TODAY() - 1, "Expired",
        IF(J21 &lt;= TODAY() + 90, "Expiring", "Valid")
     )
  )
)</f>
        <v>Valid</v>
      </c>
      <c r="L21" s="4">
        <f>Table13[[#This Row],[Mandatory for Supporting]]</f>
        <v>44986</v>
      </c>
      <c r="M21" s="4" t="str">
        <f ca="1">IF(
  _xlfn.XLOOKUP($D21 &amp; "-" &amp; L$2, TrainingMan!$G:$G, TrainingMan!$F:$F, "2-Year") = "Forever",
  "Valid",
  IF(L21="", "Not Trained",
     IF(L21 &lt; TODAY() - 1, "Expired",
        IF(L21 &lt;= TODAY() + 90, "Expiring", "Valid")
     )
  )
)</f>
        <v>Valid</v>
      </c>
      <c r="N21" s="4">
        <v>45968</v>
      </c>
      <c r="O21" s="4"/>
      <c r="P21" s="4">
        <v>45968</v>
      </c>
      <c r="Q21" s="4"/>
      <c r="R21" s="4">
        <v>45968</v>
      </c>
      <c r="S21" s="4"/>
      <c r="T21" s="4">
        <v>45968</v>
      </c>
      <c r="U21" s="4"/>
      <c r="V21" s="4"/>
      <c r="W21" s="4"/>
      <c r="X21" s="4"/>
      <c r="Y21" s="4"/>
      <c r="Z21" s="4"/>
      <c r="AA21" s="4"/>
      <c r="AB21" s="4">
        <v>45801</v>
      </c>
      <c r="AC21" s="4"/>
      <c r="AD21" s="4"/>
      <c r="AE21" s="4"/>
      <c r="AF21" s="4"/>
      <c r="AG21" s="4"/>
      <c r="AH21" s="4"/>
      <c r="AI21" s="4"/>
      <c r="AJ21" s="4"/>
      <c r="AN21" s="4"/>
      <c r="AQ21" s="4"/>
      <c r="AR21" s="4"/>
      <c r="AS21" s="4"/>
      <c r="AT21" s="4"/>
      <c r="AU21" s="4"/>
      <c r="BB21" s="4">
        <v>45119</v>
      </c>
      <c r="BC21" s="4"/>
      <c r="BD21" s="4">
        <v>45819</v>
      </c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>
        <v>44986</v>
      </c>
      <c r="BQ21">
        <f>COUNTIF('TrainingReq (Ach)'!B:B,Table13[[#This Row],[Job Title]])</f>
        <v>3</v>
      </c>
      <c r="BR21" cm="1">
        <f t="array" aca="1" ref="BR2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21" s="5">
        <f t="shared" ca="1" si="0"/>
        <v>1</v>
      </c>
      <c r="BT21" t="s">
        <v>309</v>
      </c>
      <c r="BU21" t="s">
        <v>247</v>
      </c>
      <c r="BW21" s="4"/>
      <c r="CD21" s="4"/>
      <c r="CE21" s="4" t="str">
        <f ca="1">IF(
  _xlfn.XLOOKUP($D21 &amp; "-" &amp; CD$2, 'TrainingReq (Ach)'!$G:$G, 'TrainingReq (Ach)'!$F:$F, "2-Year") = "Forever",
  "Valid",
  IF(CD21="", "Not Trained",
     IF(CD21 &lt; TODAY() - 1, "Expired",
        IF(CD21 &lt;= TODAY() + 90, "Expiring", "Valid")
     )
  )
)</f>
        <v>Not Trained</v>
      </c>
      <c r="CF21" t="s">
        <v>250</v>
      </c>
      <c r="CG21" s="4"/>
      <c r="CH21" s="4" t="str">
        <f ca="1">IF(
  _xlfn.XLOOKUP($D20 &amp; "-" &amp; CG$2, 'TrainingReq (Ach)'!$G:$G, 'TrainingReq (Ach)'!$F:$F, "2-Year") = "Forever",
  "Valid",
  IF(CG20="", "Not Trained",
     IF(CG20 &lt; TODAY() - 1, "Expired",
        IF(CG20 &lt;= TODAY() + 90, "Expiring", "Valid")
     )
  )
)</f>
        <v>Valid</v>
      </c>
      <c r="CI21" t="str">
        <f t="shared" si="1"/>
        <v>Not eligible</v>
      </c>
      <c r="CJ21" t="str">
        <f t="shared" si="2"/>
        <v>Not eligible</v>
      </c>
    </row>
    <row r="22" spans="1:88" x14ac:dyDescent="0.25">
      <c r="A22">
        <v>20</v>
      </c>
      <c r="B22">
        <v>782741</v>
      </c>
      <c r="C22" t="s">
        <v>310</v>
      </c>
      <c r="D22" t="s">
        <v>23</v>
      </c>
      <c r="E22" t="s">
        <v>303</v>
      </c>
      <c r="F22" t="s">
        <v>244</v>
      </c>
      <c r="G22" t="s">
        <v>48</v>
      </c>
      <c r="H22" s="4">
        <v>46487</v>
      </c>
      <c r="I22" s="4" t="str">
        <f ca="1">IF(
  _xlfn.XLOOKUP($D22 &amp; "-" &amp; H$2, 'TrainingReq (Ach)'!G:G, 'TrainingReq (Ach)'!F:F, "2-Year") = "Forever",
  "Valid",
  IF(H22="", "Not Trained",
     IF(H22 &lt; TODAY() - 1, "Expired",
        IF(H22 &lt;= TODAY() + 90, "Expiring", "Valid")
     )
  )
)</f>
        <v>Valid</v>
      </c>
      <c r="J22" s="4">
        <v>46520</v>
      </c>
      <c r="K22" s="4" t="str">
        <f ca="1">IF(
  _xlfn.XLOOKUP($D22 &amp; "-" &amp; J$2, 'TrainingReq (Ach)'!G:G, 'TrainingReq (Ach)'!F:F, "2-Year") = "Forever",
  "Valid",
  IF(J22="", "Not Trained",
     IF(J22 &lt; TODAY() - 1, "Expired",
        IF(J22 &lt;= TODAY() + 90, "Expiring", "Valid")
     )
  )
)</f>
        <v>Valid</v>
      </c>
      <c r="L22" s="4">
        <f>Table13[[#This Row],[Mandatory for Supporting]]</f>
        <v>44986</v>
      </c>
      <c r="M22" s="4" t="str">
        <f ca="1">IF(
  _xlfn.XLOOKUP($D22 &amp; "-" &amp; L$2, TrainingMan!$G:$G, TrainingMan!$F:$F, "2-Year") = "Forever",
  "Valid",
  IF(L22="", "Not Trained",
     IF(L22 &lt; TODAY() - 1, "Expired",
        IF(L22 &lt;= TODAY() + 90, "Expiring", "Valid")
     )
  )
)</f>
        <v>Valid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>
        <v>45817</v>
      </c>
      <c r="AC22" s="4"/>
      <c r="AD22" s="4"/>
      <c r="AE22" s="4"/>
      <c r="AF22" s="4"/>
      <c r="AG22" s="4"/>
      <c r="AH22" s="4"/>
      <c r="AI22" s="4"/>
      <c r="AJ22" s="4"/>
      <c r="AN22" s="4"/>
      <c r="AQ22" s="4"/>
      <c r="AR22" s="4"/>
      <c r="AS22" s="4"/>
      <c r="AT22" s="4"/>
      <c r="AU22" s="4"/>
      <c r="BB22" s="4">
        <v>45133</v>
      </c>
      <c r="BC22" s="4"/>
      <c r="BD22" s="4">
        <v>45855</v>
      </c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>
        <v>44986</v>
      </c>
      <c r="BQ22">
        <f>COUNTIF('TrainingReq (Ach)'!B:B,Table13[[#This Row],[Job Title]])</f>
        <v>3</v>
      </c>
      <c r="BR22" cm="1">
        <f t="array" aca="1" ref="BR2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22" s="5">
        <f t="shared" ca="1" si="0"/>
        <v>1</v>
      </c>
      <c r="BT22" t="s">
        <v>311</v>
      </c>
      <c r="BU22" t="s">
        <v>247</v>
      </c>
      <c r="BW22" s="4"/>
      <c r="CD22" s="4"/>
      <c r="CE22" s="4" t="str">
        <f ca="1">IF(
  _xlfn.XLOOKUP($D22 &amp; "-" &amp; CD$2, 'TrainingReq (Ach)'!$G:$G, 'TrainingReq (Ach)'!$F:$F, "2-Year") = "Forever",
  "Valid",
  IF(CD22="", "Not Trained",
     IF(CD22 &lt; TODAY() - 1, "Expired",
        IF(CD22 &lt;= TODAY() + 90, "Expiring", "Valid")
     )
  )
)</f>
        <v>Not Trained</v>
      </c>
      <c r="CF22" t="s">
        <v>250</v>
      </c>
      <c r="CG22" s="4"/>
      <c r="CH22" s="4" t="str">
        <f ca="1">IF(
  _xlfn.XLOOKUP($D21 &amp; "-" &amp; CG$2, 'TrainingReq (Ach)'!$G:$G, 'TrainingReq (Ach)'!$F:$F, "2-Year") = "Forever",
  "Valid",
  IF(CG21="", "Not Trained",
     IF(CG21 &lt; TODAY() - 1, "Expired",
        IF(CG21 &lt;= TODAY() + 90, "Expiring", "Valid")
     )
  )
)</f>
        <v>Not Trained</v>
      </c>
      <c r="CI22" t="str">
        <f t="shared" si="1"/>
        <v>Not eligible</v>
      </c>
      <c r="CJ22" t="str">
        <f t="shared" si="2"/>
        <v>Not eligible</v>
      </c>
    </row>
    <row r="23" spans="1:88" x14ac:dyDescent="0.25">
      <c r="A23">
        <v>21</v>
      </c>
      <c r="B23">
        <v>783021</v>
      </c>
      <c r="C23" t="s">
        <v>312</v>
      </c>
      <c r="D23" t="s">
        <v>23</v>
      </c>
      <c r="E23" t="s">
        <v>303</v>
      </c>
      <c r="F23" t="s">
        <v>244</v>
      </c>
      <c r="G23" t="s">
        <v>48</v>
      </c>
      <c r="H23" s="4">
        <v>46639</v>
      </c>
      <c r="I23" s="4" t="str">
        <f ca="1">IF(
  _xlfn.XLOOKUP($D23 &amp; "-" &amp; H$2, 'TrainingReq (Ach)'!G:G, 'TrainingReq (Ach)'!F:F, "2-Year") = "Forever",
  "Valid",
  IF(H23="", "Not Trained",
     IF(H23 &lt; TODAY() - 1, "Expired",
        IF(H23 &lt;= TODAY() + 90, "Expiring", "Valid")
     )
  )
)</f>
        <v>Valid</v>
      </c>
      <c r="J23" s="4">
        <v>46612</v>
      </c>
      <c r="K23" s="4" t="str">
        <f ca="1">IF(
  _xlfn.XLOOKUP($D23 &amp; "-" &amp; J$2, 'TrainingReq (Ach)'!G:G, 'TrainingReq (Ach)'!F:F, "2-Year") = "Forever",
  "Valid",
  IF(J23="", "Not Trained",
     IF(J23 &lt; TODAY() - 1, "Expired",
        IF(J23 &lt;= TODAY() + 90, "Expiring", "Valid")
     )
  )
)</f>
        <v>Valid</v>
      </c>
      <c r="L23" s="4">
        <f>Table13[[#This Row],[Mandatory for Supporting]]</f>
        <v>45265</v>
      </c>
      <c r="M23" s="4" t="str">
        <f ca="1">IF(
  _xlfn.XLOOKUP($D23 &amp; "-" &amp; L$2, TrainingMan!$G:$G, TrainingMan!$F:$F, "2-Year") = "Forever",
  "Valid",
  IF(L23="", "Not Trained",
     IF(L23 &lt; TODAY() - 1, "Expired",
        IF(L23 &lt;= TODAY() + 90, "Expiring", "Valid")
     )
  )
)</f>
        <v>Valid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>
        <v>46004</v>
      </c>
      <c r="AC23" s="4"/>
      <c r="AD23" s="4"/>
      <c r="AE23" s="4"/>
      <c r="AF23" s="4"/>
      <c r="AG23" s="4"/>
      <c r="AH23" s="4"/>
      <c r="AI23" s="4"/>
      <c r="AJ23" s="4"/>
      <c r="AN23" s="4"/>
      <c r="AQ23" s="4"/>
      <c r="AR23" s="4"/>
      <c r="AS23" s="4"/>
      <c r="AT23" s="4"/>
      <c r="AU23" s="4"/>
      <c r="BB23" s="4"/>
      <c r="BC23" s="4"/>
      <c r="BD23" s="4" t="s">
        <v>313</v>
      </c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>
        <v>45265</v>
      </c>
      <c r="BQ23">
        <f>COUNTIF('TrainingReq (Ach)'!B:B,Table13[[#This Row],[Job Title]])</f>
        <v>3</v>
      </c>
      <c r="BR23" cm="1">
        <f t="array" aca="1" ref="BR2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23" s="5">
        <f t="shared" ca="1" si="0"/>
        <v>1</v>
      </c>
      <c r="BT23" t="s">
        <v>314</v>
      </c>
      <c r="BU23" t="s">
        <v>247</v>
      </c>
      <c r="BW23" s="4"/>
      <c r="CD23" s="4"/>
      <c r="CE23" s="4" t="str">
        <f ca="1">IF(
  _xlfn.XLOOKUP($D23 &amp; "-" &amp; CD$2, 'TrainingReq (Ach)'!$G:$G, 'TrainingReq (Ach)'!$F:$F, "2-Year") = "Forever",
  "Valid",
  IF(CD23="", "Not Trained",
     IF(CD23 &lt; TODAY() - 1, "Expired",
        IF(CD23 &lt;= TODAY() + 90, "Expiring", "Valid")
     )
  )
)</f>
        <v>Not Trained</v>
      </c>
      <c r="CF23" t="s">
        <v>250</v>
      </c>
      <c r="CG23" s="4"/>
      <c r="CH23" s="4" t="str">
        <f ca="1">IF(
  _xlfn.XLOOKUP($D22 &amp; "-" &amp; CG$2, 'TrainingReq (Ach)'!$G:$G, 'TrainingReq (Ach)'!$F:$F, "2-Year") = "Forever",
  "Valid",
  IF(CG22="", "Not Trained",
     IF(CG22 &lt; TODAY() - 1, "Expired",
        IF(CG22 &lt;= TODAY() + 90, "Expiring", "Valid")
     )
  )
)</f>
        <v>Not Trained</v>
      </c>
      <c r="CI23" t="str">
        <f t="shared" si="1"/>
        <v>Not eligible</v>
      </c>
      <c r="CJ23" t="str">
        <f t="shared" si="2"/>
        <v>Not eligible</v>
      </c>
    </row>
    <row r="24" spans="1:88" x14ac:dyDescent="0.25">
      <c r="A24">
        <v>22</v>
      </c>
      <c r="B24">
        <v>580786</v>
      </c>
      <c r="C24" t="s">
        <v>115</v>
      </c>
      <c r="D24" t="s">
        <v>15</v>
      </c>
      <c r="E24" t="s">
        <v>292</v>
      </c>
      <c r="F24" t="s">
        <v>315</v>
      </c>
      <c r="G24" t="s">
        <v>49</v>
      </c>
      <c r="H24" s="4">
        <v>46547</v>
      </c>
      <c r="I24" s="4" t="str">
        <f ca="1">IF(
  _xlfn.XLOOKUP($D24 &amp; "-" &amp; H$2, 'TrainingReq (Ach)'!G:G, 'TrainingReq (Ach)'!F:F, "2-Year") = "Forever",
  "Valid",
  IF(H24="", "Not Trained",
     IF(H24 &lt; TODAY() - 1, "Expired",
        IF(H24 &lt;= TODAY() + 90, "Expiring", "Valid")
     )
  )
)</f>
        <v>Valid</v>
      </c>
      <c r="J24" s="4">
        <v>46547</v>
      </c>
      <c r="K24" s="4" t="str">
        <f ca="1">IF(
  _xlfn.XLOOKUP($D24 &amp; "-" &amp; J$2, 'TrainingReq (Ach)'!G:G, 'TrainingReq (Ach)'!F:F, "2-Year") = "Forever",
  "Valid",
  IF(J24="", "Not Trained",
     IF(J24 &lt; TODAY() - 1, "Expired",
        IF(J24 &lt;= TODAY() + 90, "Expiring", "Valid")
     )
  )
)</f>
        <v>Valid</v>
      </c>
      <c r="L24" s="4">
        <v>46318</v>
      </c>
      <c r="M24" s="4" t="str">
        <f ca="1">IF(
  _xlfn.XLOOKUP($D24 &amp; "-" &amp; L$2, TrainingMan!$G:$G, TrainingMan!$F:$F, "2-Year") = "Forever",
  "Valid",
  IF(L24="", "Not Trained",
     IF(L24 &lt; TODAY() - 1, "Expired",
        IF(L24 &lt;= TODAY() + 90, "Expiring", "Valid")
     )
  )
)</f>
        <v>Expiring</v>
      </c>
      <c r="N24" s="4">
        <v>46601</v>
      </c>
      <c r="O24" s="4" t="str">
        <f ca="1">IF(
  _xlfn.XLOOKUP($D24 &amp; "-" &amp; N$2, TrainingMan!$G:$G, TrainingMan!$F:$F, "2-Year") = "Forever",
  "Valid",
  IF(N24="", "Not Trained",
     IF(N24 &lt; TODAY() - 1, "Expired",
        IF(N24 &lt;= TODAY() + 90, "Expiring", "Valid")
     )
  )
)</f>
        <v>Valid</v>
      </c>
      <c r="P24" s="4">
        <v>46601</v>
      </c>
      <c r="Q24" s="4" t="str">
        <f ca="1">IF(
  _xlfn.XLOOKUP($D24 &amp; "-" &amp; P$2, TrainingMan!$G:$G, TrainingMan!$F:$F, "2-Year") = "Forever",
  "Valid",
  IF(P24="", "Not Trained",
     IF(P24 &lt; TODAY() - 1, "Expired",
        IF(P24 &lt;= TODAY() + 90, "Expiring", "Valid")
     )
  )
)</f>
        <v>Valid</v>
      </c>
      <c r="R24" s="4">
        <v>46601</v>
      </c>
      <c r="S24" s="4" t="str">
        <f ca="1">IF(
  _xlfn.XLOOKUP($D24 &amp; "-" &amp; R$2, TrainingMan!$G:$G, TrainingMan!$F:$F, "2-Year") = "Forever",
  "Valid",
  IF(R24="", "Not Trained",
     IF(R24 &lt; TODAY() - 1, "Expired",
        IF(R24 &lt;= TODAY() + 90, "Expiring", "Valid")
     )
  )
)</f>
        <v>Valid</v>
      </c>
      <c r="T24" s="4">
        <v>46601</v>
      </c>
      <c r="U24" s="4" t="str">
        <f ca="1">IF(
  _xlfn.XLOOKUP($D24 &amp; "-" &amp; T$2, TrainingMan!$G:$G, TrainingMan!$F:$F, "2-Year") = "Forever",
  "Valid",
  IF(T24="", "Not Trained",
     IF(T24 &lt; TODAY() - 1, "Expired",
        IF(T24 &lt;= TODAY() + 90, "Expiring", "Valid")
     )
  )
)</f>
        <v>Valid</v>
      </c>
      <c r="V24" s="4">
        <v>46383</v>
      </c>
      <c r="W24" s="4" t="str">
        <f ca="1">IF(
  _xlfn.XLOOKUP($D24 &amp; "-" &amp; V$2, TrainingMan!$G:$G, TrainingMan!$F:$F, "2-Year") = "Forever",
  "Valid",
  IF(V24="", "Not Trained",
     IF(V24 &lt; TODAY() - 1, "Expired",
        IF(V24 &lt;= TODAY() + 90, "Expiring", "Valid")
     )
  )
)</f>
        <v>Valid</v>
      </c>
      <c r="X24" s="4">
        <v>46601</v>
      </c>
      <c r="Y24" s="4" t="str">
        <f ca="1">IF(
  _xlfn.XLOOKUP($D24 &amp; "-" &amp; X$2, TrainingMan!$G:$G, TrainingMan!$F:$F, "2-Year") = "Forever",
  "Valid",
  IF(X24="", "Not Trained",
     IF(X24 &lt; TODAY() - 1, "Expired",
        IF(X24 &lt;= TODAY() + 90, "Expiring", "Valid")
     )
  )
)</f>
        <v>Valid</v>
      </c>
      <c r="Z24" s="4">
        <v>44709</v>
      </c>
      <c r="AA24" s="4" t="str">
        <f ca="1">IF(LEN(TRIM(Z24)) = 0, "Not Trained",
  IF(_xlfn.XLOOKUP($D24 &amp; "-" &amp; Z$2, TrainingMan!$G:$G, TrainingMan!$F:$F, "2-Year") = "Forever", "Valid",
    IF(Z24 &lt; TODAY() - 1, "Expired",
      IF(Z24 &lt;= TODAY() + 90, "Expiring", "Valid")
    )
  )
)</f>
        <v>Valid</v>
      </c>
      <c r="AB24" s="4">
        <v>43889</v>
      </c>
      <c r="AC24" s="4">
        <v>44165</v>
      </c>
      <c r="AD24" s="4">
        <v>46087</v>
      </c>
      <c r="AE24" s="4"/>
      <c r="AF24" s="4"/>
      <c r="AG24" s="4"/>
      <c r="AH24" s="4"/>
      <c r="AI24" s="4"/>
      <c r="AJ24" s="4"/>
      <c r="AN24" s="4"/>
      <c r="AQ24" s="4"/>
      <c r="AR24" s="4"/>
      <c r="AS24" s="4"/>
      <c r="AT24" s="4"/>
      <c r="AU24" s="4"/>
      <c r="BB24" s="4">
        <v>45894</v>
      </c>
      <c r="BC24" s="4" t="s">
        <v>293</v>
      </c>
      <c r="BD24" s="4" t="s">
        <v>316</v>
      </c>
      <c r="BE24" s="4">
        <v>41513</v>
      </c>
      <c r="BF24" s="4"/>
      <c r="BG24" s="4"/>
      <c r="BH24" s="4"/>
      <c r="BI24" s="4">
        <v>45414</v>
      </c>
      <c r="BJ24" s="4" t="s">
        <v>140</v>
      </c>
      <c r="BK24" s="4"/>
      <c r="BL24" s="4"/>
      <c r="BM24" s="4"/>
      <c r="BN24" s="4"/>
      <c r="BO24" s="4"/>
      <c r="BP24" s="4"/>
      <c r="BQ24">
        <f>COUNTIF('TrainingReq (Ach)'!B:B,Table13[[#This Row],[Job Title]])</f>
        <v>13</v>
      </c>
      <c r="BR24" cm="1">
        <f t="array" aca="1" ref="BR2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24" s="5">
        <f t="shared" ca="1" si="0"/>
        <v>1</v>
      </c>
      <c r="BT24" t="s">
        <v>265</v>
      </c>
      <c r="BU24" t="s">
        <v>247</v>
      </c>
      <c r="BV24" t="s">
        <v>270</v>
      </c>
      <c r="BW24" s="4" t="s">
        <v>140</v>
      </c>
      <c r="BZ24">
        <v>12097</v>
      </c>
      <c r="CA24">
        <v>1</v>
      </c>
      <c r="CC24" t="s">
        <v>317</v>
      </c>
      <c r="CD24" s="4"/>
      <c r="CE24" s="4" t="str">
        <f ca="1">IF(
  _xlfn.XLOOKUP($D24 &amp; "-" &amp; CD$2, 'TrainingReq (Ach)'!$G:$G, 'TrainingReq (Ach)'!$F:$F, "2-Year") = "Forever",
  "Valid",
  IF(CD24="", "Not Trained",
     IF(CD24 &lt; TODAY() - 1, "Expired",
        IF(CD24 &lt;= TODAY() + 90, "Expiring", "Valid")
     )
  )
)</f>
        <v>Not Trained</v>
      </c>
      <c r="CF24" t="s">
        <v>250</v>
      </c>
      <c r="CG24" s="4">
        <v>54007</v>
      </c>
      <c r="CH24" s="4" t="str">
        <f ca="1">IF(
  _xlfn.XLOOKUP($D23 &amp; "-" &amp; CG$2, 'TrainingReq (Ach)'!$G:$G, 'TrainingReq (Ach)'!$F:$F, "2-Year") = "Forever",
  "Valid",
  IF(CG23="", "Not Trained",
     IF(CG23 &lt; TODAY() - 1, "Expired",
        IF(CG23 &lt;= TODAY() + 90, "Expiring", "Valid")
     )
  )
)</f>
        <v>Not Trained</v>
      </c>
      <c r="CI24" t="str">
        <f t="shared" si="1"/>
        <v>Eligible</v>
      </c>
      <c r="CJ24" t="str">
        <f t="shared" si="2"/>
        <v>Not eligible</v>
      </c>
    </row>
    <row r="25" spans="1:88" x14ac:dyDescent="0.25">
      <c r="A25">
        <v>23</v>
      </c>
      <c r="B25">
        <v>581619</v>
      </c>
      <c r="C25" t="s">
        <v>71</v>
      </c>
      <c r="D25" t="s">
        <v>18</v>
      </c>
      <c r="E25" t="s">
        <v>263</v>
      </c>
      <c r="F25" t="s">
        <v>315</v>
      </c>
      <c r="G25" t="s">
        <v>49</v>
      </c>
      <c r="H25" s="4">
        <v>46514</v>
      </c>
      <c r="I25" s="4" t="str">
        <f ca="1">IF(
  _xlfn.XLOOKUP($D25 &amp; "-" &amp; H$2, 'TrainingReq (Ach)'!G:G, 'TrainingReq (Ach)'!F:F, "2-Year") = "Forever",
  "Valid",
  IF(H25="", "Not Trained",
     IF(H25 &lt; TODAY() - 1, "Expired",
        IF(H25 &lt;= TODAY() + 90, "Expiring", "Valid")
     )
  )
)</f>
        <v>Valid</v>
      </c>
      <c r="J25" s="4">
        <v>46514</v>
      </c>
      <c r="K25" s="4" t="str">
        <f ca="1">IF(
  _xlfn.XLOOKUP($D25 &amp; "-" &amp; J$2, 'TrainingReq (Ach)'!G:G, 'TrainingReq (Ach)'!F:F, "2-Year") = "Forever",
  "Valid",
  IF(J25="", "Not Trained",
     IF(J25 &lt; TODAY() - 1, "Expired",
        IF(J25 &lt;= TODAY() + 90, "Expiring", "Valid")
     )
  )
)</f>
        <v>Valid</v>
      </c>
      <c r="L25" s="4">
        <v>46547</v>
      </c>
      <c r="M25" s="4" t="str">
        <f ca="1">IF(
  _xlfn.XLOOKUP($D25 &amp; "-" &amp; L$2, TrainingMan!$G:$G, TrainingMan!$F:$F, "2-Year") = "Forever",
  "Valid",
  IF(L25="", "Not Trained",
     IF(L25 &lt; TODAY() - 1, "Expired",
        IF(L25 &lt;= TODAY() + 90, "Expiring", "Valid")
     )
  )
)</f>
        <v>Valid</v>
      </c>
      <c r="N25" s="4">
        <v>46606</v>
      </c>
      <c r="O25" s="4" t="str">
        <f ca="1">IF(
  _xlfn.XLOOKUP($D25 &amp; "-" &amp; N$2, TrainingMan!$G:$G, TrainingMan!$F:$F, "2-Year") = "Forever",
  "Valid",
  IF(N25="", "Not Trained",
     IF(N25 &lt; TODAY() - 1, "Expired",
        IF(N25 &lt;= TODAY() + 90, "Expiring", "Valid")
     )
  )
)</f>
        <v>Valid</v>
      </c>
      <c r="P25" s="4">
        <v>46606</v>
      </c>
      <c r="Q25" s="4" t="str">
        <f ca="1">IF(
  _xlfn.XLOOKUP($D25 &amp; "-" &amp; P$2, TrainingMan!$G:$G, TrainingMan!$F:$F, "2-Year") = "Forever",
  "Valid",
  IF(P25="", "Not Trained",
     IF(P25 &lt; TODAY() - 1, "Expired",
        IF(P25 &lt;= TODAY() + 90, "Expiring", "Valid")
     )
  )
)</f>
        <v>Valid</v>
      </c>
      <c r="R25" s="4">
        <v>46551</v>
      </c>
      <c r="S25" s="4" t="str">
        <f ca="1">IF(
  _xlfn.XLOOKUP($D25 &amp; "-" &amp; R$2, TrainingMan!$G:$G, TrainingMan!$F:$F, "2-Year") = "Forever",
  "Valid",
  IF(R25="", "Not Trained",
     IF(R25 &lt; TODAY() - 1, "Expired",
        IF(R25 &lt;= TODAY() + 90, "Expiring", "Valid")
     )
  )
)</f>
        <v>Valid</v>
      </c>
      <c r="T25" s="4">
        <v>46606</v>
      </c>
      <c r="U25" s="4" t="str">
        <f ca="1">IF(
  _xlfn.XLOOKUP($D25 &amp; "-" &amp; T$2, TrainingMan!$G:$G, TrainingMan!$F:$F, "2-Year") = "Forever",
  "Valid",
  IF(T25="", "Not Trained",
     IF(T25 &lt; TODAY() - 1, "Expired",
        IF(T25 &lt;= TODAY() + 90, "Expiring", "Valid")
     )
  )
)</f>
        <v>Valid</v>
      </c>
      <c r="V25" s="4">
        <v>46551</v>
      </c>
      <c r="W25" s="4" t="str">
        <f ca="1">IF(
  _xlfn.XLOOKUP($D25 &amp; "-" &amp; V$2, TrainingMan!$G:$G, TrainingMan!$F:$F, "2-Year") = "Forever",
  "Valid",
  IF(V25="", "Not Trained",
     IF(V25 &lt; TODAY() - 1, "Expired",
        IF(V25 &lt;= TODAY() + 90, "Expiring", "Valid")
     )
  )
)</f>
        <v>Valid</v>
      </c>
      <c r="X25" s="4">
        <v>46606</v>
      </c>
      <c r="Y25" s="4" t="str">
        <f ca="1">IF(
  _xlfn.XLOOKUP($D25 &amp; "-" &amp; X$2, TrainingMan!$G:$G, TrainingMan!$F:$F, "2-Year") = "Forever",
  "Valid",
  IF(X25="", "Not Trained",
     IF(X25 &lt; TODAY() - 1, "Expired",
        IF(X25 &lt;= TODAY() + 90, "Expiring", "Valid")
     )
  )
)</f>
        <v>Valid</v>
      </c>
      <c r="Z25" s="4">
        <v>45004</v>
      </c>
      <c r="AA25" s="4" t="str">
        <f ca="1">IF(LEN(TRIM(Z25)) = 0, "Not Trained",
  IF(_xlfn.XLOOKUP($D25 &amp; "-" &amp; Z$2, TrainingMan!$G:$G, TrainingMan!$F:$F, "2-Year") = "Forever", "Valid",
    IF(Z25 &lt; TODAY() - 1, "Expired",
      IF(Z25 &lt;= TODAY() + 90, "Expiring", "Valid")
    )
  )
)</f>
        <v>Valid</v>
      </c>
      <c r="AB25" s="4">
        <v>43742</v>
      </c>
      <c r="AC25" s="4">
        <v>45803</v>
      </c>
      <c r="AD25" s="4">
        <v>45338</v>
      </c>
      <c r="AE25" s="4"/>
      <c r="AF25" s="4"/>
      <c r="AG25" s="4"/>
      <c r="AH25" s="4"/>
      <c r="AI25" s="4"/>
      <c r="AJ25" s="4"/>
      <c r="AN25" s="4"/>
      <c r="AQ25" s="4"/>
      <c r="AR25" s="4"/>
      <c r="AS25" s="4"/>
      <c r="AT25" s="4"/>
      <c r="AU25" s="4"/>
      <c r="BB25" s="4">
        <v>45999</v>
      </c>
      <c r="BC25" s="4" t="s">
        <v>253</v>
      </c>
      <c r="BD25" s="4" t="s">
        <v>304</v>
      </c>
      <c r="BE25" s="4">
        <v>42033</v>
      </c>
      <c r="BF25" s="4"/>
      <c r="BG25" s="4"/>
      <c r="BH25" s="4"/>
      <c r="BI25" s="4">
        <v>44788</v>
      </c>
      <c r="BJ25" s="4" t="s">
        <v>140</v>
      </c>
      <c r="BK25" s="4"/>
      <c r="BL25" s="4"/>
      <c r="BM25" s="4"/>
      <c r="BN25" s="4" t="s">
        <v>318</v>
      </c>
      <c r="BO25" s="4"/>
      <c r="BP25" s="4"/>
      <c r="BQ25">
        <f>COUNTIF('TrainingReq (Ach)'!B:B,Table13[[#This Row],[Job Title]])</f>
        <v>15</v>
      </c>
      <c r="BR25" cm="1">
        <f t="array" aca="1" ref="BR2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25" s="5">
        <f t="shared" ca="1" si="0"/>
        <v>1</v>
      </c>
      <c r="BT25" t="s">
        <v>319</v>
      </c>
      <c r="BU25" t="s">
        <v>247</v>
      </c>
      <c r="BV25" t="s">
        <v>256</v>
      </c>
      <c r="BW25" s="4" t="s">
        <v>140</v>
      </c>
      <c r="BZ25" t="s">
        <v>320</v>
      </c>
      <c r="CC25" t="s">
        <v>321</v>
      </c>
      <c r="CD25" s="4">
        <v>46683</v>
      </c>
      <c r="CE25" s="4" t="str">
        <f ca="1">IF(
  _xlfn.XLOOKUP($D25 &amp; "-" &amp; CD$2, 'TrainingReq (Ach)'!$G:$G, 'TrainingReq (Ach)'!$F:$F, "2-Year") = "Forever",
  "Valid",
  IF(CD25="", "Not Trained",
     IF(CD25 &lt; TODAY() - 1, "Expired",
        IF(CD25 &lt;= TODAY() + 90, "Expiring", "Valid")
     )
  )
)</f>
        <v>Valid</v>
      </c>
      <c r="CF25" t="s">
        <v>250</v>
      </c>
      <c r="CG25" s="4">
        <v>55438</v>
      </c>
      <c r="CH25" s="4" t="str">
        <f ca="1">IF(
  _xlfn.XLOOKUP($D24 &amp; "-" &amp; CG$2, 'TrainingReq (Ach)'!$G:$G, 'TrainingReq (Ach)'!$F:$F, "2-Year") = "Forever",
  "Valid",
  IF(CG24="", "Not Trained",
     IF(CG24 &lt; TODAY() - 1, "Expired",
        IF(CG24 &lt;= TODAY() + 90, "Expiring", "Valid")
     )
  )
)</f>
        <v>Valid</v>
      </c>
      <c r="CI25" t="str">
        <f t="shared" si="1"/>
        <v>Eligible</v>
      </c>
      <c r="CJ25" t="str">
        <f t="shared" si="2"/>
        <v>Not eligible</v>
      </c>
    </row>
    <row r="26" spans="1:88" x14ac:dyDescent="0.25">
      <c r="A26">
        <v>24</v>
      </c>
      <c r="B26">
        <v>582686</v>
      </c>
      <c r="C26" t="s">
        <v>322</v>
      </c>
      <c r="D26" t="s">
        <v>18</v>
      </c>
      <c r="E26" t="s">
        <v>263</v>
      </c>
      <c r="F26" t="s">
        <v>315</v>
      </c>
      <c r="G26" t="s">
        <v>49</v>
      </c>
      <c r="H26" s="4">
        <v>46549</v>
      </c>
      <c r="I26" s="4" t="str">
        <f ca="1">IF(
  _xlfn.XLOOKUP($D26 &amp; "-" &amp; H$2, 'TrainingReq (Ach)'!G:G, 'TrainingReq (Ach)'!F:F, "2-Year") = "Forever",
  "Valid",
  IF(H26="", "Not Trained",
     IF(H26 &lt; TODAY() - 1, "Expired",
        IF(H26 &lt;= TODAY() + 90, "Expiring", "Valid")
     )
  )
)</f>
        <v>Valid</v>
      </c>
      <c r="J26" s="4">
        <v>46549</v>
      </c>
      <c r="K26" s="4" t="str">
        <f ca="1">IF(
  _xlfn.XLOOKUP($D26 &amp; "-" &amp; J$2, 'TrainingReq (Ach)'!G:G, 'TrainingReq (Ach)'!F:F, "2-Year") = "Forever",
  "Valid",
  IF(J26="", "Not Trained",
     IF(J26 &lt; TODAY() - 1, "Expired",
        IF(J26 &lt;= TODAY() + 90, "Expiring", "Valid")
     )
  )
)</f>
        <v>Valid</v>
      </c>
      <c r="L26" s="4">
        <v>46605</v>
      </c>
      <c r="M26" s="4" t="str">
        <f ca="1">IF(
  _xlfn.XLOOKUP($D26 &amp; "-" &amp; L$2, TrainingMan!$G:$G, TrainingMan!$F:$F, "2-Year") = "Forever",
  "Valid",
  IF(L26="", "Not Trained",
     IF(L26 &lt; TODAY() - 1, "Expired",
        IF(L26 &lt;= TODAY() + 90, "Expiring", "Valid")
     )
  )
)</f>
        <v>Valid</v>
      </c>
      <c r="N26" s="4">
        <v>46788</v>
      </c>
      <c r="O26" s="4" t="str">
        <f ca="1">IF(
  _xlfn.XLOOKUP($D26 &amp; "-" &amp; N$2, TrainingMan!$G:$G, TrainingMan!$F:$F, "2-Year") = "Forever",
  "Valid",
  IF(N26="", "Not Trained",
     IF(N26 &lt; TODAY() - 1, "Expired",
        IF(N26 &lt;= TODAY() + 90, "Expiring", "Valid")
     )
  )
)</f>
        <v>Valid</v>
      </c>
      <c r="P26" s="4">
        <v>46788</v>
      </c>
      <c r="Q26" s="4" t="str">
        <f ca="1">IF(
  _xlfn.XLOOKUP($D26 &amp; "-" &amp; P$2, TrainingMan!$G:$G, TrainingMan!$F:$F, "2-Year") = "Forever",
  "Valid",
  IF(P26="", "Not Trained",
     IF(P26 &lt; TODAY() - 1, "Expired",
        IF(P26 &lt;= TODAY() + 90, "Expiring", "Valid")
     )
  )
)</f>
        <v>Valid</v>
      </c>
      <c r="R26" s="4">
        <v>46788</v>
      </c>
      <c r="S26" s="4" t="str">
        <f ca="1">IF(
  _xlfn.XLOOKUP($D26 &amp; "-" &amp; R$2, TrainingMan!$G:$G, TrainingMan!$F:$F, "2-Year") = "Forever",
  "Valid",
  IF(R26="", "Not Trained",
     IF(R26 &lt; TODAY() - 1, "Expired",
        IF(R26 &lt;= TODAY() + 90, "Expiring", "Valid")
     )
  )
)</f>
        <v>Valid</v>
      </c>
      <c r="T26" s="4">
        <v>46788</v>
      </c>
      <c r="U26" s="4" t="str">
        <f ca="1">IF(
  _xlfn.XLOOKUP($D26 &amp; "-" &amp; T$2, TrainingMan!$G:$G, TrainingMan!$F:$F, "2-Year") = "Forever",
  "Valid",
  IF(T26="", "Not Trained",
     IF(T26 &lt; TODAY() - 1, "Expired",
        IF(T26 &lt;= TODAY() + 90, "Expiring", "Valid")
     )
  )
)</f>
        <v>Valid</v>
      </c>
      <c r="V26" s="4">
        <v>46472</v>
      </c>
      <c r="W26" s="4" t="str">
        <f ca="1">IF(
  _xlfn.XLOOKUP($D26 &amp; "-" &amp; V$2, TrainingMan!$G:$G, TrainingMan!$F:$F, "2-Year") = "Forever",
  "Valid",
  IF(V26="", "Not Trained",
     IF(V26 &lt; TODAY() - 1, "Expired",
        IF(V26 &lt;= TODAY() + 90, "Expiring", "Valid")
     )
  )
)</f>
        <v>Valid</v>
      </c>
      <c r="X26" s="4">
        <v>46472</v>
      </c>
      <c r="Y26" s="4" t="str">
        <f ca="1">IF(
  _xlfn.XLOOKUP($D26 &amp; "-" &amp; X$2, TrainingMan!$G:$G, TrainingMan!$F:$F, "2-Year") = "Forever",
  "Valid",
  IF(X26="", "Not Trained",
     IF(X26 &lt; TODAY() - 1, "Expired",
        IF(X26 &lt;= TODAY() + 90, "Expiring", "Valid")
     )
  )
)</f>
        <v>Valid</v>
      </c>
      <c r="Z26" s="4">
        <v>44915</v>
      </c>
      <c r="AA26" s="4" t="str">
        <f ca="1">IF(LEN(TRIM(Z26)) = 0, "Not Trained",
  IF(_xlfn.XLOOKUP($D26 &amp; "-" &amp; Z$2, TrainingMan!$G:$G, TrainingMan!$F:$F, "2-Year") = "Forever", "Valid",
    IF(Z26 &lt; TODAY() - 1, "Expired",
      IF(Z26 &lt;= TODAY() + 90, "Expiring", "Valid")
    )
  )
)</f>
        <v>Valid</v>
      </c>
      <c r="AB26" s="4">
        <v>44277</v>
      </c>
      <c r="AC26" s="4">
        <v>45429</v>
      </c>
      <c r="AD26" s="4">
        <v>44547</v>
      </c>
      <c r="AE26" s="4">
        <v>45015</v>
      </c>
      <c r="AF26" s="4">
        <v>43287</v>
      </c>
      <c r="AG26" s="4"/>
      <c r="AH26" s="4"/>
      <c r="AI26" s="4"/>
      <c r="AJ26" s="4"/>
      <c r="AN26" s="4"/>
      <c r="AQ26" s="4"/>
      <c r="AR26" s="4"/>
      <c r="AS26" s="4"/>
      <c r="AT26" s="4"/>
      <c r="AU26" s="4"/>
      <c r="BB26" s="4">
        <v>46190</v>
      </c>
      <c r="BC26" s="4" t="s">
        <v>323</v>
      </c>
      <c r="BD26" s="4" t="s">
        <v>275</v>
      </c>
      <c r="BE26" s="4"/>
      <c r="BF26" s="4"/>
      <c r="BG26" s="4"/>
      <c r="BH26" s="4"/>
      <c r="BI26" s="4">
        <v>44151</v>
      </c>
      <c r="BJ26" s="4" t="s">
        <v>151</v>
      </c>
      <c r="BK26" s="4"/>
      <c r="BL26" s="4"/>
      <c r="BM26" s="4"/>
      <c r="BN26" s="4" t="s">
        <v>324</v>
      </c>
      <c r="BO26" s="4"/>
      <c r="BP26" s="4"/>
      <c r="BQ26">
        <f>COUNTIF('TrainingReq (Ach)'!B:B,Table13[[#This Row],[Job Title]])</f>
        <v>15</v>
      </c>
      <c r="BR26" cm="1">
        <f t="array" aca="1" ref="BR2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26" s="5">
        <f t="shared" ca="1" si="0"/>
        <v>1</v>
      </c>
      <c r="BT26" t="s">
        <v>301</v>
      </c>
      <c r="BU26" t="s">
        <v>247</v>
      </c>
      <c r="BV26" t="s">
        <v>270</v>
      </c>
      <c r="BW26" s="4" t="s">
        <v>151</v>
      </c>
      <c r="BZ26" t="s">
        <v>325</v>
      </c>
      <c r="CC26" t="s">
        <v>326</v>
      </c>
      <c r="CD26" s="4">
        <v>47143</v>
      </c>
      <c r="CE26" s="4" t="str">
        <f ca="1">IF(
  _xlfn.XLOOKUP($D26 &amp; "-" &amp; CD$2, 'TrainingReq (Ach)'!$G:$G, 'TrainingReq (Ach)'!$F:$F, "2-Year") = "Forever",
  "Valid",
  IF(CD26="", "Not Trained",
     IF(CD26 &lt; TODAY() - 1, "Expired",
        IF(CD26 &lt;= TODAY() + 90, "Expiring", "Valid")
     )
  )
)</f>
        <v>Valid</v>
      </c>
      <c r="CF26" t="s">
        <v>250</v>
      </c>
      <c r="CG26" s="4">
        <v>55989</v>
      </c>
      <c r="CH26" s="4" t="str">
        <f ca="1">IF(
  _xlfn.XLOOKUP($D25 &amp; "-" &amp; CG$2, 'TrainingReq (Ach)'!$G:$G, 'TrainingReq (Ach)'!$F:$F, "2-Year") = "Forever",
  "Valid",
  IF(CG25="", "Not Trained",
     IF(CG25 &lt; TODAY() - 1, "Expired",
        IF(CG25 &lt;= TODAY() + 90, "Expiring", "Valid")
     )
  )
)</f>
        <v>Valid</v>
      </c>
      <c r="CI26" t="str">
        <f t="shared" si="1"/>
        <v>Eligible</v>
      </c>
      <c r="CJ26" t="str">
        <f t="shared" si="2"/>
        <v>Not eligible</v>
      </c>
    </row>
    <row r="27" spans="1:88" x14ac:dyDescent="0.25">
      <c r="A27">
        <v>25</v>
      </c>
      <c r="B27">
        <v>582679</v>
      </c>
      <c r="C27" t="s">
        <v>99</v>
      </c>
      <c r="D27" t="s">
        <v>18</v>
      </c>
      <c r="E27" t="s">
        <v>327</v>
      </c>
      <c r="F27" t="s">
        <v>315</v>
      </c>
      <c r="G27" t="s">
        <v>48</v>
      </c>
      <c r="H27" s="4">
        <v>46563</v>
      </c>
      <c r="I27" s="4" t="str">
        <f ca="1">IF(
  _xlfn.XLOOKUP($D27 &amp; "-" &amp; H$2, 'TrainingReq (Ach)'!G:G, 'TrainingReq (Ach)'!F:F, "2-Year") = "Forever",
  "Valid",
  IF(H27="", "Not Trained",
     IF(H27 &lt; TODAY() - 1, "Expired",
        IF(H27 &lt;= TODAY() + 90, "Expiring", "Valid")
     )
  )
)</f>
        <v>Valid</v>
      </c>
      <c r="J27" s="4">
        <v>46563</v>
      </c>
      <c r="K27" s="4" t="str">
        <f ca="1">IF(
  _xlfn.XLOOKUP($D27 &amp; "-" &amp; J$2, 'TrainingReq (Ach)'!G:G, 'TrainingReq (Ach)'!F:F, "2-Year") = "Forever",
  "Valid",
  IF(J27="", "Not Trained",
     IF(J27 &lt; TODAY() - 1, "Expired",
        IF(J27 &lt;= TODAY() + 90, "Expiring", "Valid")
     )
  )
)</f>
        <v>Valid</v>
      </c>
      <c r="L27" s="4">
        <v>46372</v>
      </c>
      <c r="M27" s="4" t="str">
        <f ca="1">IF(
  _xlfn.XLOOKUP($D27 &amp; "-" &amp; L$2, TrainingMan!$G:$G, TrainingMan!$F:$F, "2-Year") = "Forever",
  "Valid",
  IF(L27="", "Not Trained",
     IF(L27 &lt; TODAY() - 1, "Expired",
        IF(L27 &lt;= TODAY() + 90, "Expiring", "Valid")
     )
  )
)</f>
        <v>Valid</v>
      </c>
      <c r="N27" s="4">
        <v>46613</v>
      </c>
      <c r="O27" s="4" t="str">
        <f ca="1">IF(
  _xlfn.XLOOKUP($D27 &amp; "-" &amp; N$2, TrainingMan!$G:$G, TrainingMan!$F:$F, "2-Year") = "Forever",
  "Valid",
  IF(N27="", "Not Trained",
     IF(N27 &lt; TODAY() - 1, "Expired",
        IF(N27 &lt;= TODAY() + 90, "Expiring", "Valid")
     )
  )
)</f>
        <v>Valid</v>
      </c>
      <c r="P27" s="4">
        <v>46372</v>
      </c>
      <c r="Q27" s="4" t="str">
        <f ca="1">IF(
  _xlfn.XLOOKUP($D27 &amp; "-" &amp; P$2, TrainingMan!$G:$G, TrainingMan!$F:$F, "2-Year") = "Forever",
  "Valid",
  IF(P27="", "Not Trained",
     IF(P27 &lt; TODAY() - 1, "Expired",
        IF(P27 &lt;= TODAY() + 90, "Expiring", "Valid")
     )
  )
)</f>
        <v>Valid</v>
      </c>
      <c r="R27" s="4">
        <v>46613</v>
      </c>
      <c r="S27" s="4" t="str">
        <f ca="1">IF(
  _xlfn.XLOOKUP($D27 &amp; "-" &amp; R$2, TrainingMan!$G:$G, TrainingMan!$F:$F, "2-Year") = "Forever",
  "Valid",
  IF(R27="", "Not Trained",
     IF(R27 &lt; TODAY() - 1, "Expired",
        IF(R27 &lt;= TODAY() + 90, "Expiring", "Valid")
     )
  )
)</f>
        <v>Valid</v>
      </c>
      <c r="T27" s="4">
        <v>46613</v>
      </c>
      <c r="U27" s="4" t="str">
        <f ca="1">IF(
  _xlfn.XLOOKUP($D27 &amp; "-" &amp; T$2, TrainingMan!$G:$G, TrainingMan!$F:$F, "2-Year") = "Forever",
  "Valid",
  IF(T27="", "Not Trained",
     IF(T27 &lt; TODAY() - 1, "Expired",
        IF(T27 &lt;= TODAY() + 90, "Expiring", "Valid")
     )
  )
)</f>
        <v>Valid</v>
      </c>
      <c r="V27" s="4">
        <v>46372</v>
      </c>
      <c r="W27" s="4" t="str">
        <f ca="1">IF(
  _xlfn.XLOOKUP($D27 &amp; "-" &amp; V$2, TrainingMan!$G:$G, TrainingMan!$F:$F, "2-Year") = "Forever",
  "Valid",
  IF(V27="", "Not Trained",
     IF(V27 &lt; TODAY() - 1, "Expired",
        IF(V27 &lt;= TODAY() + 90, "Expiring", "Valid")
     )
  )
)</f>
        <v>Valid</v>
      </c>
      <c r="X27" s="4">
        <v>46372</v>
      </c>
      <c r="Y27" s="4" t="str">
        <f ca="1">IF(
  _xlfn.XLOOKUP($D27 &amp; "-" &amp; X$2, TrainingMan!$G:$G, TrainingMan!$F:$F, "2-Year") = "Forever",
  "Valid",
  IF(X27="", "Not Trained",
     IF(X27 &lt; TODAY() - 1, "Expired",
        IF(X27 &lt;= TODAY() + 90, "Expiring", "Valid")
     )
  )
)</f>
        <v>Valid</v>
      </c>
      <c r="Z27" s="4">
        <v>44710</v>
      </c>
      <c r="AA27" s="4" t="str">
        <f ca="1">IF(LEN(TRIM(Z27)) = 0, "Not Trained",
  IF(_xlfn.XLOOKUP($D27 &amp; "-" &amp; Z$2, TrainingMan!$G:$G, TrainingMan!$F:$F, "2-Year") = "Forever", "Valid",
    IF(Z27 &lt; TODAY() - 1, "Expired",
      IF(Z27 &lt;= TODAY() + 90, "Expiring", "Valid")
    )
  )
)</f>
        <v>Valid</v>
      </c>
      <c r="AB27" s="4">
        <v>45073</v>
      </c>
      <c r="AC27" s="4">
        <v>44908</v>
      </c>
      <c r="AD27" s="4"/>
      <c r="AE27" s="4"/>
      <c r="AF27" s="4"/>
      <c r="AG27" s="4"/>
      <c r="AH27" s="4"/>
      <c r="AI27" s="4"/>
      <c r="AJ27" s="4"/>
      <c r="AN27" s="4"/>
      <c r="AQ27" s="4"/>
      <c r="AR27" s="4"/>
      <c r="AS27" s="4"/>
      <c r="AT27" s="4"/>
      <c r="AU27" s="4"/>
      <c r="BB27" s="4">
        <v>46122</v>
      </c>
      <c r="BC27" s="4"/>
      <c r="BD27" s="4" t="s">
        <v>328</v>
      </c>
      <c r="BE27" s="4"/>
      <c r="BF27" s="4"/>
      <c r="BG27" s="4"/>
      <c r="BH27" s="4"/>
      <c r="BI27" s="4">
        <v>45531</v>
      </c>
      <c r="BJ27" s="4" t="s">
        <v>145</v>
      </c>
      <c r="BK27" s="4"/>
      <c r="BL27" s="4"/>
      <c r="BM27" s="4"/>
      <c r="BN27" s="4"/>
      <c r="BO27" s="4"/>
      <c r="BP27" s="4"/>
      <c r="BQ27">
        <f>COUNTIF('TrainingReq (Ach)'!B:B,Table13[[#This Row],[Job Title]])</f>
        <v>15</v>
      </c>
      <c r="BR27" cm="1">
        <f t="array" aca="1" ref="BR2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27" s="5">
        <f t="shared" ca="1" si="0"/>
        <v>1</v>
      </c>
      <c r="BT27" t="s">
        <v>246</v>
      </c>
      <c r="BU27" t="s">
        <v>247</v>
      </c>
      <c r="BV27" t="s">
        <v>270</v>
      </c>
      <c r="BW27" s="4"/>
      <c r="CC27" t="s">
        <v>329</v>
      </c>
      <c r="CD27" s="4"/>
      <c r="CE27" s="4" t="str">
        <f ca="1">IF(
  _xlfn.XLOOKUP($D27 &amp; "-" &amp; CD$2, 'TrainingReq (Ach)'!$G:$G, 'TrainingReq (Ach)'!$F:$F, "2-Year") = "Forever",
  "Valid",
  IF(CD27="", "Not Trained",
     IF(CD27 &lt; TODAY() - 1, "Expired",
        IF(CD27 &lt;= TODAY() + 90, "Expiring", "Valid")
     )
  )
)</f>
        <v>Not Trained</v>
      </c>
      <c r="CF27" t="s">
        <v>250</v>
      </c>
      <c r="CG27" s="4">
        <v>55532</v>
      </c>
      <c r="CH27" s="4" t="str">
        <f ca="1">IF(
  _xlfn.XLOOKUP($D26 &amp; "-" &amp; CG$2, 'TrainingReq (Ach)'!$G:$G, 'TrainingReq (Ach)'!$F:$F, "2-Year") = "Forever",
  "Valid",
  IF(CG26="", "Not Trained",
     IF(CG26 &lt; TODAY() - 1, "Expired",
        IF(CG26 &lt;= TODAY() + 90, "Expiring", "Valid")
     )
  )
)</f>
        <v>Valid</v>
      </c>
      <c r="CI27" t="str">
        <f t="shared" si="1"/>
        <v>Not eligible</v>
      </c>
      <c r="CJ27" t="str">
        <f t="shared" si="2"/>
        <v>Not eligible</v>
      </c>
    </row>
    <row r="28" spans="1:88" x14ac:dyDescent="0.25">
      <c r="A28">
        <v>26</v>
      </c>
      <c r="B28">
        <v>582544</v>
      </c>
      <c r="C28" t="s">
        <v>92</v>
      </c>
      <c r="D28" t="s">
        <v>18</v>
      </c>
      <c r="E28" t="s">
        <v>263</v>
      </c>
      <c r="F28" t="s">
        <v>315</v>
      </c>
      <c r="G28" t="s">
        <v>49</v>
      </c>
      <c r="H28" s="4">
        <v>46609</v>
      </c>
      <c r="I28" s="4" t="str">
        <f ca="1">IF(
  _xlfn.XLOOKUP($D28 &amp; "-" &amp; H$2, 'TrainingReq (Ach)'!G:G, 'TrainingReq (Ach)'!F:F, "2-Year") = "Forever",
  "Valid",
  IF(H28="", "Not Trained",
     IF(H28 &lt; TODAY() - 1, "Expired",
        IF(H28 &lt;= TODAY() + 90, "Expiring", "Valid")
     )
  )
)</f>
        <v>Valid</v>
      </c>
      <c r="J28" s="4">
        <v>46609</v>
      </c>
      <c r="K28" s="4" t="str">
        <f ca="1">IF(
  _xlfn.XLOOKUP($D28 &amp; "-" &amp; J$2, 'TrainingReq (Ach)'!G:G, 'TrainingReq (Ach)'!F:F, "2-Year") = "Forever",
  "Valid",
  IF(J28="", "Not Trained",
     IF(J28 &lt; TODAY() - 1, "Expired",
        IF(J28 &lt;= TODAY() + 90, "Expiring", "Valid")
     )
  )
)</f>
        <v>Valid</v>
      </c>
      <c r="L28" s="4">
        <v>46202</v>
      </c>
      <c r="M28" s="4" t="str">
        <f ca="1">IF(
  _xlfn.XLOOKUP($D28 &amp; "-" &amp; L$2, TrainingMan!$G:$G, TrainingMan!$F:$F, "2-Year") = "Forever",
  "Valid",
  IF(L28="", "Not Trained",
     IF(L28 &lt; TODAY() - 1, "Expired",
        IF(L28 &lt;= TODAY() + 90, "Expiring", "Valid")
     )
  )
)</f>
        <v>Expired</v>
      </c>
      <c r="N28" s="4">
        <v>46202</v>
      </c>
      <c r="O28" s="4" t="str">
        <f ca="1">IF(
  _xlfn.XLOOKUP($D28 &amp; "-" &amp; N$2, TrainingMan!$G:$G, TrainingMan!$F:$F, "2-Year") = "Forever",
  "Valid",
  IF(N28="", "Not Trained",
     IF(N28 &lt; TODAY() - 1, "Expired",
        IF(N28 &lt;= TODAY() + 90, "Expiring", "Valid")
     )
  )
)</f>
        <v>Expired</v>
      </c>
      <c r="P28" s="4">
        <v>46202</v>
      </c>
      <c r="Q28" s="4" t="str">
        <f ca="1">IF(
  _xlfn.XLOOKUP($D28 &amp; "-" &amp; P$2, TrainingMan!$G:$G, TrainingMan!$F:$F, "2-Year") = "Forever",
  "Valid",
  IF(P28="", "Not Trained",
     IF(P28 &lt; TODAY() - 1, "Expired",
        IF(P28 &lt;= TODAY() + 90, "Expiring", "Valid")
     )
  )
)</f>
        <v>Expired</v>
      </c>
      <c r="R28" s="4">
        <v>46250</v>
      </c>
      <c r="S28" s="4" t="str">
        <f ca="1">IF(
  _xlfn.XLOOKUP($D28 &amp; "-" &amp; R$2, TrainingMan!$G:$G, TrainingMan!$F:$F, "2-Year") = "Forever",
  "Valid",
  IF(R28="", "Not Trained",
     IF(R28 &lt; TODAY() - 1, "Expired",
        IF(R28 &lt;= TODAY() + 90, "Expiring", "Valid")
     )
  )
)</f>
        <v>Expired</v>
      </c>
      <c r="T28" s="4">
        <v>46250</v>
      </c>
      <c r="U28" s="4" t="str">
        <f ca="1">IF(
  _xlfn.XLOOKUP($D28 &amp; "-" &amp; T$2, TrainingMan!$G:$G, TrainingMan!$F:$F, "2-Year") = "Forever",
  "Valid",
  IF(T28="", "Not Trained",
     IF(T28 &lt; TODAY() - 1, "Expired",
        IF(T28 &lt;= TODAY() + 90, "Expiring", "Valid")
     )
  )
)</f>
        <v>Expired</v>
      </c>
      <c r="V28" s="4">
        <v>46222</v>
      </c>
      <c r="W28" s="4" t="str">
        <f ca="1">IF(
  _xlfn.XLOOKUP($D28 &amp; "-" &amp; V$2, TrainingMan!$G:$G, TrainingMan!$F:$F, "2-Year") = "Forever",
  "Valid",
  IF(V28="", "Not Trained",
     IF(V28 &lt; TODAY() - 1, "Expired",
        IF(V28 &lt;= TODAY() + 90, "Expiring", "Valid")
     )
  )
)</f>
        <v>Expired</v>
      </c>
      <c r="X28" s="4">
        <v>46222</v>
      </c>
      <c r="Y28" s="4" t="str">
        <f ca="1">IF(
  _xlfn.XLOOKUP($D28 &amp; "-" &amp; X$2, TrainingMan!$G:$G, TrainingMan!$F:$F, "2-Year") = "Forever",
  "Valid",
  IF(X28="", "Not Trained",
     IF(X28 &lt; TODAY() - 1, "Expired",
        IF(X28 &lt;= TODAY() + 90, "Expiring", "Valid")
     )
  )
)</f>
        <v>Expired</v>
      </c>
      <c r="Z28" s="4">
        <v>45508</v>
      </c>
      <c r="AA28" s="4" t="str">
        <f ca="1">IF(LEN(TRIM(Z28)) = 0, "Not Trained",
  IF(_xlfn.XLOOKUP($D28 &amp; "-" &amp; Z$2, TrainingMan!$G:$G, TrainingMan!$F:$F, "2-Year") = "Forever", "Valid",
    IF(Z28 &lt; TODAY() - 1, "Expired",
      IF(Z28 &lt;= TODAY() + 90, "Expiring", "Valid")
    )
  )
)</f>
        <v>Valid</v>
      </c>
      <c r="AB28" s="4">
        <v>44618</v>
      </c>
      <c r="AC28" s="4">
        <v>46290</v>
      </c>
      <c r="AD28" s="4">
        <v>44952</v>
      </c>
      <c r="AE28" s="4"/>
      <c r="AF28" s="4"/>
      <c r="AG28" s="4"/>
      <c r="AH28" s="4"/>
      <c r="AI28" s="4"/>
      <c r="AJ28" s="4"/>
      <c r="AN28" s="4"/>
      <c r="AQ28" s="4"/>
      <c r="AR28" s="4"/>
      <c r="AS28" s="4"/>
      <c r="AT28" s="4"/>
      <c r="AU28" s="4"/>
      <c r="BB28" s="4"/>
      <c r="BC28" s="4" t="s">
        <v>268</v>
      </c>
      <c r="BD28" s="4" t="s">
        <v>269</v>
      </c>
      <c r="BE28" s="4"/>
      <c r="BF28" s="4"/>
      <c r="BG28" s="4"/>
      <c r="BH28" s="4"/>
      <c r="BI28" s="4">
        <v>44263</v>
      </c>
      <c r="BJ28" s="4" t="s">
        <v>144</v>
      </c>
      <c r="BK28" s="4"/>
      <c r="BL28" s="4"/>
      <c r="BM28" s="4"/>
      <c r="BN28" s="4"/>
      <c r="BO28" s="4"/>
      <c r="BP28" s="4"/>
      <c r="BQ28">
        <f>COUNTIF('TrainingReq (Ach)'!B:B,Table13[[#This Row],[Job Title]])</f>
        <v>15</v>
      </c>
      <c r="BR28" cm="1">
        <f t="array" aca="1" ref="BR2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28" s="5">
        <f t="shared" ca="1" si="0"/>
        <v>0.93333333333333335</v>
      </c>
      <c r="BT28" t="s">
        <v>265</v>
      </c>
      <c r="BU28" t="s">
        <v>247</v>
      </c>
      <c r="BV28" t="s">
        <v>270</v>
      </c>
      <c r="BW28" s="4" t="s">
        <v>144</v>
      </c>
      <c r="BZ28" t="s">
        <v>330</v>
      </c>
      <c r="CC28" t="s">
        <v>331</v>
      </c>
      <c r="CD28" s="4">
        <v>46410</v>
      </c>
      <c r="CE28" s="4" t="str">
        <f ca="1">IF(
  _xlfn.XLOOKUP($D28 &amp; "-" &amp; CD$2, 'TrainingReq (Ach)'!$G:$G, 'TrainingReq (Ach)'!$F:$F, "2-Year") = "Forever",
  "Valid",
  IF(CD28="", "Not Trained",
     IF(CD28 &lt; TODAY() - 1, "Expired",
        IF(CD28 &lt;= TODAY() + 90, "Expiring", "Valid")
     )
  )
)</f>
        <v>Valid</v>
      </c>
      <c r="CF28" t="s">
        <v>250</v>
      </c>
      <c r="CG28" s="4">
        <v>55648</v>
      </c>
      <c r="CH28" s="4" t="str">
        <f ca="1">IF(
  _xlfn.XLOOKUP($D27 &amp; "-" &amp; CG$2, 'TrainingReq (Ach)'!$G:$G, 'TrainingReq (Ach)'!$F:$F, "2-Year") = "Forever",
  "Valid",
  IF(CG27="", "Not Trained",
     IF(CG27 &lt; TODAY() - 1, "Expired",
        IF(CG27 &lt;= TODAY() + 90, "Expiring", "Valid")
     )
  )
)</f>
        <v>Valid</v>
      </c>
      <c r="CI28" t="str">
        <f t="shared" si="1"/>
        <v>Eligible</v>
      </c>
      <c r="CJ28" t="str">
        <f t="shared" si="2"/>
        <v>Not eligible</v>
      </c>
    </row>
    <row r="29" spans="1:88" x14ac:dyDescent="0.25">
      <c r="A29">
        <v>27</v>
      </c>
      <c r="B29">
        <v>528874</v>
      </c>
      <c r="C29" t="s">
        <v>332</v>
      </c>
      <c r="D29" t="s">
        <v>22</v>
      </c>
      <c r="E29" t="s">
        <v>285</v>
      </c>
      <c r="F29" t="s">
        <v>315</v>
      </c>
      <c r="G29" t="s">
        <v>49</v>
      </c>
      <c r="H29" s="4">
        <v>46675</v>
      </c>
      <c r="I29" s="4" t="str">
        <f ca="1">IF(
  _xlfn.XLOOKUP($D29 &amp; "-" &amp; H$2, 'TrainingReq (Ach)'!G:G, 'TrainingReq (Ach)'!F:F, "2-Year") = "Forever",
  "Valid",
  IF(H29="", "Not Trained",
     IF(H29 &lt; TODAY() - 1, "Expired",
        IF(H29 &lt;= TODAY() + 90, "Expiring", "Valid")
     )
  )
)</f>
        <v>Valid</v>
      </c>
      <c r="J29" s="4">
        <v>46675</v>
      </c>
      <c r="K29" s="4" t="str">
        <f ca="1">IF(
  _xlfn.XLOOKUP($D29 &amp; "-" &amp; J$2, 'TrainingReq (Ach)'!G:G, 'TrainingReq (Ach)'!F:F, "2-Year") = "Forever",
  "Valid",
  IF(J29="", "Not Trained",
     IF(J29 &lt; TODAY() - 1, "Expired",
        IF(J29 &lt;= TODAY() + 90, "Expiring", "Valid")
     )
  )
)</f>
        <v>Valid</v>
      </c>
      <c r="L29" s="4">
        <v>46316</v>
      </c>
      <c r="M29" s="4" t="str">
        <f ca="1">IF(
  _xlfn.XLOOKUP($D29 &amp; "-" &amp; L$2, TrainingMan!$G:$G, TrainingMan!$F:$F, "2-Year") = "Forever",
  "Valid",
  IF(L29="", "Not Trained",
     IF(L29 &lt; TODAY() - 1, "Expired",
        IF(L29 &lt;= TODAY() + 90, "Expiring", "Valid")
     )
  )
)</f>
        <v>Valid</v>
      </c>
      <c r="N29" s="4">
        <v>46316</v>
      </c>
      <c r="O29" s="4" t="str">
        <f ca="1">IF(
  _xlfn.XLOOKUP($D29 &amp; "-" &amp; N$2, TrainingMan!$G:$G, TrainingMan!$F:$F, "2-Year") = "Forever",
  "Valid",
  IF(N29="", "Not Trained",
     IF(N29 &lt; TODAY() - 1, "Expired",
        IF(N29 &lt;= TODAY() + 90, "Expiring", "Valid")
     )
  )
)</f>
        <v>Expiring</v>
      </c>
      <c r="P29" s="4">
        <v>46316</v>
      </c>
      <c r="Q29" s="4" t="str">
        <f ca="1">IF(
  _xlfn.XLOOKUP($D29 &amp; "-" &amp; P$2, TrainingMan!$G:$G, TrainingMan!$F:$F, "2-Year") = "Forever",
  "Valid",
  IF(P29="", "Not Trained",
     IF(P29 &lt; TODAY() - 1, "Expired",
        IF(P29 &lt;= TODAY() + 90, "Expiring", "Valid")
     )
  )
)</f>
        <v>Expiring</v>
      </c>
      <c r="R29" s="4">
        <v>46316</v>
      </c>
      <c r="S29" s="4" t="str">
        <f ca="1">IF(
  _xlfn.XLOOKUP($D29 &amp; "-" &amp; R$2, TrainingMan!$G:$G, TrainingMan!$F:$F, "2-Year") = "Forever",
  "Valid",
  IF(R29="", "Not Trained",
     IF(R29 &lt; TODAY() - 1, "Expired",
        IF(R29 &lt;= TODAY() + 90, "Expiring", "Valid")
     )
  )
)</f>
        <v>Expiring</v>
      </c>
      <c r="T29" s="4">
        <v>46599</v>
      </c>
      <c r="U29" s="4" t="str">
        <f ca="1">IF(
  _xlfn.XLOOKUP($D29 &amp; "-" &amp; T$2, TrainingMan!$G:$G, TrainingMan!$F:$F, "2-Year") = "Forever",
  "Valid",
  IF(T29="", "Not Trained",
     IF(T29 &lt; TODAY() - 1, "Expired",
        IF(T29 &lt;= TODAY() + 90, "Expiring", "Valid")
     )
  )
)</f>
        <v>Valid</v>
      </c>
      <c r="V29" s="4">
        <v>45131</v>
      </c>
      <c r="W29" s="4" t="str">
        <f ca="1">IF(
  _xlfn.XLOOKUP($D29 &amp; "-" &amp; V$2, TrainingMan!$G:$G, TrainingMan!$F:$F, "2-Year") = "Forever",
  "Valid",
  IF(V29="", "Not Trained",
     IF(V29 &lt; TODAY() - 1, "Expired",
        IF(V29 &lt;= TODAY() + 90, "Expiring", "Valid")
     )
  )
)</f>
        <v>Valid</v>
      </c>
      <c r="X29" s="4">
        <v>45131</v>
      </c>
      <c r="Y29" s="4" t="str">
        <f ca="1">IF(
  _xlfn.XLOOKUP($D29 &amp; "-" &amp; X$2, TrainingMan!$G:$G, TrainingMan!$F:$F, "2-Year") = "Forever",
  "Valid",
  IF(X29="", "Not Trained",
     IF(X29 &lt; TODAY() - 1, "Expired",
        IF(X29 &lt;= TODAY() + 90, "Expiring", "Valid")
     )
  )
)</f>
        <v>Valid</v>
      </c>
      <c r="Z29" s="4">
        <v>44039</v>
      </c>
      <c r="AA29" s="4" t="str">
        <f ca="1">IF(LEN(TRIM(Z29)) = 0, "Not Trained",
  IF(_xlfn.XLOOKUP($D29 &amp; "-" &amp; Z$2, TrainingMan!$G:$G, TrainingMan!$F:$F, "2-Year") = "Forever", "Valid",
    IF(Z29 &lt; TODAY() - 1, "Expired",
      IF(Z29 &lt;= TODAY() + 90, "Expiring", "Valid")
    )
  )
)</f>
        <v>Valid</v>
      </c>
      <c r="AB29" s="4">
        <v>37029</v>
      </c>
      <c r="AC29" s="4">
        <v>42104</v>
      </c>
      <c r="AD29" s="4"/>
      <c r="AE29" s="4">
        <v>42879</v>
      </c>
      <c r="AF29" s="4"/>
      <c r="AG29" s="4">
        <v>42636</v>
      </c>
      <c r="AH29" s="4"/>
      <c r="AI29" s="4"/>
      <c r="AJ29" s="4"/>
      <c r="AN29" s="4"/>
      <c r="AP29" s="4">
        <v>45890</v>
      </c>
      <c r="AQ29" s="4">
        <v>43793</v>
      </c>
      <c r="AR29" s="4">
        <v>43855</v>
      </c>
      <c r="AS29" s="4">
        <v>43674</v>
      </c>
      <c r="AT29" s="4"/>
      <c r="AU29" s="4"/>
      <c r="BB29" s="4"/>
      <c r="BC29" s="4"/>
      <c r="BD29" s="4" t="s">
        <v>333</v>
      </c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>
        <f>COUNTIF('TrainingReq (Ach)'!B:B,Table13[[#This Row],[Job Title]])</f>
        <v>14</v>
      </c>
      <c r="BR29" cm="1">
        <f t="array" aca="1" ref="BR2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29" s="5">
        <f t="shared" ca="1" si="0"/>
        <v>1</v>
      </c>
      <c r="BT29" t="s">
        <v>246</v>
      </c>
      <c r="BU29" t="s">
        <v>238</v>
      </c>
      <c r="BV29" t="s">
        <v>334</v>
      </c>
      <c r="BW29" s="4"/>
      <c r="CC29" t="s">
        <v>335</v>
      </c>
      <c r="CD29" s="4"/>
      <c r="CE29" s="4" t="str">
        <f ca="1">IF(
  _xlfn.XLOOKUP($D29 &amp; "-" &amp; CD$2, 'TrainingReq (Ach)'!$G:$G, 'TrainingReq (Ach)'!$F:$F, "2-Year") = "Forever",
  "Valid",
  IF(CD29="", "Not Trained",
     IF(CD29 &lt; TODAY() - 1, "Expired",
        IF(CD29 &lt;= TODAY() + 90, "Expiring", "Valid")
     )
  )
)</f>
        <v>Not Trained</v>
      </c>
      <c r="CF29" t="s">
        <v>250</v>
      </c>
      <c r="CG29" s="4">
        <v>46859</v>
      </c>
      <c r="CH29" s="4" t="str">
        <f ca="1">IF(
  _xlfn.XLOOKUP($D28 &amp; "-" &amp; CG$2, 'TrainingReq (Ach)'!$G:$G, 'TrainingReq (Ach)'!$F:$F, "2-Year") = "Forever",
  "Valid",
  IF(CG28="", "Not Trained",
     IF(CG28 &lt; TODAY() - 1, "Expired",
        IF(CG28 &lt;= TODAY() + 90, "Expiring", "Valid")
     )
  )
)</f>
        <v>Valid</v>
      </c>
      <c r="CI29" t="str">
        <f t="shared" si="1"/>
        <v>Not eligible</v>
      </c>
      <c r="CJ29" t="str">
        <f t="shared" si="2"/>
        <v>Not eligible</v>
      </c>
    </row>
    <row r="30" spans="1:88" x14ac:dyDescent="0.25">
      <c r="A30">
        <v>28</v>
      </c>
      <c r="B30">
        <v>533460</v>
      </c>
      <c r="C30" t="s">
        <v>336</v>
      </c>
      <c r="D30" t="s">
        <v>6</v>
      </c>
      <c r="E30" t="s">
        <v>243</v>
      </c>
      <c r="F30" t="s">
        <v>315</v>
      </c>
      <c r="G30" t="s">
        <v>49</v>
      </c>
      <c r="H30" s="4">
        <v>46738</v>
      </c>
      <c r="I30" s="4" t="str">
        <f ca="1">IF(
  _xlfn.XLOOKUP($D30 &amp; "-" &amp; H$2, 'TrainingReq (Ach)'!G:G, 'TrainingReq (Ach)'!F:F, "2-Year") = "Forever",
  "Valid",
  IF(H30="", "Not Trained",
     IF(H30 &lt; TODAY() - 1, "Expired",
        IF(H30 &lt;= TODAY() + 90, "Expiring", "Valid")
     )
  )
)</f>
        <v>Valid</v>
      </c>
      <c r="J30" s="4">
        <v>46738</v>
      </c>
      <c r="K30" s="4" t="str">
        <f ca="1">IF(
  _xlfn.XLOOKUP($D30 &amp; "-" &amp; J$2, 'TrainingReq (Ach)'!G:G, 'TrainingReq (Ach)'!F:F, "2-Year") = "Forever",
  "Valid",
  IF(J30="", "Not Trained",
     IF(J30 &lt; TODAY() - 1, "Expired",
        IF(J30 &lt;= TODAY() + 90, "Expiring", "Valid")
     )
  )
)</f>
        <v>Valid</v>
      </c>
      <c r="L30" s="4">
        <v>46813</v>
      </c>
      <c r="M30" s="4" t="str">
        <f ca="1">IF(
  _xlfn.XLOOKUP($D30 &amp; "-" &amp; L$2, TrainingMan!$G:$G, TrainingMan!$F:$F, "2-Year") = "Forever",
  "Valid",
  IF(L30="", "Not Trained",
     IF(L30 &lt; TODAY() - 1, "Expired",
        IF(L30 &lt;= TODAY() + 90, "Expiring", "Valid")
     )
  )
)</f>
        <v>Valid</v>
      </c>
      <c r="N30" s="4">
        <v>46813</v>
      </c>
      <c r="O30" s="4" t="str">
        <f ca="1">IF(
  _xlfn.XLOOKUP($D30 &amp; "-" &amp; N$2, TrainingMan!$G:$G, TrainingMan!$F:$F, "2-Year") = "Forever",
  "Valid",
  IF(N30="", "Not Trained",
     IF(N30 &lt; TODAY() - 1, "Expired",
        IF(N30 &lt;= TODAY() + 90, "Expiring", "Valid")
     )
  )
)</f>
        <v>Valid</v>
      </c>
      <c r="P30" s="4">
        <v>46813</v>
      </c>
      <c r="Q30" s="4" t="str">
        <f ca="1">IF(
  _xlfn.XLOOKUP($D30 &amp; "-" &amp; P$2, TrainingMan!$G:$G, TrainingMan!$F:$F, "2-Year") = "Forever",
  "Valid",
  IF(P30="", "Not Trained",
     IF(P30 &lt; TODAY() - 1, "Expired",
        IF(P30 &lt;= TODAY() + 90, "Expiring", "Valid")
     )
  )
)</f>
        <v>Valid</v>
      </c>
      <c r="R30" s="4">
        <v>46813</v>
      </c>
      <c r="S30" s="4" t="str">
        <f ca="1">IF(
  _xlfn.XLOOKUP($D30 &amp; "-" &amp; R$2, TrainingMan!$G:$G, TrainingMan!$F:$F, "2-Year") = "Forever",
  "Valid",
  IF(R30="", "Not Trained",
     IF(R30 &lt; TODAY() - 1, "Expired",
        IF(R30 &lt;= TODAY() + 90, "Expiring", "Valid")
     )
  )
)</f>
        <v>Valid</v>
      </c>
      <c r="T30" s="4">
        <v>46813</v>
      </c>
      <c r="U30" s="4" t="str">
        <f ca="1">IF(
  _xlfn.XLOOKUP($D30 &amp; "-" &amp; T$2, TrainingMan!$G:$G, TrainingMan!$F:$F, "2-Year") = "Forever",
  "Valid",
  IF(T30="", "Not Trained",
     IF(T30 &lt; TODAY() - 1, "Expired",
        IF(T30 &lt;= TODAY() + 90, "Expiring", "Valid")
     )
  )
)</f>
        <v>Valid</v>
      </c>
      <c r="V30" s="4">
        <v>46813</v>
      </c>
      <c r="W30" s="4" t="str">
        <f ca="1">IF(
  _xlfn.XLOOKUP($D30 &amp; "-" &amp; V$2, TrainingMan!$G:$G, TrainingMan!$F:$F, "2-Year") = "Forever",
  "Valid",
  IF(V30="", "Not Trained",
     IF(V30 &lt; TODAY() - 1, "Expired",
        IF(V30 &lt;= TODAY() + 90, "Expiring", "Valid")
     )
  )
)</f>
        <v>Valid</v>
      </c>
      <c r="X30" s="4">
        <v>46813</v>
      </c>
      <c r="Y30" s="4" t="str">
        <f ca="1">IF(
  _xlfn.XLOOKUP($D30 &amp; "-" &amp; X$2, TrainingMan!$G:$G, TrainingMan!$F:$F, "2-Year") = "Forever",
  "Valid",
  IF(X30="", "Not Trained",
     IF(X30 &lt; TODAY() - 1, "Expired",
        IF(X30 &lt;= TODAY() + 90, "Expiring", "Valid")
     )
  )
)</f>
        <v>Valid</v>
      </c>
      <c r="Z30" s="4">
        <v>46813</v>
      </c>
      <c r="AA30" s="4" t="str">
        <f ca="1">IF(LEN(TRIM(Z30)) = 0, "Not Trained",
  IF(_xlfn.XLOOKUP($D30 &amp; "-" &amp; Z$2, TrainingMan!$G:$G, TrainingMan!$F:$F, "2-Year") = "Forever", "Valid",
    IF(Z30 &lt; TODAY() - 1, "Expired",
      IF(Z30 &lt;= TODAY() + 90, "Expiring", "Valid")
    )
  )
)</f>
        <v>Valid</v>
      </c>
      <c r="AB30" s="4">
        <v>40843</v>
      </c>
      <c r="AC30" s="4">
        <v>43632</v>
      </c>
      <c r="AD30" s="4">
        <v>43567</v>
      </c>
      <c r="AE30" s="4">
        <v>45712</v>
      </c>
      <c r="AF30" s="4">
        <v>45634</v>
      </c>
      <c r="AG30" s="4">
        <v>43382</v>
      </c>
      <c r="AH30" s="4"/>
      <c r="AI30" s="4"/>
      <c r="AJ30" s="4"/>
      <c r="AN30" s="4"/>
      <c r="AQ30" s="4"/>
      <c r="AR30" s="4"/>
      <c r="AS30" s="4"/>
      <c r="AT30" s="4"/>
      <c r="AU30" s="4"/>
      <c r="BB30" s="4">
        <v>45866</v>
      </c>
      <c r="BC30" s="4" t="s">
        <v>337</v>
      </c>
      <c r="BD30" s="4" t="s">
        <v>236</v>
      </c>
      <c r="BE30" s="4"/>
      <c r="BF30" s="4"/>
      <c r="BG30" s="4"/>
      <c r="BH30" s="4"/>
      <c r="BI30" s="4">
        <v>42968</v>
      </c>
      <c r="BJ30" s="4" t="s">
        <v>144</v>
      </c>
      <c r="BK30" s="4" t="s">
        <v>151</v>
      </c>
      <c r="BL30" s="4"/>
      <c r="BM30" s="4"/>
      <c r="BN30" s="4"/>
      <c r="BO30" s="4"/>
      <c r="BP30" s="4"/>
      <c r="BQ30">
        <f>COUNTIF('TrainingReq (Ach)'!B:B,Table13[[#This Row],[Job Title]])</f>
        <v>15</v>
      </c>
      <c r="BR30" cm="1">
        <f t="array" aca="1" ref="BR3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30" s="5">
        <f t="shared" ca="1" si="0"/>
        <v>1</v>
      </c>
      <c r="BT30" t="s">
        <v>338</v>
      </c>
      <c r="BU30" t="s">
        <v>247</v>
      </c>
      <c r="BV30" t="s">
        <v>256</v>
      </c>
      <c r="BW30" s="4" t="s">
        <v>144</v>
      </c>
      <c r="BZ30" t="s">
        <v>339</v>
      </c>
      <c r="CA30">
        <v>1</v>
      </c>
      <c r="CC30" t="s">
        <v>340</v>
      </c>
      <c r="CD30" s="4">
        <v>46779</v>
      </c>
      <c r="CE30" s="4" t="str">
        <f ca="1">IF(
  _xlfn.XLOOKUP($D30 &amp; "-" &amp; CD$2, 'TrainingReq (Ach)'!$G:$G, 'TrainingReq (Ach)'!$F:$F, "2-Year") = "Forever",
  "Valid",
  IF(CD30="", "Not Trained",
     IF(CD30 &lt; TODAY() - 1, "Expired",
        IF(CD30 &lt;= TODAY() + 90, "Expiring", "Valid")
     )
  )
)</f>
        <v>Valid</v>
      </c>
      <c r="CF30" t="s">
        <v>250</v>
      </c>
      <c r="CG30" s="4">
        <v>53785</v>
      </c>
      <c r="CH30" s="4" t="str">
        <f ca="1">IF(
  _xlfn.XLOOKUP($D29 &amp; "-" &amp; CG$2, 'TrainingReq (Ach)'!$G:$G, 'TrainingReq (Ach)'!$F:$F, "2-Year") = "Forever",
  "Valid",
  IF(CG29="", "Not Trained",
     IF(CG29 &lt; TODAY() - 1, "Expired",
        IF(CG29 &lt;= TODAY() + 90, "Expiring", "Valid")
     )
  )
)</f>
        <v>Valid</v>
      </c>
      <c r="CI30" t="str">
        <f t="shared" si="1"/>
        <v>Eligible</v>
      </c>
      <c r="CJ30" t="str">
        <f t="shared" si="2"/>
        <v>Not eligible</v>
      </c>
    </row>
    <row r="31" spans="1:88" x14ac:dyDescent="0.25">
      <c r="A31">
        <v>29</v>
      </c>
      <c r="B31">
        <v>582613</v>
      </c>
      <c r="C31" t="s">
        <v>341</v>
      </c>
      <c r="D31" t="s">
        <v>18</v>
      </c>
      <c r="E31" t="s">
        <v>263</v>
      </c>
      <c r="F31" t="s">
        <v>315</v>
      </c>
      <c r="G31" t="s">
        <v>49</v>
      </c>
      <c r="H31" s="4">
        <v>46777</v>
      </c>
      <c r="I31" s="4" t="str">
        <f ca="1">IF(
  _xlfn.XLOOKUP($D31 &amp; "-" &amp; H$2, 'TrainingReq (Ach)'!G:G, 'TrainingReq (Ach)'!F:F, "2-Year") = "Forever",
  "Valid",
  IF(H31="", "Not Trained",
     IF(H31 &lt; TODAY() - 1, "Expired",
        IF(H31 &lt;= TODAY() + 90, "Expiring", "Valid")
     )
  )
)</f>
        <v>Valid</v>
      </c>
      <c r="J31" s="4">
        <v>46777</v>
      </c>
      <c r="K31" s="4" t="str">
        <f ca="1">IF(
  _xlfn.XLOOKUP($D31 &amp; "-" &amp; J$2, 'TrainingReq (Ach)'!G:G, 'TrainingReq (Ach)'!F:F, "2-Year") = "Forever",
  "Valid",
  IF(J31="", "Not Trained",
     IF(J31 &lt; TODAY() - 1, "Expired",
        IF(J31 &lt;= TODAY() + 90, "Expiring", "Valid")
     )
  )
)</f>
        <v>Valid</v>
      </c>
      <c r="L31" s="4">
        <v>46844</v>
      </c>
      <c r="M31" s="4" t="str">
        <f ca="1">IF(
  _xlfn.XLOOKUP($D31 &amp; "-" &amp; L$2, TrainingMan!$G:$G, TrainingMan!$F:$F, "2-Year") = "Forever",
  "Valid",
  IF(L31="", "Not Trained",
     IF(L31 &lt; TODAY() - 1, "Expired",
        IF(L31 &lt;= TODAY() + 90, "Expiring", "Valid")
     )
  )
)</f>
        <v>Valid</v>
      </c>
      <c r="N31" s="4">
        <v>46452</v>
      </c>
      <c r="O31" s="4" t="str">
        <f ca="1">IF(
  _xlfn.XLOOKUP($D31 &amp; "-" &amp; N$2, TrainingMan!$G:$G, TrainingMan!$F:$F, "2-Year") = "Forever",
  "Valid",
  IF(N31="", "Not Trained",
     IF(N31 &lt; TODAY() - 1, "Expired",
        IF(N31 &lt;= TODAY() + 90, "Expiring", "Valid")
     )
  )
)</f>
        <v>Valid</v>
      </c>
      <c r="P31" s="4">
        <v>46452</v>
      </c>
      <c r="Q31" s="4" t="str">
        <f ca="1">IF(
  _xlfn.XLOOKUP($D31 &amp; "-" &amp; P$2, TrainingMan!$G:$G, TrainingMan!$F:$F, "2-Year") = "Forever",
  "Valid",
  IF(P31="", "Not Trained",
     IF(P31 &lt; TODAY() - 1, "Expired",
        IF(P31 &lt;= TODAY() + 90, "Expiring", "Valid")
     )
  )
)</f>
        <v>Valid</v>
      </c>
      <c r="R31" s="4">
        <v>46452</v>
      </c>
      <c r="S31" s="4" t="str">
        <f ca="1">IF(
  _xlfn.XLOOKUP($D31 &amp; "-" &amp; R$2, TrainingMan!$G:$G, TrainingMan!$F:$F, "2-Year") = "Forever",
  "Valid",
  IF(R31="", "Not Trained",
     IF(R31 &lt; TODAY() - 1, "Expired",
        IF(R31 &lt;= TODAY() + 90, "Expiring", "Valid")
     )
  )
)</f>
        <v>Valid</v>
      </c>
      <c r="T31" s="4">
        <v>46452</v>
      </c>
      <c r="U31" s="4" t="str">
        <f ca="1">IF(
  _xlfn.XLOOKUP($D31 &amp; "-" &amp; T$2, TrainingMan!$G:$G, TrainingMan!$F:$F, "2-Year") = "Forever",
  "Valid",
  IF(T31="", "Not Trained",
     IF(T31 &lt; TODAY() - 1, "Expired",
        IF(T31 &lt;= TODAY() + 90, "Expiring", "Valid")
     )
  )
)</f>
        <v>Valid</v>
      </c>
      <c r="V31" s="4">
        <v>46844</v>
      </c>
      <c r="W31" s="4" t="str">
        <f ca="1">IF(
  _xlfn.XLOOKUP($D31 &amp; "-" &amp; V$2, TrainingMan!$G:$G, TrainingMan!$F:$F, "2-Year") = "Forever",
  "Valid",
  IF(V31="", "Not Trained",
     IF(V31 &lt; TODAY() - 1, "Expired",
        IF(V31 &lt;= TODAY() + 90, "Expiring", "Valid")
     )
  )
)</f>
        <v>Valid</v>
      </c>
      <c r="X31" s="4">
        <v>46844</v>
      </c>
      <c r="Y31" s="4" t="str">
        <f ca="1">IF(
  _xlfn.XLOOKUP($D31 &amp; "-" &amp; X$2, TrainingMan!$G:$G, TrainingMan!$F:$F, "2-Year") = "Forever",
  "Valid",
  IF(X31="", "Not Trained",
     IF(X31 &lt; TODAY() - 1, "Expired",
        IF(X31 &lt;= TODAY() + 90, "Expiring", "Valid")
     )
  )
)</f>
        <v>Valid</v>
      </c>
      <c r="Z31" s="4">
        <v>45438</v>
      </c>
      <c r="AA31" s="4" t="str">
        <f ca="1">IF(LEN(TRIM(Z31)) = 0, "Not Trained",
  IF(_xlfn.XLOOKUP($D31 &amp; "-" &amp; Z$2, TrainingMan!$G:$G, TrainingMan!$F:$F, "2-Year") = "Forever", "Valid",
    IF(Z31 &lt; TODAY() - 1, "Expired",
      IF(Z31 &lt;= TODAY() + 90, "Expiring", "Valid")
    )
  )
)</f>
        <v>Valid</v>
      </c>
      <c r="AB31" s="4">
        <v>44235</v>
      </c>
      <c r="AC31" s="4">
        <v>45583</v>
      </c>
      <c r="AD31" s="4">
        <v>45000</v>
      </c>
      <c r="AE31" s="4">
        <v>46006</v>
      </c>
      <c r="AF31" s="4">
        <v>44706</v>
      </c>
      <c r="AG31" s="4"/>
      <c r="AH31" s="4"/>
      <c r="AI31" s="4"/>
      <c r="AJ31" s="4"/>
      <c r="AN31" s="4"/>
      <c r="AQ31" s="4"/>
      <c r="AR31" s="4"/>
      <c r="AS31" s="4"/>
      <c r="AT31" s="4"/>
      <c r="AU31" s="4"/>
      <c r="BB31" s="4">
        <v>45922</v>
      </c>
      <c r="BC31" s="4"/>
      <c r="BD31" s="4" t="s">
        <v>328</v>
      </c>
      <c r="BE31" s="4"/>
      <c r="BF31" s="4"/>
      <c r="BG31" s="4"/>
      <c r="BH31" s="4"/>
      <c r="BI31" s="4">
        <v>44573</v>
      </c>
      <c r="BJ31" s="4" t="s">
        <v>145</v>
      </c>
      <c r="BK31" s="4" t="s">
        <v>146</v>
      </c>
      <c r="BL31" s="4"/>
      <c r="BM31" s="4"/>
      <c r="BN31" s="4"/>
      <c r="BO31" s="4"/>
      <c r="BP31" s="4"/>
      <c r="BQ31">
        <f>COUNTIF('TrainingReq (Ach)'!B:B,Table13[[#This Row],[Job Title]])</f>
        <v>15</v>
      </c>
      <c r="BR31" cm="1">
        <f t="array" aca="1" ref="BR3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31" s="5">
        <f t="shared" ca="1" si="0"/>
        <v>1</v>
      </c>
      <c r="BT31" t="s">
        <v>265</v>
      </c>
      <c r="BU31" t="s">
        <v>247</v>
      </c>
      <c r="BV31" t="s">
        <v>256</v>
      </c>
      <c r="BW31" s="4" t="s">
        <v>145</v>
      </c>
      <c r="BZ31" t="s">
        <v>342</v>
      </c>
      <c r="CC31" t="s">
        <v>343</v>
      </c>
      <c r="CD31" s="4">
        <v>46465</v>
      </c>
      <c r="CE31" s="4" t="str">
        <f ca="1">IF(
  _xlfn.XLOOKUP($D31 &amp; "-" &amp; CD$2, 'TrainingReq (Ach)'!$G:$G, 'TrainingReq (Ach)'!$F:$F, "2-Year") = "Forever",
  "Valid",
  IF(CD31="", "Not Trained",
     IF(CD31 &lt; TODAY() - 1, "Expired",
        IF(CD31 &lt;= TODAY() + 90, "Expiring", "Valid")
     )
  )
)</f>
        <v>Valid</v>
      </c>
      <c r="CF31" t="s">
        <v>250</v>
      </c>
      <c r="CG31" s="4">
        <v>55484</v>
      </c>
      <c r="CH31" s="4" t="str">
        <f ca="1">IF(
  _xlfn.XLOOKUP($D30 &amp; "-" &amp; CG$2, 'TrainingReq (Ach)'!$G:$G, 'TrainingReq (Ach)'!$F:$F, "2-Year") = "Forever",
  "Valid",
  IF(CG30="", "Not Trained",
     IF(CG30 &lt; TODAY() - 1, "Expired",
        IF(CG30 &lt;= TODAY() + 90, "Expiring", "Valid")
     )
  )
)</f>
        <v>Valid</v>
      </c>
      <c r="CI31" t="str">
        <f t="shared" si="1"/>
        <v>Eligible</v>
      </c>
      <c r="CJ31" t="str">
        <f t="shared" si="2"/>
        <v>Not eligible</v>
      </c>
    </row>
    <row r="32" spans="1:88" x14ac:dyDescent="0.25">
      <c r="A32">
        <v>30</v>
      </c>
      <c r="B32">
        <v>582134</v>
      </c>
      <c r="C32" t="s">
        <v>344</v>
      </c>
      <c r="D32" t="s">
        <v>10</v>
      </c>
      <c r="E32" t="s">
        <v>327</v>
      </c>
      <c r="F32" t="s">
        <v>315</v>
      </c>
      <c r="G32" t="s">
        <v>49</v>
      </c>
      <c r="H32" s="4">
        <v>46865</v>
      </c>
      <c r="I32" s="4" t="str">
        <f ca="1">IF(
  _xlfn.XLOOKUP($D32 &amp; "-" &amp; H$2, 'TrainingReq (Ach)'!G:G, 'TrainingReq (Ach)'!F:F, "2-Year") = "Forever",
  "Valid",
  IF(H32="", "Not Trained",
     IF(H32 &lt; TODAY() - 1, "Expired",
        IF(H32 &lt;= TODAY() + 90, "Expiring", "Valid")
     )
  )
)</f>
        <v>Valid</v>
      </c>
      <c r="J32" s="4">
        <v>46865</v>
      </c>
      <c r="K32" s="4" t="str">
        <f ca="1">IF(
  _xlfn.XLOOKUP($D32 &amp; "-" &amp; J$2, 'TrainingReq (Ach)'!G:G, 'TrainingReq (Ach)'!F:F, "2-Year") = "Forever",
  "Valid",
  IF(J32="", "Not Trained",
     IF(J32 &lt; TODAY() - 1, "Expired",
        IF(J32 &lt;= TODAY() + 90, "Expiring", "Valid")
     )
  )
)</f>
        <v>Valid</v>
      </c>
      <c r="L32" s="4">
        <v>46236</v>
      </c>
      <c r="M32" s="4" t="str">
        <f ca="1">IF(
  _xlfn.XLOOKUP($D32 &amp; "-" &amp; L$2, TrainingMan!$G:$G, TrainingMan!$F:$F, "2-Year") = "Forever",
  "Valid",
  IF(L32="", "Not Trained",
     IF(L32 &lt; TODAY() - 1, "Expired",
        IF(L32 &lt;= TODAY() + 90, "Expiring", "Valid")
     )
  )
)</f>
        <v>Expired</v>
      </c>
      <c r="N32" s="4">
        <v>46236</v>
      </c>
      <c r="O32" s="4" t="str">
        <f ca="1">IF(
  _xlfn.XLOOKUP($D32 &amp; "-" &amp; N$2, TrainingMan!$G:$G, TrainingMan!$F:$F, "2-Year") = "Forever",
  "Valid",
  IF(N32="", "Not Trained",
     IF(N32 &lt; TODAY() - 1, "Expired",
        IF(N32 &lt;= TODAY() + 90, "Expiring", "Valid")
     )
  )
)</f>
        <v>Expired</v>
      </c>
      <c r="P32" s="4">
        <v>46236</v>
      </c>
      <c r="Q32" s="4" t="str">
        <f ca="1">IF(
  _xlfn.XLOOKUP($D32 &amp; "-" &amp; P$2, TrainingMan!$G:$G, TrainingMan!$F:$F, "2-Year") = "Forever",
  "Valid",
  IF(P32="", "Not Trained",
     IF(P32 &lt; TODAY() - 1, "Expired",
        IF(P32 &lt;= TODAY() + 90, "Expiring", "Valid")
     )
  )
)</f>
        <v>Expired</v>
      </c>
      <c r="R32" s="4">
        <v>46236</v>
      </c>
      <c r="S32" s="4" t="str">
        <f ca="1">IF(
  _xlfn.XLOOKUP($D32 &amp; "-" &amp; R$2, TrainingMan!$G:$G, TrainingMan!$F:$F, "2-Year") = "Forever",
  "Valid",
  IF(R32="", "Not Trained",
     IF(R32 &lt; TODAY() - 1, "Expired",
        IF(R32 &lt;= TODAY() + 90, "Expiring", "Valid")
     )
  )
)</f>
        <v>Expired</v>
      </c>
      <c r="T32" s="4">
        <v>46236</v>
      </c>
      <c r="U32" s="4" t="str">
        <f ca="1">IF(
  _xlfn.XLOOKUP($D32 &amp; "-" &amp; T$2, TrainingMan!$G:$G, TrainingMan!$F:$F, "2-Year") = "Forever",
  "Valid",
  IF(T32="", "Not Trained",
     IF(T32 &lt; TODAY() - 1, "Expired",
        IF(T32 &lt;= TODAY() + 90, "Expiring", "Valid")
     )
  )
)</f>
        <v>Expired</v>
      </c>
      <c r="V32" s="4">
        <v>46236</v>
      </c>
      <c r="W32" s="4" t="str">
        <f ca="1">IF(
  _xlfn.XLOOKUP($D32 &amp; "-" &amp; V$2, TrainingMan!$G:$G, TrainingMan!$F:$F, "2-Year") = "Forever",
  "Valid",
  IF(V32="", "Not Trained",
     IF(V32 &lt; TODAY() - 1, "Expired",
        IF(V32 &lt;= TODAY() + 90, "Expiring", "Valid")
     )
  )
)</f>
        <v>Expired</v>
      </c>
      <c r="X32" s="4">
        <v>46236</v>
      </c>
      <c r="Y32" s="4" t="str">
        <f ca="1">IF(
  _xlfn.XLOOKUP($D32 &amp; "-" &amp; X$2, TrainingMan!$G:$G, TrainingMan!$F:$F, "2-Year") = "Forever",
  "Valid",
  IF(X32="", "Not Trained",
     IF(X32 &lt; TODAY() - 1, "Expired",
        IF(X32 &lt;= TODAY() + 90, "Expiring", "Valid")
     )
  )
)</f>
        <v>Expired</v>
      </c>
      <c r="Z32" s="4">
        <v>45086</v>
      </c>
      <c r="AA32" s="4" t="str">
        <f ca="1">IF(LEN(TRIM(Z32)) = 0, "Not Trained",
  IF(_xlfn.XLOOKUP($D32 &amp; "-" &amp; Z$2, TrainingMan!$G:$G, TrainingMan!$F:$F, "2-Year") = "Forever", "Valid",
    IF(Z32 &lt; TODAY() - 1, "Expired",
      IF(Z32 &lt;= TODAY() + 90, "Expiring", "Valid")
    )
  )
)</f>
        <v>Valid</v>
      </c>
      <c r="AB32" s="4">
        <v>43427</v>
      </c>
      <c r="AC32" s="4">
        <v>43049</v>
      </c>
      <c r="AD32" s="4">
        <v>44370</v>
      </c>
      <c r="AE32" s="4"/>
      <c r="AF32" s="4"/>
      <c r="AG32" s="4"/>
      <c r="AH32" s="4"/>
      <c r="AI32" s="4"/>
      <c r="AJ32" s="4"/>
      <c r="AN32" s="4"/>
      <c r="AQ32" s="4"/>
      <c r="AR32" s="4"/>
      <c r="AS32" s="4"/>
      <c r="AT32" s="4"/>
      <c r="AU32" s="4"/>
      <c r="BB32" s="4"/>
      <c r="BC32" s="4"/>
      <c r="BD32" s="4" t="s">
        <v>345</v>
      </c>
      <c r="BE32" s="4"/>
      <c r="BF32" s="4"/>
      <c r="BG32" s="4"/>
      <c r="BH32" s="4"/>
      <c r="BI32" s="4">
        <v>45531</v>
      </c>
      <c r="BJ32" s="4" t="s">
        <v>145</v>
      </c>
      <c r="BK32" s="4"/>
      <c r="BL32" s="4"/>
      <c r="BM32" s="4"/>
      <c r="BN32" s="4"/>
      <c r="BO32" s="4"/>
      <c r="BP32" s="4"/>
      <c r="BQ32">
        <f>COUNTIF('TrainingReq (Ach)'!B:B,Table13[[#This Row],[Job Title]])</f>
        <v>12</v>
      </c>
      <c r="BR32" cm="1">
        <f t="array" aca="1" ref="BR3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32" s="5">
        <f t="shared" ca="1" si="0"/>
        <v>1</v>
      </c>
      <c r="BT32" t="s">
        <v>246</v>
      </c>
      <c r="BU32" t="s">
        <v>247</v>
      </c>
      <c r="BV32" t="s">
        <v>276</v>
      </c>
      <c r="BW32" s="4" t="s">
        <v>145</v>
      </c>
      <c r="BZ32">
        <v>17371</v>
      </c>
      <c r="CA32">
        <v>1</v>
      </c>
      <c r="CC32" t="s">
        <v>346</v>
      </c>
      <c r="CD32" s="4"/>
      <c r="CE32" s="4" t="str">
        <f ca="1">IF(
  _xlfn.XLOOKUP($D32 &amp; "-" &amp; CD$2, 'TrainingReq (Ach)'!$G:$G, 'TrainingReq (Ach)'!$F:$F, "2-Year") = "Forever",
  "Valid",
  IF(CD32="", "Not Trained",
     IF(CD32 &lt; TODAY() - 1, "Expired",
        IF(CD32 &lt;= TODAY() + 90, "Expiring", "Valid")
     )
  )
)</f>
        <v>Not Trained</v>
      </c>
      <c r="CF32" t="s">
        <v>250</v>
      </c>
      <c r="CG32" s="4">
        <v>55272</v>
      </c>
      <c r="CH32" s="4" t="str">
        <f ca="1">IF(
  _xlfn.XLOOKUP($D31 &amp; "-" &amp; CG$2, 'TrainingReq (Ach)'!$G:$G, 'TrainingReq (Ach)'!$F:$F, "2-Year") = "Forever",
  "Valid",
  IF(CG31="", "Not Trained",
     IF(CG31 &lt; TODAY() - 1, "Expired",
        IF(CG31 &lt;= TODAY() + 90, "Expiring", "Valid")
     )
  )
)</f>
        <v>Valid</v>
      </c>
      <c r="CI32" t="str">
        <f t="shared" si="1"/>
        <v>Eligible</v>
      </c>
      <c r="CJ32" t="str">
        <f t="shared" si="2"/>
        <v>Not eligible</v>
      </c>
    </row>
    <row r="33" spans="1:88" x14ac:dyDescent="0.25">
      <c r="A33">
        <v>31</v>
      </c>
      <c r="B33">
        <v>532748</v>
      </c>
      <c r="C33" t="s">
        <v>347</v>
      </c>
      <c r="D33" t="s">
        <v>6</v>
      </c>
      <c r="E33" t="s">
        <v>243</v>
      </c>
      <c r="F33" t="s">
        <v>315</v>
      </c>
      <c r="G33" t="s">
        <v>49</v>
      </c>
      <c r="H33" s="4">
        <v>46939</v>
      </c>
      <c r="I33" s="4" t="str">
        <f ca="1">IF(
  _xlfn.XLOOKUP($D33 &amp; "-" &amp; H$2, 'TrainingReq (Ach)'!G:G, 'TrainingReq (Ach)'!F:F, "2-Year") = "Forever",
  "Valid",
  IF(H33="", "Not Trained",
     IF(H33 &lt; TODAY() - 1, "Expired",
        IF(H33 &lt;= TODAY() + 90, "Expiring", "Valid")
     )
  )
)</f>
        <v>Valid</v>
      </c>
      <c r="J33" s="4">
        <v>46939</v>
      </c>
      <c r="K33" s="4" t="str">
        <f ca="1">IF(
  _xlfn.XLOOKUP($D33 &amp; "-" &amp; J$2, 'TrainingReq (Ach)'!G:G, 'TrainingReq (Ach)'!F:F, "2-Year") = "Forever",
  "Valid",
  IF(J33="", "Not Trained",
     IF(J33 &lt; TODAY() - 1, "Expired",
        IF(J33 &lt;= TODAY() + 90, "Expiring", "Valid")
     )
  )
)</f>
        <v>Valid</v>
      </c>
      <c r="L33" s="4">
        <v>46317</v>
      </c>
      <c r="M33" s="4" t="str">
        <f ca="1">IF(
  _xlfn.XLOOKUP($D33 &amp; "-" &amp; L$2, TrainingMan!$G:$G, TrainingMan!$F:$F, "2-Year") = "Forever",
  "Valid",
  IF(L33="", "Not Trained",
     IF(L33 &lt; TODAY() - 1, "Expired",
        IF(L33 &lt;= TODAY() + 90, "Expiring", "Valid")
     )
  )
)</f>
        <v>Expiring</v>
      </c>
      <c r="N33" s="4">
        <v>46287</v>
      </c>
      <c r="O33" s="4" t="str">
        <f ca="1">IF(
  _xlfn.XLOOKUP($D33 &amp; "-" &amp; N$2, TrainingMan!$G:$G, TrainingMan!$F:$F, "2-Year") = "Forever",
  "Valid",
  IF(N33="", "Not Trained",
     IF(N33 &lt; TODAY() - 1, "Expired",
        IF(N33 &lt;= TODAY() + 90, "Expiring", "Valid")
     )
  )
)</f>
        <v>Expiring</v>
      </c>
      <c r="P33" s="4">
        <v>46317</v>
      </c>
      <c r="Q33" s="4" t="str">
        <f ca="1">IF(
  _xlfn.XLOOKUP($D33 &amp; "-" &amp; P$2, TrainingMan!$G:$G, TrainingMan!$F:$F, "2-Year") = "Forever",
  "Valid",
  IF(P33="", "Not Trained",
     IF(P33 &lt; TODAY() - 1, "Expired",
        IF(P33 &lt;= TODAY() + 90, "Expiring", "Valid")
     )
  )
)</f>
        <v>Expiring</v>
      </c>
      <c r="R33" s="4">
        <v>46317</v>
      </c>
      <c r="S33" s="4" t="str">
        <f ca="1">IF(
  _xlfn.XLOOKUP($D33 &amp; "-" &amp; R$2, TrainingMan!$G:$G, TrainingMan!$F:$F, "2-Year") = "Forever",
  "Valid",
  IF(R33="", "Not Trained",
     IF(R33 &lt; TODAY() - 1, "Expired",
        IF(R33 &lt;= TODAY() + 90, "Expiring", "Valid")
     )
  )
)</f>
        <v>Expiring</v>
      </c>
      <c r="T33" s="4">
        <v>46317</v>
      </c>
      <c r="U33" s="4" t="str">
        <f ca="1">IF(
  _xlfn.XLOOKUP($D33 &amp; "-" &amp; T$2, TrainingMan!$G:$G, TrainingMan!$F:$F, "2-Year") = "Forever",
  "Valid",
  IF(T33="", "Not Trained",
     IF(T33 &lt; TODAY() - 1, "Expired",
        IF(T33 &lt;= TODAY() + 90, "Expiring", "Valid")
     )
  )
)</f>
        <v>Expiring</v>
      </c>
      <c r="V33" s="4">
        <v>46317</v>
      </c>
      <c r="W33" s="4" t="str">
        <f ca="1">IF(
  _xlfn.XLOOKUP($D33 &amp; "-" &amp; V$2, TrainingMan!$G:$G, TrainingMan!$F:$F, "2-Year") = "Forever",
  "Valid",
  IF(V33="", "Not Trained",
     IF(V33 &lt; TODAY() - 1, "Expired",
        IF(V33 &lt;= TODAY() + 90, "Expiring", "Valid")
     )
  )
)</f>
        <v>Expiring</v>
      </c>
      <c r="X33" s="4">
        <v>46317</v>
      </c>
      <c r="Y33" s="4" t="str">
        <f ca="1">IF(
  _xlfn.XLOOKUP($D33 &amp; "-" &amp; X$2, TrainingMan!$G:$G, TrainingMan!$F:$F, "2-Year") = "Forever",
  "Valid",
  IF(X33="", "Not Trained",
     IF(X33 &lt; TODAY() - 1, "Expired",
        IF(X33 &lt;= TODAY() + 90, "Expiring", "Valid")
     )
  )
)</f>
        <v>Expiring</v>
      </c>
      <c r="Z33" s="4">
        <v>45598</v>
      </c>
      <c r="AA33" s="4" t="str">
        <f ca="1">IF(LEN(TRIM(Z33)) = 0, "Not Trained",
  IF(_xlfn.XLOOKUP($D33 &amp; "-" &amp; Z$2, TrainingMan!$G:$G, TrainingMan!$F:$F, "2-Year") = "Forever", "Valid",
    IF(Z33 &lt; TODAY() - 1, "Expired",
      IF(Z33 &lt;= TODAY() + 90, "Expiring", "Valid")
    )
  )
)</f>
        <v>Valid</v>
      </c>
      <c r="AB33" s="4">
        <v>40526</v>
      </c>
      <c r="AC33" s="4">
        <v>43205</v>
      </c>
      <c r="AD33" s="4">
        <v>43567</v>
      </c>
      <c r="AE33" s="4">
        <v>45746</v>
      </c>
      <c r="AF33" s="4">
        <v>45852</v>
      </c>
      <c r="AG33" s="4"/>
      <c r="AH33" s="4"/>
      <c r="AI33" s="4"/>
      <c r="AJ33" s="4"/>
      <c r="AN33" s="4"/>
      <c r="AQ33" s="4"/>
      <c r="AR33" s="4"/>
      <c r="AS33" s="4"/>
      <c r="AT33" s="4"/>
      <c r="AU33" s="4"/>
      <c r="BB33" s="4">
        <v>45894</v>
      </c>
      <c r="BC33" s="4" t="s">
        <v>260</v>
      </c>
      <c r="BD33" s="4" t="s">
        <v>236</v>
      </c>
      <c r="BE33" s="4"/>
      <c r="BF33" s="4">
        <v>39701</v>
      </c>
      <c r="BG33" s="4"/>
      <c r="BH33" s="4"/>
      <c r="BI33" s="4">
        <v>43059</v>
      </c>
      <c r="BJ33" s="4" t="s">
        <v>145</v>
      </c>
      <c r="BK33" t="s">
        <v>146</v>
      </c>
      <c r="BL33" s="4"/>
      <c r="BM33" s="4" t="s">
        <v>255</v>
      </c>
      <c r="BN33" s="4"/>
      <c r="BO33" s="4"/>
      <c r="BP33" s="4"/>
      <c r="BQ33">
        <f>COUNTIF('TrainingReq (Ach)'!B:B,Table13[[#This Row],[Job Title]])</f>
        <v>15</v>
      </c>
      <c r="BR33" cm="1">
        <f t="array" aca="1" ref="BR3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33" s="5">
        <f t="shared" ca="1" si="0"/>
        <v>1</v>
      </c>
      <c r="BT33" t="s">
        <v>348</v>
      </c>
      <c r="BU33" t="s">
        <v>247</v>
      </c>
      <c r="BV33" t="s">
        <v>256</v>
      </c>
      <c r="BW33" s="4" t="s">
        <v>145</v>
      </c>
      <c r="BX33" t="s">
        <v>146</v>
      </c>
      <c r="BZ33" t="s">
        <v>349</v>
      </c>
      <c r="CA33">
        <v>1</v>
      </c>
      <c r="CC33" t="s">
        <v>350</v>
      </c>
      <c r="CD33" s="4">
        <v>47097</v>
      </c>
      <c r="CE33" s="4" t="str">
        <f ca="1">IF(
  _xlfn.XLOOKUP($D33 &amp; "-" &amp; CD$2, 'TrainingReq (Ach)'!$G:$G, 'TrainingReq (Ach)'!$F:$F, "2-Year") = "Forever",
  "Valid",
  IF(CD33="", "Not Trained",
     IF(CD33 &lt; TODAY() - 1, "Expired",
        IF(CD33 &lt;= TODAY() + 90, "Expiring", "Valid")
     )
  )
)</f>
        <v>Valid</v>
      </c>
      <c r="CF33" t="s">
        <v>250</v>
      </c>
      <c r="CG33" s="4">
        <v>53444</v>
      </c>
      <c r="CH33" s="4" t="str">
        <f ca="1">IF(
  _xlfn.XLOOKUP($D32 &amp; "-" &amp; CG$2, 'TrainingReq (Ach)'!$G:$G, 'TrainingReq (Ach)'!$F:$F, "2-Year") = "Forever",
  "Valid",
  IF(CG32="", "Not Trained",
     IF(CG32 &lt; TODAY() - 1, "Expired",
        IF(CG32 &lt;= TODAY() + 90, "Expiring", "Valid")
     )
  )
)</f>
        <v>Valid</v>
      </c>
      <c r="CI33" t="str">
        <f t="shared" si="1"/>
        <v>Eligible</v>
      </c>
      <c r="CJ33" t="str">
        <f t="shared" si="2"/>
        <v>Eligible</v>
      </c>
    </row>
    <row r="34" spans="1:88" x14ac:dyDescent="0.25">
      <c r="A34">
        <v>32</v>
      </c>
      <c r="B34">
        <v>533504</v>
      </c>
      <c r="C34" t="s">
        <v>351</v>
      </c>
      <c r="D34" t="s">
        <v>14</v>
      </c>
      <c r="E34" t="s">
        <v>243</v>
      </c>
      <c r="F34" t="s">
        <v>315</v>
      </c>
      <c r="G34" t="s">
        <v>49</v>
      </c>
      <c r="H34" s="4">
        <v>46312</v>
      </c>
      <c r="I34" s="4" t="str">
        <f ca="1">IF(
  _xlfn.XLOOKUP($D34 &amp; "-" &amp; H$2, 'TrainingReq (Ach)'!G:G, 'TrainingReq (Ach)'!F:F, "2-Year") = "Forever",
  "Valid",
  IF(H34="", "Not Trained",
     IF(H34 &lt; TODAY() - 1, "Expired",
        IF(H34 &lt;= TODAY() + 90, "Expiring", "Valid")
     )
  )
)</f>
        <v>Expiring</v>
      </c>
      <c r="J34" s="4">
        <v>46312</v>
      </c>
      <c r="K34" s="4" t="str">
        <f ca="1">IF(
  _xlfn.XLOOKUP($D34 &amp; "-" &amp; J$2, 'TrainingReq (Ach)'!G:G, 'TrainingReq (Ach)'!F:F, "2-Year") = "Forever",
  "Valid",
  IF(J34="", "Not Trained",
     IF(J34 &lt; TODAY() - 1, "Expired",
        IF(J34 &lt;= TODAY() + 90, "Expiring", "Valid")
     )
  )
)</f>
        <v>Expiring</v>
      </c>
      <c r="L34" s="4">
        <v>46400</v>
      </c>
      <c r="M34" s="4" t="str">
        <f ca="1">IF(
  _xlfn.XLOOKUP($D34 &amp; "-" &amp; L$2, TrainingMan!$G:$G, TrainingMan!$F:$F, "2-Year") = "Forever",
  "Valid",
  IF(L34="", "Not Trained",
     IF(L34 &lt; TODAY() - 1, "Expired",
        IF(L34 &lt;= TODAY() + 90, "Expiring", "Valid")
     )
  )
)</f>
        <v>Valid</v>
      </c>
      <c r="N34" s="4">
        <v>46400</v>
      </c>
      <c r="O34" s="4" t="str">
        <f ca="1">IF(
  _xlfn.XLOOKUP($D34 &amp; "-" &amp; N$2, TrainingMan!$G:$G, TrainingMan!$F:$F, "2-Year") = "Forever",
  "Valid",
  IF(N34="", "Not Trained",
     IF(N34 &lt; TODAY() - 1, "Expired",
        IF(N34 &lt;= TODAY() + 90, "Expiring", "Valid")
     )
  )
)</f>
        <v>Valid</v>
      </c>
      <c r="P34" s="4">
        <v>46400</v>
      </c>
      <c r="Q34" s="4" t="str">
        <f ca="1">IF(
  _xlfn.XLOOKUP($D34 &amp; "-" &amp; P$2, TrainingMan!$G:$G, TrainingMan!$F:$F, "2-Year") = "Forever",
  "Valid",
  IF(P34="", "Not Trained",
     IF(P34 &lt; TODAY() - 1, "Expired",
        IF(P34 &lt;= TODAY() + 90, "Expiring", "Valid")
     )
  )
)</f>
        <v>Valid</v>
      </c>
      <c r="R34" s="4">
        <v>46400</v>
      </c>
      <c r="S34" s="4" t="str">
        <f ca="1">IF(
  _xlfn.XLOOKUP($D34 &amp; "-" &amp; R$2, TrainingMan!$G:$G, TrainingMan!$F:$F, "2-Year") = "Forever",
  "Valid",
  IF(R34="", "Not Trained",
     IF(R34 &lt; TODAY() - 1, "Expired",
        IF(R34 &lt;= TODAY() + 90, "Expiring", "Valid")
     )
  )
)</f>
        <v>Valid</v>
      </c>
      <c r="T34" s="4">
        <v>46400</v>
      </c>
      <c r="U34" s="4" t="str">
        <f ca="1">IF(
  _xlfn.XLOOKUP($D34 &amp; "-" &amp; T$2, TrainingMan!$G:$G, TrainingMan!$F:$F, "2-Year") = "Forever",
  "Valid",
  IF(T34="", "Not Trained",
     IF(T34 &lt; TODAY() - 1, "Expired",
        IF(T34 &lt;= TODAY() + 90, "Expiring", "Valid")
     )
  )
)</f>
        <v>Valid</v>
      </c>
      <c r="V34" s="4">
        <v>46400</v>
      </c>
      <c r="W34" s="4" t="str">
        <f ca="1">IF(
  _xlfn.XLOOKUP($D34 &amp; "-" &amp; V$2, TrainingMan!$G:$G, TrainingMan!$F:$F, "2-Year") = "Forever",
  "Valid",
  IF(V34="", "Not Trained",
     IF(V34 &lt; TODAY() - 1, "Expired",
        IF(V34 &lt;= TODAY() + 90, "Expiring", "Valid")
     )
  )
)</f>
        <v>Valid</v>
      </c>
      <c r="X34" s="4">
        <v>46400</v>
      </c>
      <c r="Y34" s="4" t="str">
        <f ca="1">IF(
  _xlfn.XLOOKUP($D34 &amp; "-" &amp; X$2, TrainingMan!$G:$G, TrainingMan!$F:$F, "2-Year") = "Forever",
  "Valid",
  IF(X34="", "Not Trained",
     IF(X34 &lt; TODAY() - 1, "Expired",
        IF(X34 &lt;= TODAY() + 90, "Expiring", "Valid")
     )
  )
)</f>
        <v>Valid</v>
      </c>
      <c r="Z34" s="4">
        <v>45518</v>
      </c>
      <c r="AA34" s="4" t="str">
        <f ca="1">IF(LEN(TRIM(Z34)) = 0, "Not Trained",
  IF(_xlfn.XLOOKUP($D34 &amp; "-" &amp; Z$2, TrainingMan!$G:$G, TrainingMan!$F:$F, "2-Year") = "Forever", "Valid",
    IF(Z34 &lt; TODAY() - 1, "Expired",
      IF(Z34 &lt;= TODAY() + 90, "Expiring", "Valid")
    )
  )
)</f>
        <v>Valid</v>
      </c>
      <c r="AB34" s="4">
        <v>40851</v>
      </c>
      <c r="AC34" s="4">
        <v>43562</v>
      </c>
      <c r="AD34" s="4">
        <v>43504</v>
      </c>
      <c r="AE34" s="4">
        <v>45676</v>
      </c>
      <c r="AF34" s="4">
        <v>45606</v>
      </c>
      <c r="AG34" s="4"/>
      <c r="AH34" s="4"/>
      <c r="AI34" s="4"/>
      <c r="AJ34" s="4"/>
      <c r="AN34" s="4"/>
      <c r="AQ34" s="4"/>
      <c r="AR34" s="4"/>
      <c r="AS34" s="4"/>
      <c r="AT34" s="4"/>
      <c r="AU34" s="4"/>
      <c r="BB34" s="4">
        <v>46402</v>
      </c>
      <c r="BC34" s="4" t="s">
        <v>352</v>
      </c>
      <c r="BD34" s="4" t="s">
        <v>236</v>
      </c>
      <c r="BE34" s="4"/>
      <c r="BF34" s="4"/>
      <c r="BG34" s="4"/>
      <c r="BH34" s="4"/>
      <c r="BI34" s="4">
        <v>42417</v>
      </c>
      <c r="BJ34" s="4" t="s">
        <v>140</v>
      </c>
      <c r="BK34" t="s">
        <v>148</v>
      </c>
      <c r="BL34" s="4"/>
      <c r="BM34" s="4"/>
      <c r="BN34" s="4"/>
      <c r="BO34" s="4"/>
      <c r="BP34" s="4"/>
      <c r="BQ34">
        <f>COUNTIF('TrainingReq (Ach)'!B:B,Table13[[#This Row],[Job Title]])</f>
        <v>15</v>
      </c>
      <c r="BR34" cm="1">
        <f t="array" aca="1" ref="BR3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34" s="5">
        <f t="shared" ca="1" si="0"/>
        <v>1</v>
      </c>
      <c r="BT34" t="s">
        <v>246</v>
      </c>
      <c r="BU34" t="s">
        <v>247</v>
      </c>
      <c r="BV34" t="s">
        <v>270</v>
      </c>
      <c r="BW34" s="4" t="s">
        <v>140</v>
      </c>
      <c r="BX34" t="s">
        <v>148</v>
      </c>
      <c r="BZ34" t="s">
        <v>353</v>
      </c>
      <c r="CA34">
        <v>2</v>
      </c>
      <c r="CC34" t="s">
        <v>354</v>
      </c>
      <c r="CD34" s="4">
        <v>46988</v>
      </c>
      <c r="CE34" s="4" t="str">
        <f ca="1">IF(
  _xlfn.XLOOKUP($D34 &amp; "-" &amp; CD$2, 'TrainingReq (Ach)'!$G:$G, 'TrainingReq (Ach)'!$F:$F, "2-Year") = "Forever",
  "Valid",
  IF(CD34="", "Not Trained",
     IF(CD34 &lt; TODAY() - 1, "Expired",
        IF(CD34 &lt;= TODAY() + 90, "Expiring", "Valid")
     )
  )
)</f>
        <v>Valid</v>
      </c>
      <c r="CF34" t="s">
        <v>250</v>
      </c>
      <c r="CG34" s="4">
        <v>53815</v>
      </c>
      <c r="CH34" s="4" t="str">
        <f ca="1">IF(
  _xlfn.XLOOKUP($D33 &amp; "-" &amp; CG$2, 'TrainingReq (Ach)'!$G:$G, 'TrainingReq (Ach)'!$F:$F, "2-Year") = "Forever",
  "Valid",
  IF(CG33="", "Not Trained",
     IF(CG33 &lt; TODAY() - 1, "Expired",
        IF(CG33 &lt;= TODAY() + 90, "Expiring", "Valid")
     )
  )
)</f>
        <v>Valid</v>
      </c>
      <c r="CI34" t="str">
        <f t="shared" si="1"/>
        <v>Eligible</v>
      </c>
      <c r="CJ34" t="str">
        <f t="shared" si="2"/>
        <v>Eligible</v>
      </c>
    </row>
    <row r="35" spans="1:88" x14ac:dyDescent="0.25">
      <c r="A35">
        <v>33</v>
      </c>
      <c r="B35">
        <v>584249</v>
      </c>
      <c r="C35" t="s">
        <v>355</v>
      </c>
      <c r="D35" t="s">
        <v>15</v>
      </c>
      <c r="E35" t="s">
        <v>263</v>
      </c>
      <c r="F35" t="s">
        <v>315</v>
      </c>
      <c r="G35" t="s">
        <v>49</v>
      </c>
      <c r="H35" s="4">
        <v>46409</v>
      </c>
      <c r="I35" s="4" t="str">
        <f ca="1">IF(
  _xlfn.XLOOKUP($D35 &amp; "-" &amp; H$2, 'TrainingReq (Ach)'!G:G, 'TrainingReq (Ach)'!F:F, "2-Year") = "Forever",
  "Valid",
  IF(H35="", "Not Trained",
     IF(H35 &lt; TODAY() - 1, "Expired",
        IF(H35 &lt;= TODAY() + 90, "Expiring", "Valid")
     )
  )
)</f>
        <v>Valid</v>
      </c>
      <c r="J35" s="4">
        <v>46430</v>
      </c>
      <c r="K35" s="4" t="str">
        <f ca="1">IF(
  _xlfn.XLOOKUP($D35 &amp; "-" &amp; J$2, 'TrainingReq (Ach)'!G:G, 'TrainingReq (Ach)'!F:F, "2-Year") = "Forever",
  "Valid",
  IF(J35="", "Not Trained",
     IF(J35 &lt; TODAY() - 1, "Expired",
        IF(J35 &lt;= TODAY() + 90, "Expiring", "Valid")
     )
  )
)</f>
        <v>Valid</v>
      </c>
      <c r="L35" s="4">
        <v>46425</v>
      </c>
      <c r="M35" s="4" t="str">
        <f ca="1">IF(
  _xlfn.XLOOKUP($D35 &amp; "-" &amp; L$2, TrainingMan!$G:$G, TrainingMan!$F:$F, "2-Year") = "Forever",
  "Valid",
  IF(L35="", "Not Trained",
     IF(L35 &lt; TODAY() - 1, "Expired",
        IF(L35 &lt;= TODAY() + 90, "Expiring", "Valid")
     )
  )
)</f>
        <v>Valid</v>
      </c>
      <c r="N35" s="4">
        <v>46396</v>
      </c>
      <c r="O35" s="4" t="str">
        <f ca="1">IF(
  _xlfn.XLOOKUP($D35 &amp; "-" &amp; N$2, TrainingMan!$G:$G, TrainingMan!$F:$F, "2-Year") = "Forever",
  "Valid",
  IF(N35="", "Not Trained",
     IF(N35 &lt; TODAY() - 1, "Expired",
        IF(N35 &lt;= TODAY() + 90, "Expiring", "Valid")
     )
  )
)</f>
        <v>Valid</v>
      </c>
      <c r="P35" s="4">
        <v>46396</v>
      </c>
      <c r="Q35" s="4" t="str">
        <f ca="1">IF(
  _xlfn.XLOOKUP($D35 &amp; "-" &amp; P$2, TrainingMan!$G:$G, TrainingMan!$F:$F, "2-Year") = "Forever",
  "Valid",
  IF(P35="", "Not Trained",
     IF(P35 &lt; TODAY() - 1, "Expired",
        IF(P35 &lt;= TODAY() + 90, "Expiring", "Valid")
     )
  )
)</f>
        <v>Valid</v>
      </c>
      <c r="R35" s="4">
        <v>46396</v>
      </c>
      <c r="S35" s="4" t="str">
        <f ca="1">IF(
  _xlfn.XLOOKUP($D35 &amp; "-" &amp; R$2, TrainingMan!$G:$G, TrainingMan!$F:$F, "2-Year") = "Forever",
  "Valid",
  IF(R35="", "Not Trained",
     IF(R35 &lt; TODAY() - 1, "Expired",
        IF(R35 &lt;= TODAY() + 90, "Expiring", "Valid")
     )
  )
)</f>
        <v>Valid</v>
      </c>
      <c r="T35" s="4">
        <v>46397</v>
      </c>
      <c r="U35" s="4" t="str">
        <f ca="1">IF(
  _xlfn.XLOOKUP($D35 &amp; "-" &amp; T$2, TrainingMan!$G:$G, TrainingMan!$F:$F, "2-Year") = "Forever",
  "Valid",
  IF(T35="", "Not Trained",
     IF(T35 &lt; TODAY() - 1, "Expired",
        IF(T35 &lt;= TODAY() + 90, "Expiring", "Valid")
     )
  )
)</f>
        <v>Valid</v>
      </c>
      <c r="V35" s="4">
        <v>46404</v>
      </c>
      <c r="W35" s="4" t="str">
        <f ca="1">IF(
  _xlfn.XLOOKUP($D35 &amp; "-" &amp; V$2, TrainingMan!$G:$G, TrainingMan!$F:$F, "2-Year") = "Forever",
  "Valid",
  IF(V35="", "Not Trained",
     IF(V35 &lt; TODAY() - 1, "Expired",
        IF(V35 &lt;= TODAY() + 90, "Expiring", "Valid")
     )
  )
)</f>
        <v>Valid</v>
      </c>
      <c r="X35" s="4">
        <v>46501</v>
      </c>
      <c r="Y35" s="4" t="str">
        <f ca="1">IF(
  _xlfn.XLOOKUP($D35 &amp; "-" &amp; X$2, TrainingMan!$G:$G, TrainingMan!$F:$F, "2-Year") = "Forever",
  "Valid",
  IF(X35="", "Not Trained",
     IF(X35 &lt; TODAY() - 1, "Expired",
        IF(X35 &lt;= TODAY() + 90, "Expiring", "Valid")
     )
  )
)</f>
        <v>Valid</v>
      </c>
      <c r="Z35" s="4">
        <v>46568</v>
      </c>
      <c r="AA35" s="4" t="str">
        <f ca="1">IF(LEN(TRIM(Z35)) = 0, "Not Trained",
  IF(_xlfn.XLOOKUP($D35 &amp; "-" &amp; Z$2, TrainingMan!$G:$G, TrainingMan!$F:$F, "2-Year") = "Forever", "Valid",
    IF(Z35 &lt; TODAY() - 1, "Expired",
      IF(Z35 &lt;= TODAY() + 90, "Expiring", "Valid")
    )
  )
)</f>
        <v>Valid</v>
      </c>
      <c r="AB35" s="4">
        <v>46376</v>
      </c>
      <c r="AC35" s="4"/>
      <c r="AD35" s="4"/>
      <c r="AE35" s="4"/>
      <c r="AF35" s="4"/>
      <c r="AG35" s="4"/>
      <c r="AH35" s="4"/>
      <c r="AI35" s="4"/>
      <c r="AJ35" s="4"/>
      <c r="AN35" s="4"/>
      <c r="AQ35" s="4"/>
      <c r="AR35" s="4"/>
      <c r="AS35" s="4"/>
      <c r="AT35" s="4"/>
      <c r="AU35" s="4"/>
      <c r="BB35" s="4">
        <v>45818</v>
      </c>
      <c r="BC35" s="4"/>
      <c r="BD35" s="4" t="s">
        <v>300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>
        <f>COUNTIF('TrainingReq (Ach)'!B:B,Table13[[#This Row],[Job Title]])</f>
        <v>13</v>
      </c>
      <c r="BR35" cm="1">
        <f t="array" aca="1" ref="BR3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35" s="5">
        <f t="shared" ca="1" si="0"/>
        <v>0.92307692307692313</v>
      </c>
      <c r="BT35" t="s">
        <v>301</v>
      </c>
      <c r="BU35" t="s">
        <v>247</v>
      </c>
      <c r="BV35" t="s">
        <v>270</v>
      </c>
      <c r="BW35" s="4"/>
      <c r="CC35" t="s">
        <v>356</v>
      </c>
      <c r="CD35" s="4"/>
      <c r="CE35" s="4" t="str">
        <f ca="1">IF(
  _xlfn.XLOOKUP($D35 &amp; "-" &amp; CD$2, 'TrainingReq (Ach)'!$G:$G, 'TrainingReq (Ach)'!$F:$F, "2-Year") = "Forever",
  "Valid",
  IF(CD35="", "Not Trained",
     IF(CD35 &lt; TODAY() - 1, "Expired",
        IF(CD35 &lt;= TODAY() + 90, "Expiring", "Valid")
     )
  )
)</f>
        <v>Not Trained</v>
      </c>
      <c r="CF35" t="s">
        <v>250</v>
      </c>
      <c r="CG35" s="4"/>
      <c r="CH35" s="4" t="str">
        <f ca="1">IF(
  _xlfn.XLOOKUP($D34 &amp; "-" &amp; CG$2, 'TrainingReq (Ach)'!$G:$G, 'TrainingReq (Ach)'!$F:$F, "2-Year") = "Forever",
  "Valid",
  IF(CG34="", "Not Trained",
     IF(CG34 &lt; TODAY() - 1, "Expired",
        IF(CG34 &lt;= TODAY() + 90, "Expiring", "Valid")
     )
  )
)</f>
        <v>Valid</v>
      </c>
      <c r="CI35" t="str">
        <f t="shared" si="1"/>
        <v>Not eligible</v>
      </c>
      <c r="CJ35" t="str">
        <f t="shared" si="2"/>
        <v>Not eligible</v>
      </c>
    </row>
    <row r="36" spans="1:88" x14ac:dyDescent="0.25">
      <c r="A36">
        <v>34</v>
      </c>
      <c r="B36">
        <v>582685</v>
      </c>
      <c r="C36" t="s">
        <v>357</v>
      </c>
      <c r="D36" t="s">
        <v>18</v>
      </c>
      <c r="E36" t="s">
        <v>263</v>
      </c>
      <c r="F36" t="s">
        <v>315</v>
      </c>
      <c r="G36" t="s">
        <v>49</v>
      </c>
      <c r="H36" s="4">
        <v>46459</v>
      </c>
      <c r="I36" s="4" t="str">
        <f ca="1">IF(
  _xlfn.XLOOKUP($D36 &amp; "-" &amp; H$2, 'TrainingReq (Ach)'!G:G, 'TrainingReq (Ach)'!F:F, "2-Year") = "Forever",
  "Valid",
  IF(H36="", "Not Trained",
     IF(H36 &lt; TODAY() - 1, "Expired",
        IF(H36 &lt;= TODAY() + 90, "Expiring", "Valid")
     )
  )
)</f>
        <v>Valid</v>
      </c>
      <c r="J36" s="4">
        <v>46459</v>
      </c>
      <c r="K36" s="4" t="str">
        <f ca="1">IF(
  _xlfn.XLOOKUP($D36 &amp; "-" &amp; J$2, 'TrainingReq (Ach)'!G:G, 'TrainingReq (Ach)'!F:F, "2-Year") = "Forever",
  "Valid",
  IF(J36="", "Not Trained",
     IF(J36 &lt; TODAY() - 1, "Expired",
        IF(J36 &lt;= TODAY() + 90, "Expiring", "Valid")
     )
  )
)</f>
        <v>Valid</v>
      </c>
      <c r="L36" s="4">
        <v>46934</v>
      </c>
      <c r="M36" s="4" t="str">
        <f ca="1">IF(
  _xlfn.XLOOKUP($D36 &amp; "-" &amp; L$2, TrainingMan!$G:$G, TrainingMan!$F:$F, "2-Year") = "Forever",
  "Valid",
  IF(L36="", "Not Trained",
     IF(L36 &lt; TODAY() - 1, "Expired",
        IF(L36 &lt;= TODAY() + 90, "Expiring", "Valid")
     )
  )
)</f>
        <v>Valid</v>
      </c>
      <c r="N36" s="4">
        <v>46317</v>
      </c>
      <c r="O36" s="4" t="str">
        <f ca="1">IF(
  _xlfn.XLOOKUP($D36 &amp; "-" &amp; N$2, TrainingMan!$G:$G, TrainingMan!$F:$F, "2-Year") = "Forever",
  "Valid",
  IF(N36="", "Not Trained",
     IF(N36 &lt; TODAY() - 1, "Expired",
        IF(N36 &lt;= TODAY() + 90, "Expiring", "Valid")
     )
  )
)</f>
        <v>Expiring</v>
      </c>
      <c r="P36" s="4">
        <v>46318</v>
      </c>
      <c r="Q36" s="4" t="str">
        <f ca="1">IF(
  _xlfn.XLOOKUP($D36 &amp; "-" &amp; P$2, TrainingMan!$G:$G, TrainingMan!$F:$F, "2-Year") = "Forever",
  "Valid",
  IF(P36="", "Not Trained",
     IF(P36 &lt; TODAY() - 1, "Expired",
        IF(P36 &lt;= TODAY() + 90, "Expiring", "Valid")
     )
  )
)</f>
        <v>Expiring</v>
      </c>
      <c r="R36" s="4">
        <v>46318</v>
      </c>
      <c r="S36" s="4" t="str">
        <f ca="1">IF(
  _xlfn.XLOOKUP($D36 &amp; "-" &amp; R$2, TrainingMan!$G:$G, TrainingMan!$F:$F, "2-Year") = "Forever",
  "Valid",
  IF(R36="", "Not Trained",
     IF(R36 &lt; TODAY() - 1, "Expired",
        IF(R36 &lt;= TODAY() + 90, "Expiring", "Valid")
     )
  )
)</f>
        <v>Expiring</v>
      </c>
      <c r="T36" s="4">
        <v>46318</v>
      </c>
      <c r="U36" s="4" t="str">
        <f ca="1">IF(
  _xlfn.XLOOKUP($D36 &amp; "-" &amp; T$2, TrainingMan!$G:$G, TrainingMan!$F:$F, "2-Year") = "Forever",
  "Valid",
  IF(T36="", "Not Trained",
     IF(T36 &lt; TODAY() - 1, "Expired",
        IF(T36 &lt;= TODAY() + 90, "Expiring", "Valid")
     )
  )
)</f>
        <v>Expiring</v>
      </c>
      <c r="V36" s="4">
        <v>46965</v>
      </c>
      <c r="W36" s="4" t="str">
        <f ca="1">IF(
  _xlfn.XLOOKUP($D36 &amp; "-" &amp; V$2, TrainingMan!$G:$G, TrainingMan!$F:$F, "2-Year") = "Forever",
  "Valid",
  IF(V36="", "Not Trained",
     IF(V36 &lt; TODAY() - 1, "Expired",
        IF(V36 &lt;= TODAY() + 90, "Expiring", "Valid")
     )
  )
)</f>
        <v>Valid</v>
      </c>
      <c r="X36" s="4">
        <v>46317</v>
      </c>
      <c r="Y36" s="4" t="str">
        <f ca="1">IF(
  _xlfn.XLOOKUP($D36 &amp; "-" &amp; X$2, TrainingMan!$G:$G, TrainingMan!$F:$F, "2-Year") = "Forever",
  "Valid",
  IF(X36="", "Not Trained",
     IF(X36 &lt; TODAY() - 1, "Expired",
        IF(X36 &lt;= TODAY() + 90, "Expiring", "Valid")
     )
  )
)</f>
        <v>Expiring</v>
      </c>
      <c r="Z36" s="4">
        <v>45518</v>
      </c>
      <c r="AA36" s="4" t="str">
        <f ca="1">IF(LEN(TRIM(Z36)) = 0, "Not Trained",
  IF(_xlfn.XLOOKUP($D36 &amp; "-" &amp; Z$2, TrainingMan!$G:$G, TrainingMan!$F:$F, "2-Year") = "Forever", "Valid",
    IF(Z36 &lt; TODAY() - 1, "Expired",
      IF(Z36 &lt;= TODAY() + 90, "Expiring", "Valid")
    )
  )
)</f>
        <v>Valid</v>
      </c>
      <c r="AB36" s="4">
        <v>44235</v>
      </c>
      <c r="AC36" s="4">
        <v>45506</v>
      </c>
      <c r="AD36" s="4">
        <v>44428</v>
      </c>
      <c r="AE36" s="4"/>
      <c r="AF36" s="4">
        <v>45175</v>
      </c>
      <c r="AG36" s="4"/>
      <c r="AH36" s="4"/>
      <c r="AI36" s="4"/>
      <c r="AJ36" s="4"/>
      <c r="AN36" s="4"/>
      <c r="AQ36" s="4"/>
      <c r="AR36" s="4"/>
      <c r="AS36" s="4"/>
      <c r="AT36" s="4"/>
      <c r="AU36" s="4"/>
      <c r="BB36" s="4">
        <v>45957</v>
      </c>
      <c r="BC36" s="4" t="s">
        <v>358</v>
      </c>
      <c r="BD36" s="4" t="s">
        <v>359</v>
      </c>
      <c r="BE36" s="4"/>
      <c r="BF36" s="4"/>
      <c r="BG36" s="4"/>
      <c r="BH36" s="4"/>
      <c r="BI36" s="4">
        <v>44053</v>
      </c>
      <c r="BJ36" s="4" t="s">
        <v>149</v>
      </c>
      <c r="BK36" s="4" t="s">
        <v>144</v>
      </c>
      <c r="BL36" s="4" t="s">
        <v>152</v>
      </c>
      <c r="BM36" s="4"/>
      <c r="BN36" s="4"/>
      <c r="BO36" s="4"/>
      <c r="BP36" s="4"/>
      <c r="BQ36">
        <f>COUNTIF('TrainingReq (Ach)'!B:B,Table13[[#This Row],[Job Title]])</f>
        <v>15</v>
      </c>
      <c r="BR36" cm="1">
        <f t="array" aca="1" ref="BR3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36" s="5">
        <f t="shared" ca="1" si="0"/>
        <v>1</v>
      </c>
      <c r="BT36" t="s">
        <v>265</v>
      </c>
      <c r="BU36" t="s">
        <v>247</v>
      </c>
      <c r="BV36" t="s">
        <v>270</v>
      </c>
      <c r="BW36" s="4" t="s">
        <v>149</v>
      </c>
      <c r="BX36" s="4" t="s">
        <v>144</v>
      </c>
      <c r="BZ36" t="s">
        <v>360</v>
      </c>
      <c r="CC36" t="s">
        <v>361</v>
      </c>
      <c r="CD36" s="4">
        <v>46826</v>
      </c>
      <c r="CE36" s="4" t="str">
        <f ca="1">IF(
  _xlfn.XLOOKUP($D36 &amp; "-" &amp; CD$2, 'TrainingReq (Ach)'!$G:$G, 'TrainingReq (Ach)'!$F:$F, "2-Year") = "Forever",
  "Valid",
  IF(CD36="", "Not Trained",
     IF(CD36 &lt; TODAY() - 1, "Expired",
        IF(CD36 &lt;= TODAY() + 90, "Expiring", "Valid")
     )
  )
)</f>
        <v>Valid</v>
      </c>
      <c r="CF36" t="s">
        <v>250</v>
      </c>
      <c r="CG36" s="4">
        <v>55576</v>
      </c>
      <c r="CH36" s="4" t="str">
        <f ca="1">IF(
  _xlfn.XLOOKUP($D35 &amp; "-" &amp; CG$2, 'TrainingReq (Ach)'!$G:$G, 'TrainingReq (Ach)'!$F:$F, "2-Year") = "Forever",
  "Valid",
  IF(CG35="", "Not Trained",
     IF(CG35 &lt; TODAY() - 1, "Expired",
        IF(CG35 &lt;= TODAY() + 90, "Expiring", "Valid")
     )
  )
)</f>
        <v>Not Trained</v>
      </c>
      <c r="CI36" t="str">
        <f t="shared" si="1"/>
        <v>Eligible</v>
      </c>
      <c r="CJ36" t="str">
        <f t="shared" si="2"/>
        <v>Eligible</v>
      </c>
    </row>
    <row r="37" spans="1:88" x14ac:dyDescent="0.25">
      <c r="A37">
        <v>35</v>
      </c>
      <c r="B37">
        <v>581612</v>
      </c>
      <c r="C37" t="s">
        <v>125</v>
      </c>
      <c r="D37" t="s">
        <v>15</v>
      </c>
      <c r="E37" t="s">
        <v>292</v>
      </c>
      <c r="F37" t="s">
        <v>315</v>
      </c>
      <c r="G37" t="s">
        <v>49</v>
      </c>
      <c r="H37" s="4">
        <v>46459</v>
      </c>
      <c r="I37" s="4" t="str">
        <f ca="1">IF(
  _xlfn.XLOOKUP($D37 &amp; "-" &amp; H$2, 'TrainingReq (Ach)'!G:G, 'TrainingReq (Ach)'!F:F, "2-Year") = "Forever",
  "Valid",
  IF(H37="", "Not Trained",
     IF(H37 &lt; TODAY() - 1, "Expired",
        IF(H37 &lt;= TODAY() + 90, "Expiring", "Valid")
     )
  )
)</f>
        <v>Valid</v>
      </c>
      <c r="J37" s="4">
        <v>46459</v>
      </c>
      <c r="K37" s="4" t="str">
        <f ca="1">IF(
  _xlfn.XLOOKUP($D37 &amp; "-" &amp; J$2, 'TrainingReq (Ach)'!G:G, 'TrainingReq (Ach)'!F:F, "2-Year") = "Forever",
  "Valid",
  IF(J37="", "Not Trained",
     IF(J37 &lt; TODAY() - 1, "Expired",
        IF(J37 &lt;= TODAY() + 90, "Expiring", "Valid")
     )
  )
)</f>
        <v>Valid</v>
      </c>
      <c r="L37" s="4">
        <v>46610</v>
      </c>
      <c r="M37" s="4" t="str">
        <f ca="1">IF(
  _xlfn.XLOOKUP($D37 &amp; "-" &amp; L$2, TrainingMan!$G:$G, TrainingMan!$F:$F, "2-Year") = "Forever",
  "Valid",
  IF(L37="", "Not Trained",
     IF(L37 &lt; TODAY() - 1, "Expired",
        IF(L37 &lt;= TODAY() + 90, "Expiring", "Valid")
     )
  )
)</f>
        <v>Valid</v>
      </c>
      <c r="N37" s="4">
        <v>46610</v>
      </c>
      <c r="O37" s="4" t="str">
        <f ca="1">IF(
  _xlfn.XLOOKUP($D37 &amp; "-" &amp; N$2, TrainingMan!$G:$G, TrainingMan!$F:$F, "2-Year") = "Forever",
  "Valid",
  IF(N37="", "Not Trained",
     IF(N37 &lt; TODAY() - 1, "Expired",
        IF(N37 &lt;= TODAY() + 90, "Expiring", "Valid")
     )
  )
)</f>
        <v>Valid</v>
      </c>
      <c r="P37" s="4">
        <v>46610</v>
      </c>
      <c r="Q37" s="4" t="str">
        <f ca="1">IF(
  _xlfn.XLOOKUP($D37 &amp; "-" &amp; P$2, TrainingMan!$G:$G, TrainingMan!$F:$F, "2-Year") = "Forever",
  "Valid",
  IF(P37="", "Not Trained",
     IF(P37 &lt; TODAY() - 1, "Expired",
        IF(P37 &lt;= TODAY() + 90, "Expiring", "Valid")
     )
  )
)</f>
        <v>Valid</v>
      </c>
      <c r="R37" s="4">
        <v>46610</v>
      </c>
      <c r="S37" s="4" t="str">
        <f ca="1">IF(
  _xlfn.XLOOKUP($D37 &amp; "-" &amp; R$2, TrainingMan!$G:$G, TrainingMan!$F:$F, "2-Year") = "Forever",
  "Valid",
  IF(R37="", "Not Trained",
     IF(R37 &lt; TODAY() - 1, "Expired",
        IF(R37 &lt;= TODAY() + 90, "Expiring", "Valid")
     )
  )
)</f>
        <v>Valid</v>
      </c>
      <c r="T37" s="4">
        <v>46610</v>
      </c>
      <c r="U37" s="4" t="str">
        <f ca="1">IF(
  _xlfn.XLOOKUP($D37 &amp; "-" &amp; T$2, TrainingMan!$G:$G, TrainingMan!$F:$F, "2-Year") = "Forever",
  "Valid",
  IF(T37="", "Not Trained",
     IF(T37 &lt; TODAY() - 1, "Expired",
        IF(T37 &lt;= TODAY() + 90, "Expiring", "Valid")
     )
  )
)</f>
        <v>Valid</v>
      </c>
      <c r="V37" s="4">
        <v>46610</v>
      </c>
      <c r="W37" s="4" t="str">
        <f ca="1">IF(
  _xlfn.XLOOKUP($D37 &amp; "-" &amp; V$2, TrainingMan!$G:$G, TrainingMan!$F:$F, "2-Year") = "Forever",
  "Valid",
  IF(V37="", "Not Trained",
     IF(V37 &lt; TODAY() - 1, "Expired",
        IF(V37 &lt;= TODAY() + 90, "Expiring", "Valid")
     )
  )
)</f>
        <v>Valid</v>
      </c>
      <c r="X37" s="4">
        <v>46610</v>
      </c>
      <c r="Y37" s="4" t="str">
        <f ca="1">IF(
  _xlfn.XLOOKUP($D37 &amp; "-" &amp; X$2, TrainingMan!$G:$G, TrainingMan!$F:$F, "2-Year") = "Forever",
  "Valid",
  IF(X37="", "Not Trained",
     IF(X37 &lt; TODAY() - 1, "Expired",
        IF(X37 &lt;= TODAY() + 90, "Expiring", "Valid")
     )
  )
)</f>
        <v>Valid</v>
      </c>
      <c r="Z37" s="4">
        <v>45017</v>
      </c>
      <c r="AA37" s="4" t="str">
        <f ca="1">IF(LEN(TRIM(Z37)) = 0, "Not Trained",
  IF(_xlfn.XLOOKUP($D37 &amp; "-" &amp; Z$2, TrainingMan!$G:$G, TrainingMan!$F:$F, "2-Year") = "Forever", "Valid",
    IF(Z37 &lt; TODAY() - 1, "Expired",
      IF(Z37 &lt;= TODAY() + 90, "Expiring", "Valid")
    )
  )
)</f>
        <v>Valid</v>
      </c>
      <c r="AB37" s="4">
        <v>43303</v>
      </c>
      <c r="AC37" s="4">
        <v>46132</v>
      </c>
      <c r="AD37" s="4">
        <v>45999</v>
      </c>
      <c r="AE37" s="4"/>
      <c r="AF37" s="4"/>
      <c r="AG37" s="4"/>
      <c r="AH37" s="4"/>
      <c r="AI37" s="4"/>
      <c r="AJ37" s="4"/>
      <c r="AN37" s="4"/>
      <c r="AQ37" s="4"/>
      <c r="AR37" s="4"/>
      <c r="AS37" s="4"/>
      <c r="AT37" s="4"/>
      <c r="AU37" s="4"/>
      <c r="BB37" s="4"/>
      <c r="BC37" s="4" t="s">
        <v>293</v>
      </c>
      <c r="BD37" s="4" t="s">
        <v>304</v>
      </c>
      <c r="BE37" s="4">
        <v>42033</v>
      </c>
      <c r="BF37" s="4"/>
      <c r="BG37" s="4"/>
      <c r="BH37" s="4"/>
      <c r="BI37" s="4">
        <v>45215</v>
      </c>
      <c r="BJ37" s="4" t="s">
        <v>140</v>
      </c>
      <c r="BK37" s="4"/>
      <c r="BL37" s="4"/>
      <c r="BM37" s="4"/>
      <c r="BN37" s="4"/>
      <c r="BO37" s="4"/>
      <c r="BP37" s="4"/>
      <c r="BQ37">
        <f>COUNTIF('TrainingReq (Ach)'!B:B,Table13[[#This Row],[Job Title]])</f>
        <v>13</v>
      </c>
      <c r="BR37" cm="1">
        <f t="array" aca="1" ref="BR3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37" s="5">
        <f t="shared" ca="1" si="0"/>
        <v>0.92307692307692313</v>
      </c>
      <c r="BT37" t="s">
        <v>265</v>
      </c>
      <c r="BU37" t="s">
        <v>247</v>
      </c>
      <c r="BV37" t="s">
        <v>256</v>
      </c>
      <c r="BW37" s="4" t="s">
        <v>140</v>
      </c>
      <c r="BZ37">
        <v>12390</v>
      </c>
      <c r="CA37">
        <v>1</v>
      </c>
      <c r="CC37" t="s">
        <v>362</v>
      </c>
      <c r="CD37" s="4"/>
      <c r="CE37" s="4" t="str">
        <f ca="1">IF(
  _xlfn.XLOOKUP($D37 &amp; "-" &amp; CD$2, 'TrainingReq (Ach)'!$G:$G, 'TrainingReq (Ach)'!$F:$F, "2-Year") = "Forever",
  "Valid",
  IF(CD37="", "Not Trained",
     IF(CD37 &lt; TODAY() - 1, "Expired",
        IF(CD37 &lt;= TODAY() + 90, "Expiring", "Valid")
     )
  )
)</f>
        <v>Not Trained</v>
      </c>
      <c r="CF37" t="s">
        <v>250</v>
      </c>
      <c r="CG37" s="4">
        <v>53676</v>
      </c>
      <c r="CH37" s="4" t="str">
        <f ca="1">IF(
  _xlfn.XLOOKUP($D36 &amp; "-" &amp; CG$2, 'TrainingReq (Ach)'!$G:$G, 'TrainingReq (Ach)'!$F:$F, "2-Year") = "Forever",
  "Valid",
  IF(CG36="", "Not Trained",
     IF(CG36 &lt; TODAY() - 1, "Expired",
        IF(CG36 &lt;= TODAY() + 90, "Expiring", "Valid")
     )
  )
)</f>
        <v>Valid</v>
      </c>
      <c r="CI37" t="str">
        <f t="shared" si="1"/>
        <v>Eligible</v>
      </c>
      <c r="CJ37" t="str">
        <f t="shared" si="2"/>
        <v>Not eligible</v>
      </c>
    </row>
    <row r="38" spans="1:88" x14ac:dyDescent="0.25">
      <c r="A38">
        <v>36</v>
      </c>
      <c r="B38">
        <v>581618</v>
      </c>
      <c r="C38" t="s">
        <v>363</v>
      </c>
      <c r="D38" t="s">
        <v>15</v>
      </c>
      <c r="E38" t="s">
        <v>292</v>
      </c>
      <c r="F38" t="s">
        <v>315</v>
      </c>
      <c r="G38" t="s">
        <v>49</v>
      </c>
      <c r="H38" s="4">
        <v>46361</v>
      </c>
      <c r="I38" s="4" t="str">
        <f ca="1">IF(
  _xlfn.XLOOKUP($D38 &amp; "-" &amp; H$2, 'TrainingReq (Ach)'!G:G, 'TrainingReq (Ach)'!F:F, "2-Year") = "Forever",
  "Valid",
  IF(H38="", "Not Trained",
     IF(H38 &lt; TODAY() - 1, "Expired",
        IF(H38 &lt;= TODAY() + 90, "Expiring", "Valid")
     )
  )
)</f>
        <v>Valid</v>
      </c>
      <c r="J38" s="4">
        <v>46361</v>
      </c>
      <c r="K38" s="4" t="str">
        <f ca="1">IF(
  _xlfn.XLOOKUP($D38 &amp; "-" &amp; J$2, 'TrainingReq (Ach)'!G:G, 'TrainingReq (Ach)'!F:F, "2-Year") = "Forever",
  "Valid",
  IF(J38="", "Not Trained",
     IF(J38 &lt; TODAY() - 1, "Expired",
        IF(J38 &lt;= TODAY() + 90, "Expiring", "Valid")
     )
  )
)</f>
        <v>Valid</v>
      </c>
      <c r="L38" s="4">
        <v>46586</v>
      </c>
      <c r="M38" s="4" t="str">
        <f ca="1">IF(
  _xlfn.XLOOKUP($D38 &amp; "-" &amp; L$2, TrainingMan!$G:$G, TrainingMan!$F:$F, "2-Year") = "Forever",
  "Valid",
  IF(L38="", "Not Trained",
     IF(L38 &lt; TODAY() - 1, "Expired",
        IF(L38 &lt;= TODAY() + 90, "Expiring", "Valid")
     )
  )
)</f>
        <v>Valid</v>
      </c>
      <c r="N38" s="4">
        <v>46586</v>
      </c>
      <c r="O38" s="4" t="str">
        <f ca="1">IF(
  _xlfn.XLOOKUP($D38 &amp; "-" &amp; N$2, TrainingMan!$G:$G, TrainingMan!$F:$F, "2-Year") = "Forever",
  "Valid",
  IF(N38="", "Not Trained",
     IF(N38 &lt; TODAY() - 1, "Expired",
        IF(N38 &lt;= TODAY() + 90, "Expiring", "Valid")
     )
  )
)</f>
        <v>Valid</v>
      </c>
      <c r="P38" s="4">
        <v>46586</v>
      </c>
      <c r="Q38" s="4" t="str">
        <f ca="1">IF(
  _xlfn.XLOOKUP($D38 &amp; "-" &amp; P$2, TrainingMan!$G:$G, TrainingMan!$F:$F, "2-Year") = "Forever",
  "Valid",
  IF(P38="", "Not Trained",
     IF(P38 &lt; TODAY() - 1, "Expired",
        IF(P38 &lt;= TODAY() + 90, "Expiring", "Valid")
     )
  )
)</f>
        <v>Valid</v>
      </c>
      <c r="R38" s="4">
        <v>46586</v>
      </c>
      <c r="S38" s="4" t="str">
        <f ca="1">IF(
  _xlfn.XLOOKUP($D38 &amp; "-" &amp; R$2, TrainingMan!$G:$G, TrainingMan!$F:$F, "2-Year") = "Forever",
  "Valid",
  IF(R38="", "Not Trained",
     IF(R38 &lt; TODAY() - 1, "Expired",
        IF(R38 &lt;= TODAY() + 90, "Expiring", "Valid")
     )
  )
)</f>
        <v>Valid</v>
      </c>
      <c r="T38" s="4">
        <v>46586</v>
      </c>
      <c r="U38" s="4" t="str">
        <f ca="1">IF(
  _xlfn.XLOOKUP($D38 &amp; "-" &amp; T$2, TrainingMan!$G:$G, TrainingMan!$F:$F, "2-Year") = "Forever",
  "Valid",
  IF(T38="", "Not Trained",
     IF(T38 &lt; TODAY() - 1, "Expired",
        IF(T38 &lt;= TODAY() + 90, "Expiring", "Valid")
     )
  )
)</f>
        <v>Valid</v>
      </c>
      <c r="V38" s="4">
        <v>46586</v>
      </c>
      <c r="W38" s="4" t="str">
        <f ca="1">IF(
  _xlfn.XLOOKUP($D38 &amp; "-" &amp; V$2, TrainingMan!$G:$G, TrainingMan!$F:$F, "2-Year") = "Forever",
  "Valid",
  IF(V38="", "Not Trained",
     IF(V38 &lt; TODAY() - 1, "Expired",
        IF(V38 &lt;= TODAY() + 90, "Expiring", "Valid")
     )
  )
)</f>
        <v>Valid</v>
      </c>
      <c r="X38" s="4">
        <v>46586</v>
      </c>
      <c r="Y38" s="4" t="str">
        <f ca="1">IF(
  _xlfn.XLOOKUP($D38 &amp; "-" &amp; X$2, TrainingMan!$G:$G, TrainingMan!$F:$F, "2-Year") = "Forever",
  "Valid",
  IF(X38="", "Not Trained",
     IF(X38 &lt; TODAY() - 1, "Expired",
        IF(X38 &lt;= TODAY() + 90, "Expiring", "Valid")
     )
  )
)</f>
        <v>Valid</v>
      </c>
      <c r="Z38" s="4">
        <v>45010</v>
      </c>
      <c r="AA38" s="4" t="str">
        <f ca="1">IF(LEN(TRIM(Z38)) = 0, "Not Trained",
  IF(_xlfn.XLOOKUP($D38 &amp; "-" &amp; Z$2, TrainingMan!$G:$G, TrainingMan!$F:$F, "2-Year") = "Forever", "Valid",
    IF(Z38 &lt; TODAY() - 1, "Expired",
      IF(Z38 &lt;= TODAY() + 90, "Expiring", "Valid")
    )
  )
)</f>
        <v>Valid</v>
      </c>
      <c r="AB38" s="4">
        <v>43630</v>
      </c>
      <c r="AC38" s="4">
        <v>44095</v>
      </c>
      <c r="AD38" s="4">
        <v>45546</v>
      </c>
      <c r="AE38" s="4"/>
      <c r="AF38" s="4">
        <v>43195</v>
      </c>
      <c r="AG38" s="4"/>
      <c r="AH38" s="4"/>
      <c r="AI38" s="4"/>
      <c r="AJ38" s="4"/>
      <c r="AN38" s="4"/>
      <c r="AQ38" s="4"/>
      <c r="AR38" s="4"/>
      <c r="AS38" s="4"/>
      <c r="AT38" s="4"/>
      <c r="AU38" s="4"/>
      <c r="BB38" s="4"/>
      <c r="BC38" s="4"/>
      <c r="BD38" s="4" t="s">
        <v>304</v>
      </c>
      <c r="BE38" s="4">
        <v>42033</v>
      </c>
      <c r="BF38" s="4"/>
      <c r="BG38" s="4"/>
      <c r="BH38" s="4"/>
      <c r="BI38" s="4">
        <v>44725</v>
      </c>
      <c r="BJ38" s="4" t="s">
        <v>140</v>
      </c>
      <c r="BK38" s="4"/>
      <c r="BL38" s="4"/>
      <c r="BM38" s="4"/>
      <c r="BN38" s="4"/>
      <c r="BO38" s="4"/>
      <c r="BP38" s="4"/>
      <c r="BQ38">
        <f>COUNTIF('TrainingReq (Ach)'!B:B,Table13[[#This Row],[Job Title]])</f>
        <v>13</v>
      </c>
      <c r="BR38" cm="1">
        <f t="array" aca="1" ref="BR3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38" s="5">
        <f t="shared" ca="1" si="0"/>
        <v>0.92307692307692313</v>
      </c>
      <c r="BT38" t="s">
        <v>364</v>
      </c>
      <c r="BU38" t="s">
        <v>247</v>
      </c>
      <c r="BV38" t="s">
        <v>256</v>
      </c>
      <c r="BW38" s="4" t="s">
        <v>140</v>
      </c>
      <c r="BZ38" t="s">
        <v>365</v>
      </c>
      <c r="CC38" t="s">
        <v>366</v>
      </c>
      <c r="CD38" s="4">
        <v>46677</v>
      </c>
      <c r="CE38" s="4" t="str">
        <f ca="1">IF(
  _xlfn.XLOOKUP($D38 &amp; "-" &amp; CD$2, 'TrainingReq (Ach)'!$G:$G, 'TrainingReq (Ach)'!$F:$F, "2-Year") = "Forever",
  "Valid",
  IF(CD38="", "Not Trained",
     IF(CD38 &lt; TODAY() - 1, "Expired",
        IF(CD38 &lt;= TODAY() + 90, "Expiring", "Valid")
     )
  )
)</f>
        <v>Valid</v>
      </c>
      <c r="CF38" t="s">
        <v>250</v>
      </c>
      <c r="CG38" s="4">
        <v>54138</v>
      </c>
      <c r="CH38" s="4" t="str">
        <f ca="1">IF(
  _xlfn.XLOOKUP($D37 &amp; "-" &amp; CG$2, 'TrainingReq (Ach)'!$G:$G, 'TrainingReq (Ach)'!$F:$F, "2-Year") = "Forever",
  "Valid",
  IF(CG37="", "Not Trained",
     IF(CG37 &lt; TODAY() - 1, "Expired",
        IF(CG37 &lt;= TODAY() + 90, "Expiring", "Valid")
     )
  )
)</f>
        <v>Valid</v>
      </c>
      <c r="CI38" t="str">
        <f t="shared" si="1"/>
        <v>Eligible</v>
      </c>
      <c r="CJ38" t="str">
        <f t="shared" si="2"/>
        <v>Not eligible</v>
      </c>
    </row>
    <row r="39" spans="1:88" x14ac:dyDescent="0.25">
      <c r="A39">
        <v>37</v>
      </c>
      <c r="B39">
        <v>782742</v>
      </c>
      <c r="C39" t="s">
        <v>367</v>
      </c>
      <c r="D39" t="s">
        <v>23</v>
      </c>
      <c r="E39" t="s">
        <v>303</v>
      </c>
      <c r="F39" t="s">
        <v>315</v>
      </c>
      <c r="G39" t="s">
        <v>49</v>
      </c>
      <c r="H39" s="4">
        <v>46396</v>
      </c>
      <c r="I39" s="4" t="str">
        <f ca="1">IF(
  _xlfn.XLOOKUP($D39 &amp; "-" &amp; H$2, 'TrainingReq (Ach)'!G:G, 'TrainingReq (Ach)'!F:F, "2-Year") = "Forever",
  "Valid",
  IF(H39="", "Not Trained",
     IF(H39 &lt; TODAY() - 1, "Expired",
        IF(H39 &lt;= TODAY() + 90, "Expiring", "Valid")
     )
  )
)</f>
        <v>Valid</v>
      </c>
      <c r="J39" s="4">
        <v>46396</v>
      </c>
      <c r="K39" s="4" t="str">
        <f ca="1">IF(
  _xlfn.XLOOKUP($D39 &amp; "-" &amp; J$2, 'TrainingReq (Ach)'!G:G, 'TrainingReq (Ach)'!F:F, "2-Year") = "Forever",
  "Valid",
  IF(J39="", "Not Trained",
     IF(J39 &lt; TODAY() - 1, "Expired",
        IF(J39 &lt;= TODAY() + 90, "Expiring", "Valid")
     )
  )
)</f>
        <v>Valid</v>
      </c>
      <c r="L39" s="4">
        <f>Table13[[#This Row],[Mandatory for Supporting]]</f>
        <v>44986</v>
      </c>
      <c r="M39" s="4" t="str">
        <f ca="1">IF(
  _xlfn.XLOOKUP($D39 &amp; "-" &amp; L$2, TrainingMan!$G:$G, TrainingMan!$F:$F, "2-Year") = "Forever",
  "Valid",
  IF(L39="", "Not Trained",
     IF(L39 &lt; TODAY() - 1, "Expired",
        IF(L39 &lt;= TODAY() + 90, "Expiring", "Valid")
     )
  )
)</f>
        <v>Valid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>
        <v>45929</v>
      </c>
      <c r="AC39" s="4"/>
      <c r="AD39" s="4"/>
      <c r="AE39" s="4"/>
      <c r="AF39" s="4"/>
      <c r="AG39" s="4"/>
      <c r="AH39" s="4"/>
      <c r="AI39" s="4"/>
      <c r="AJ39" s="4"/>
      <c r="AN39" s="4"/>
      <c r="AQ39" s="4"/>
      <c r="AR39" s="4"/>
      <c r="AS39" s="4"/>
      <c r="AT39" s="4"/>
      <c r="AU39" s="4"/>
      <c r="BB39" s="4"/>
      <c r="BC39" s="4"/>
      <c r="BD39" s="4">
        <v>45819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>
        <v>44986</v>
      </c>
      <c r="BQ39">
        <f>COUNTIF('TrainingReq (Ach)'!B:B,Table13[[#This Row],[Job Title]])</f>
        <v>3</v>
      </c>
      <c r="BR39" cm="1">
        <f t="array" aca="1" ref="BR3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39" s="5">
        <f t="shared" ca="1" si="0"/>
        <v>1</v>
      </c>
      <c r="BT39" t="s">
        <v>314</v>
      </c>
      <c r="BU39" t="s">
        <v>247</v>
      </c>
      <c r="BW39" s="4"/>
      <c r="CD39" s="4"/>
      <c r="CE39" s="4" t="str">
        <f ca="1">IF(
  _xlfn.XLOOKUP($D39 &amp; "-" &amp; CD$2, 'TrainingReq (Ach)'!$G:$G, 'TrainingReq (Ach)'!$F:$F, "2-Year") = "Forever",
  "Valid",
  IF(CD39="", "Not Trained",
     IF(CD39 &lt; TODAY() - 1, "Expired",
        IF(CD39 &lt;= TODAY() + 90, "Expiring", "Valid")
     )
  )
)</f>
        <v>Not Trained</v>
      </c>
      <c r="CF39" t="s">
        <v>250</v>
      </c>
      <c r="CG39" s="4"/>
      <c r="CH39" s="4" t="str">
        <f ca="1">IF(
  _xlfn.XLOOKUP($D38 &amp; "-" &amp; CG$2, 'TrainingReq (Ach)'!$G:$G, 'TrainingReq (Ach)'!$F:$F, "2-Year") = "Forever",
  "Valid",
  IF(CG38="", "Not Trained",
     IF(CG38 &lt; TODAY() - 1, "Expired",
        IF(CG38 &lt;= TODAY() + 90, "Expiring", "Valid")
     )
  )
)</f>
        <v>Valid</v>
      </c>
      <c r="CI39" t="str">
        <f t="shared" si="1"/>
        <v>Not eligible</v>
      </c>
      <c r="CJ39" t="str">
        <f t="shared" si="2"/>
        <v>Not eligible</v>
      </c>
    </row>
    <row r="40" spans="1:88" x14ac:dyDescent="0.25">
      <c r="A40">
        <v>38</v>
      </c>
      <c r="B40">
        <v>782743</v>
      </c>
      <c r="C40" t="s">
        <v>368</v>
      </c>
      <c r="D40" t="s">
        <v>23</v>
      </c>
      <c r="E40" t="s">
        <v>303</v>
      </c>
      <c r="F40" t="s">
        <v>315</v>
      </c>
      <c r="G40" t="s">
        <v>49</v>
      </c>
      <c r="H40" s="4">
        <v>46396</v>
      </c>
      <c r="I40" s="4" t="str">
        <f ca="1">IF(
  _xlfn.XLOOKUP($D40 &amp; "-" &amp; H$2, 'TrainingReq (Ach)'!G:G, 'TrainingReq (Ach)'!F:F, "2-Year") = "Forever",
  "Valid",
  IF(H40="", "Not Trained",
     IF(H40 &lt; TODAY() - 1, "Expired",
        IF(H40 &lt;= TODAY() + 90, "Expiring", "Valid")
     )
  )
)</f>
        <v>Valid</v>
      </c>
      <c r="J40" s="4">
        <v>46396</v>
      </c>
      <c r="K40" s="4" t="str">
        <f ca="1">IF(
  _xlfn.XLOOKUP($D40 &amp; "-" &amp; J$2, 'TrainingReq (Ach)'!G:G, 'TrainingReq (Ach)'!F:F, "2-Year") = "Forever",
  "Valid",
  IF(J40="", "Not Trained",
     IF(J40 &lt; TODAY() - 1, "Expired",
        IF(J40 &lt;= TODAY() + 90, "Expiring", "Valid")
     )
  )
)</f>
        <v>Valid</v>
      </c>
      <c r="L40" s="4">
        <f>Table13[[#This Row],[Mandatory for Supporting]]</f>
        <v>44986</v>
      </c>
      <c r="M40" s="4" t="str">
        <f ca="1">IF(
  _xlfn.XLOOKUP($D40 &amp; "-" &amp; L$2, TrainingMan!$G:$G, TrainingMan!$F:$F, "2-Year") = "Forever",
  "Valid",
  IF(L40="", "Not Trained",
     IF(L40 &lt; TODAY() - 1, "Expired",
        IF(L40 &lt;= TODAY() + 90, "Expiring", "Valid")
     )
  )
)</f>
        <v>Valid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>
        <v>45850</v>
      </c>
      <c r="AC40" s="4"/>
      <c r="AD40" s="4"/>
      <c r="AE40" s="4"/>
      <c r="AF40" s="4"/>
      <c r="AG40" s="4"/>
      <c r="AH40" s="4"/>
      <c r="AI40" s="4"/>
      <c r="AJ40" s="4"/>
      <c r="AN40" s="4"/>
      <c r="AQ40" s="4"/>
      <c r="AR40" s="4"/>
      <c r="AS40" s="4"/>
      <c r="AT40" s="4"/>
      <c r="AU40" s="4"/>
      <c r="BB40" s="4"/>
      <c r="BC40" s="4"/>
      <c r="BD40" s="4">
        <v>45855</v>
      </c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>
        <v>44986</v>
      </c>
      <c r="BQ40">
        <f>COUNTIF('TrainingReq (Ach)'!B:B,Table13[[#This Row],[Job Title]])</f>
        <v>3</v>
      </c>
      <c r="BR40" cm="1">
        <f t="array" aca="1" ref="BR4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40" s="5">
        <f t="shared" ca="1" si="0"/>
        <v>1</v>
      </c>
      <c r="BT40" t="s">
        <v>369</v>
      </c>
      <c r="BU40" t="s">
        <v>247</v>
      </c>
      <c r="BW40" s="4"/>
      <c r="CD40" s="4"/>
      <c r="CE40" s="4" t="str">
        <f ca="1">IF(
  _xlfn.XLOOKUP($D40 &amp; "-" &amp; CD$2, 'TrainingReq (Ach)'!$G:$G, 'TrainingReq (Ach)'!$F:$F, "2-Year") = "Forever",
  "Valid",
  IF(CD40="", "Not Trained",
     IF(CD40 &lt; TODAY() - 1, "Expired",
        IF(CD40 &lt;= TODAY() + 90, "Expiring", "Valid")
     )
  )
)</f>
        <v>Not Trained</v>
      </c>
      <c r="CF40" t="s">
        <v>250</v>
      </c>
      <c r="CG40" s="4"/>
      <c r="CH40" s="4" t="str">
        <f ca="1">IF(
  _xlfn.XLOOKUP($D39 &amp; "-" &amp; CG$2, 'TrainingReq (Ach)'!$G:$G, 'TrainingReq (Ach)'!$F:$F, "2-Year") = "Forever",
  "Valid",
  IF(CG39="", "Not Trained",
     IF(CG39 &lt; TODAY() - 1, "Expired",
        IF(CG39 &lt;= TODAY() + 90, "Expiring", "Valid")
     )
  )
)</f>
        <v>Not Trained</v>
      </c>
      <c r="CI40" t="str">
        <f t="shared" si="1"/>
        <v>Not eligible</v>
      </c>
      <c r="CJ40" t="str">
        <f t="shared" si="2"/>
        <v>Not eligible</v>
      </c>
    </row>
    <row r="41" spans="1:88" x14ac:dyDescent="0.25">
      <c r="A41">
        <v>39</v>
      </c>
      <c r="B41">
        <v>782750</v>
      </c>
      <c r="C41" t="s">
        <v>370</v>
      </c>
      <c r="D41" t="s">
        <v>23</v>
      </c>
      <c r="E41" t="s">
        <v>303</v>
      </c>
      <c r="F41" t="s">
        <v>315</v>
      </c>
      <c r="G41" t="s">
        <v>49</v>
      </c>
      <c r="H41" s="4">
        <v>46396</v>
      </c>
      <c r="I41" s="4" t="str">
        <f ca="1">IF(
  _xlfn.XLOOKUP($D41 &amp; "-" &amp; H$2, 'TrainingReq (Ach)'!G:G, 'TrainingReq (Ach)'!F:F, "2-Year") = "Forever",
  "Valid",
  IF(H41="", "Not Trained",
     IF(H41 &lt; TODAY() - 1, "Expired",
        IF(H41 &lt;= TODAY() + 90, "Expiring", "Valid")
     )
  )
)</f>
        <v>Valid</v>
      </c>
      <c r="J41" s="4">
        <v>46396</v>
      </c>
      <c r="K41" s="4" t="str">
        <f ca="1">IF(
  _xlfn.XLOOKUP($D41 &amp; "-" &amp; J$2, 'TrainingReq (Ach)'!G:G, 'TrainingReq (Ach)'!F:F, "2-Year") = "Forever",
  "Valid",
  IF(J41="", "Not Trained",
     IF(J41 &lt; TODAY() - 1, "Expired",
        IF(J41 &lt;= TODAY() + 90, "Expiring", "Valid")
     )
  )
)</f>
        <v>Valid</v>
      </c>
      <c r="L41" s="4">
        <f>Table13[[#This Row],[Mandatory for Supporting]]</f>
        <v>44986</v>
      </c>
      <c r="M41" s="4" t="str">
        <f ca="1">IF(
  _xlfn.XLOOKUP($D41 &amp; "-" &amp; L$2, TrainingMan!$G:$G, TrainingMan!$F:$F, "2-Year") = "Forever",
  "Valid",
  IF(L41="", "Not Trained",
     IF(L41 &lt; TODAY() - 1, "Expired",
        IF(L41 &lt;= TODAY() + 90, "Expiring", "Valid")
     )
  )
)</f>
        <v>Valid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N41" s="4"/>
      <c r="AQ41" s="4"/>
      <c r="AR41" s="4"/>
      <c r="AS41" s="4"/>
      <c r="AT41" s="4"/>
      <c r="AU41" s="4"/>
      <c r="BB41" s="4"/>
      <c r="BC41" s="4"/>
      <c r="BD41" s="4">
        <v>45855</v>
      </c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>
        <v>44986</v>
      </c>
      <c r="BQ41">
        <f>COUNTIF('TrainingReq (Ach)'!B:B,Table13[[#This Row],[Job Title]])</f>
        <v>3</v>
      </c>
      <c r="BR41" cm="1">
        <f t="array" aca="1" ref="BR4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41" s="5">
        <f t="shared" ca="1" si="0"/>
        <v>1</v>
      </c>
      <c r="BT41" t="s">
        <v>314</v>
      </c>
      <c r="BU41" t="s">
        <v>247</v>
      </c>
      <c r="BW41" s="4"/>
      <c r="CD41" s="4"/>
      <c r="CE41" s="4" t="str">
        <f ca="1">IF(
  _xlfn.XLOOKUP($D41 &amp; "-" &amp; CD$2, 'TrainingReq (Ach)'!$G:$G, 'TrainingReq (Ach)'!$F:$F, "2-Year") = "Forever",
  "Valid",
  IF(CD41="", "Not Trained",
     IF(CD41 &lt; TODAY() - 1, "Expired",
        IF(CD41 &lt;= TODAY() + 90, "Expiring", "Valid")
     )
  )
)</f>
        <v>Not Trained</v>
      </c>
      <c r="CF41" t="s">
        <v>250</v>
      </c>
      <c r="CG41" s="4"/>
      <c r="CH41" s="4" t="str">
        <f ca="1">IF(
  _xlfn.XLOOKUP($D40 &amp; "-" &amp; CG$2, 'TrainingReq (Ach)'!$G:$G, 'TrainingReq (Ach)'!$F:$F, "2-Year") = "Forever",
  "Valid",
  IF(CG40="", "Not Trained",
     IF(CG40 &lt; TODAY() - 1, "Expired",
        IF(CG40 &lt;= TODAY() + 90, "Expiring", "Valid")
     )
  )
)</f>
        <v>Not Trained</v>
      </c>
      <c r="CI41" t="str">
        <f t="shared" si="1"/>
        <v>Not eligible</v>
      </c>
      <c r="CJ41" t="str">
        <f t="shared" si="2"/>
        <v>Not eligible</v>
      </c>
    </row>
    <row r="42" spans="1:88" x14ac:dyDescent="0.25">
      <c r="A42">
        <v>40</v>
      </c>
      <c r="B42">
        <v>783022</v>
      </c>
      <c r="C42" t="s">
        <v>371</v>
      </c>
      <c r="D42" t="s">
        <v>23</v>
      </c>
      <c r="E42" t="s">
        <v>303</v>
      </c>
      <c r="F42" t="s">
        <v>315</v>
      </c>
      <c r="G42" t="s">
        <v>49</v>
      </c>
      <c r="H42" s="4">
        <v>46639</v>
      </c>
      <c r="I42" s="4" t="str">
        <f ca="1">IF(
  _xlfn.XLOOKUP($D42 &amp; "-" &amp; H$2, 'TrainingReq (Ach)'!G:G, 'TrainingReq (Ach)'!F:F, "2-Year") = "Forever",
  "Valid",
  IF(H42="", "Not Trained",
     IF(H42 &lt; TODAY() - 1, "Expired",
        IF(H42 &lt;= TODAY() + 90, "Expiring", "Valid")
     )
  )
)</f>
        <v>Valid</v>
      </c>
      <c r="J42" s="4">
        <v>46612</v>
      </c>
      <c r="K42" s="4" t="str">
        <f ca="1">IF(
  _xlfn.XLOOKUP($D42 &amp; "-" &amp; J$2, 'TrainingReq (Ach)'!G:G, 'TrainingReq (Ach)'!F:F, "2-Year") = "Forever",
  "Valid",
  IF(J42="", "Not Trained",
     IF(J42 &lt; TODAY() - 1, "Expired",
        IF(J42 &lt;= TODAY() + 90, "Expiring", "Valid")
     )
  )
)</f>
        <v>Valid</v>
      </c>
      <c r="L42" s="4">
        <f>Table13[[#This Row],[Mandatory for Supporting]]</f>
        <v>45265</v>
      </c>
      <c r="M42" s="4" t="str">
        <f ca="1">IF(
  _xlfn.XLOOKUP($D42 &amp; "-" &amp; L$2, TrainingMan!$G:$G, TrainingMan!$F:$F, "2-Year") = "Forever",
  "Valid",
  IF(L42="", "Not Trained",
     IF(L42 &lt; TODAY() - 1, "Expired",
        IF(L42 &lt;= TODAY() + 90, "Expiring", "Valid")
     )
  )
)</f>
        <v>Valid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>
        <v>46004</v>
      </c>
      <c r="AC42" s="4"/>
      <c r="AD42" s="4"/>
      <c r="AE42" s="4"/>
      <c r="AF42" s="4"/>
      <c r="AG42" s="4"/>
      <c r="AH42" s="4"/>
      <c r="AI42" s="4"/>
      <c r="AJ42" s="4"/>
      <c r="AN42" s="4"/>
      <c r="AQ42" s="4"/>
      <c r="AR42" s="4"/>
      <c r="AS42" s="4"/>
      <c r="AT42" s="4"/>
      <c r="AU42" s="4"/>
      <c r="BB42" s="4"/>
      <c r="BC42" s="4"/>
      <c r="BD42" s="4" t="s">
        <v>313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>
        <v>45265</v>
      </c>
      <c r="BQ42">
        <f>COUNTIF('TrainingReq (Ach)'!B:B,Table13[[#This Row],[Job Title]])</f>
        <v>3</v>
      </c>
      <c r="BR42" cm="1">
        <f t="array" aca="1" ref="BR4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42" s="5">
        <f t="shared" ca="1" si="0"/>
        <v>1</v>
      </c>
      <c r="BT42" t="s">
        <v>314</v>
      </c>
      <c r="BU42" t="s">
        <v>247</v>
      </c>
      <c r="BW42" s="4"/>
      <c r="CD42" s="4"/>
      <c r="CE42" s="4" t="str">
        <f ca="1">IF(
  _xlfn.XLOOKUP($D42 &amp; "-" &amp; CD$2, 'TrainingReq (Ach)'!$G:$G, 'TrainingReq (Ach)'!$F:$F, "2-Year") = "Forever",
  "Valid",
  IF(CD42="", "Not Trained",
     IF(CD42 &lt; TODAY() - 1, "Expired",
        IF(CD42 &lt;= TODAY() + 90, "Expiring", "Valid")
     )
  )
)</f>
        <v>Not Trained</v>
      </c>
      <c r="CF42" t="s">
        <v>250</v>
      </c>
      <c r="CG42" s="4"/>
      <c r="CH42" s="4" t="str">
        <f ca="1">IF(
  _xlfn.XLOOKUP($D41 &amp; "-" &amp; CG$2, 'TrainingReq (Ach)'!$G:$G, 'TrainingReq (Ach)'!$F:$F, "2-Year") = "Forever",
  "Valid",
  IF(CG41="", "Not Trained",
     IF(CG41 &lt; TODAY() - 1, "Expired",
        IF(CG41 &lt;= TODAY() + 90, "Expiring", "Valid")
     )
  )
)</f>
        <v>Not Trained</v>
      </c>
      <c r="CI42" t="str">
        <f t="shared" si="1"/>
        <v>Not eligible</v>
      </c>
      <c r="CJ42" t="str">
        <f t="shared" si="2"/>
        <v>Not eligible</v>
      </c>
    </row>
    <row r="43" spans="1:88" x14ac:dyDescent="0.25">
      <c r="A43">
        <v>41</v>
      </c>
      <c r="B43">
        <v>580797</v>
      </c>
      <c r="C43" t="s">
        <v>372</v>
      </c>
      <c r="D43" t="s">
        <v>15</v>
      </c>
      <c r="E43" t="s">
        <v>292</v>
      </c>
      <c r="F43" t="s">
        <v>373</v>
      </c>
      <c r="G43" t="s">
        <v>50</v>
      </c>
      <c r="H43" s="4">
        <v>46542</v>
      </c>
      <c r="I43" s="4" t="str">
        <f ca="1">IF(
  _xlfn.XLOOKUP($D43 &amp; "-" &amp; H$2, 'TrainingReq (Ach)'!G:G, 'TrainingReq (Ach)'!F:F, "2-Year") = "Forever",
  "Valid",
  IF(H43="", "Not Trained",
     IF(H43 &lt; TODAY() - 1, "Expired",
        IF(H43 &lt;= TODAY() + 90, "Expiring", "Valid")
     )
  )
)</f>
        <v>Valid</v>
      </c>
      <c r="J43" s="4">
        <v>46542</v>
      </c>
      <c r="K43" s="4" t="str">
        <f ca="1">IF(
  _xlfn.XLOOKUP($D43 &amp; "-" &amp; J$2, 'TrainingReq (Ach)'!G:G, 'TrainingReq (Ach)'!F:F, "2-Year") = "Forever",
  "Valid",
  IF(J43="", "Not Trained",
     IF(J43 &lt; TODAY() - 1, "Expired",
        IF(J43 &lt;= TODAY() + 90, "Expiring", "Valid")
     )
  )
)</f>
        <v>Valid</v>
      </c>
      <c r="L43" s="4">
        <v>46557</v>
      </c>
      <c r="M43" s="4" t="str">
        <f ca="1">IF(
  _xlfn.XLOOKUP($D43 &amp; "-" &amp; L$2, TrainingMan!$G:$G, TrainingMan!$F:$F, "2-Year") = "Forever",
  "Valid",
  IF(L43="", "Not Trained",
     IF(L43 &lt; TODAY() - 1, "Expired",
        IF(L43 &lt;= TODAY() + 90, "Expiring", "Valid")
     )
  )
)</f>
        <v>Valid</v>
      </c>
      <c r="N43" s="4">
        <v>46557</v>
      </c>
      <c r="O43" s="4" t="str">
        <f ca="1">IF(
  _xlfn.XLOOKUP($D43 &amp; "-" &amp; N$2, TrainingMan!$G:$G, TrainingMan!$F:$F, "2-Year") = "Forever",
  "Valid",
  IF(N43="", "Not Trained",
     IF(N43 &lt; TODAY() - 1, "Expired",
        IF(N43 &lt;= TODAY() + 90, "Expiring", "Valid")
     )
  )
)</f>
        <v>Valid</v>
      </c>
      <c r="P43" s="4">
        <v>46557</v>
      </c>
      <c r="Q43" s="4" t="str">
        <f ca="1">IF(
  _xlfn.XLOOKUP($D43 &amp; "-" &amp; P$2, TrainingMan!$G:$G, TrainingMan!$F:$F, "2-Year") = "Forever",
  "Valid",
  IF(P43="", "Not Trained",
     IF(P43 &lt; TODAY() - 1, "Expired",
        IF(P43 &lt;= TODAY() + 90, "Expiring", "Valid")
     )
  )
)</f>
        <v>Valid</v>
      </c>
      <c r="R43" s="4">
        <v>46557</v>
      </c>
      <c r="S43" s="4" t="str">
        <f ca="1">IF(
  _xlfn.XLOOKUP($D43 &amp; "-" &amp; R$2, TrainingMan!$G:$G, TrainingMan!$F:$F, "2-Year") = "Forever",
  "Valid",
  IF(R43="", "Not Trained",
     IF(R43 &lt; TODAY() - 1, "Expired",
        IF(R43 &lt;= TODAY() + 90, "Expiring", "Valid")
     )
  )
)</f>
        <v>Valid</v>
      </c>
      <c r="T43" s="4">
        <v>46557</v>
      </c>
      <c r="U43" s="4" t="str">
        <f ca="1">IF(
  _xlfn.XLOOKUP($D43 &amp; "-" &amp; T$2, TrainingMan!$G:$G, TrainingMan!$F:$F, "2-Year") = "Forever",
  "Valid",
  IF(T43="", "Not Trained",
     IF(T43 &lt; TODAY() - 1, "Expired",
        IF(T43 &lt;= TODAY() + 90, "Expiring", "Valid")
     )
  )
)</f>
        <v>Valid</v>
      </c>
      <c r="V43" s="4">
        <v>46557</v>
      </c>
      <c r="W43" s="4" t="str">
        <f ca="1">IF(
  _xlfn.XLOOKUP($D43 &amp; "-" &amp; V$2, TrainingMan!$G:$G, TrainingMan!$F:$F, "2-Year") = "Forever",
  "Valid",
  IF(V43="", "Not Trained",
     IF(V43 &lt; TODAY() - 1, "Expired",
        IF(V43 &lt;= TODAY() + 90, "Expiring", "Valid")
     )
  )
)</f>
        <v>Valid</v>
      </c>
      <c r="X43" s="4">
        <v>46557</v>
      </c>
      <c r="Y43" s="4" t="str">
        <f ca="1">IF(
  _xlfn.XLOOKUP($D43 &amp; "-" &amp; X$2, TrainingMan!$G:$G, TrainingMan!$F:$F, "2-Year") = "Forever",
  "Valid",
  IF(X43="", "Not Trained",
     IF(X43 &lt; TODAY() - 1, "Expired",
        IF(X43 &lt;= TODAY() + 90, "Expiring", "Valid")
     )
  )
)</f>
        <v>Valid</v>
      </c>
      <c r="Z43" s="4">
        <v>44948</v>
      </c>
      <c r="AA43" s="4" t="str">
        <f ca="1">IF(LEN(TRIM(Z43)) = 0, "Not Trained",
  IF(_xlfn.XLOOKUP($D43 &amp; "-" &amp; Z$2, TrainingMan!$G:$G, TrainingMan!$F:$F, "2-Year") = "Forever", "Valid",
    IF(Z43 &lt; TODAY() - 1, "Expired",
      IF(Z43 &lt;= TODAY() + 90, "Expiring", "Valid")
    )
  )
)</f>
        <v>Valid</v>
      </c>
      <c r="AB43" s="4">
        <v>43688</v>
      </c>
      <c r="AC43" s="4">
        <v>43779</v>
      </c>
      <c r="AD43" s="4">
        <v>45702</v>
      </c>
      <c r="AE43" s="4"/>
      <c r="AF43" s="4">
        <v>45464</v>
      </c>
      <c r="AG43" s="4"/>
      <c r="AH43" s="4"/>
      <c r="AI43" s="4"/>
      <c r="AJ43" s="4"/>
      <c r="AN43" s="4"/>
      <c r="AQ43" s="4"/>
      <c r="AR43" s="4"/>
      <c r="AS43" s="4"/>
      <c r="AT43" s="4"/>
      <c r="AU43" s="4"/>
      <c r="BB43" s="4">
        <v>45761</v>
      </c>
      <c r="BC43" s="4" t="s">
        <v>253</v>
      </c>
      <c r="BD43" s="4" t="s">
        <v>294</v>
      </c>
      <c r="BE43" s="4">
        <v>41513</v>
      </c>
      <c r="BF43" s="4"/>
      <c r="BG43" s="4"/>
      <c r="BH43" s="4"/>
      <c r="BI43" s="4">
        <v>45337</v>
      </c>
      <c r="BJ43" s="4" t="s">
        <v>140</v>
      </c>
      <c r="BK43" s="4"/>
      <c r="BL43" s="4"/>
      <c r="BM43" s="4" t="s">
        <v>374</v>
      </c>
      <c r="BN43" s="4"/>
      <c r="BO43" s="4"/>
      <c r="BP43" s="4"/>
      <c r="BQ43">
        <f>COUNTIF('TrainingReq (Ach)'!B:B,Table13[[#This Row],[Job Title]])</f>
        <v>13</v>
      </c>
      <c r="BR43" cm="1">
        <f t="array" aca="1" ref="BR4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43" s="5">
        <f t="shared" ca="1" si="0"/>
        <v>1</v>
      </c>
      <c r="BT43" t="s">
        <v>265</v>
      </c>
      <c r="BU43" t="s">
        <v>247</v>
      </c>
      <c r="BV43" t="s">
        <v>270</v>
      </c>
      <c r="BW43" s="4" t="s">
        <v>140</v>
      </c>
      <c r="BZ43" s="17">
        <v>12225</v>
      </c>
      <c r="CC43" t="s">
        <v>375</v>
      </c>
      <c r="CD43" s="4">
        <v>46955</v>
      </c>
      <c r="CE43" s="4" t="str">
        <f ca="1">IF(
  _xlfn.XLOOKUP($D43 &amp; "-" &amp; CD$2, 'TrainingReq (Ach)'!$G:$G, 'TrainingReq (Ach)'!$F:$F, "2-Year") = "Forever",
  "Valid",
  IF(CD43="", "Not Trained",
     IF(CD43 &lt; TODAY() - 1, "Expired",
        IF(CD43 &lt;= TODAY() + 90, "Expiring", "Valid")
     )
  )
)</f>
        <v>Valid</v>
      </c>
      <c r="CF43" t="s">
        <v>250</v>
      </c>
      <c r="CG43" s="4">
        <v>54308</v>
      </c>
      <c r="CH43" s="4" t="str">
        <f ca="1">IF(
  _xlfn.XLOOKUP($D42 &amp; "-" &amp; CG$2, 'TrainingReq (Ach)'!$G:$G, 'TrainingReq (Ach)'!$F:$F, "2-Year") = "Forever",
  "Valid",
  IF(CG42="", "Not Trained",
     IF(CG42 &lt; TODAY() - 1, "Expired",
        IF(CG42 &lt;= TODAY() + 90, "Expiring", "Valid")
     )
  )
)</f>
        <v>Not Trained</v>
      </c>
      <c r="CI43" t="str">
        <f t="shared" si="1"/>
        <v>Eligible</v>
      </c>
      <c r="CJ43" t="str">
        <f t="shared" si="2"/>
        <v>Not eligible</v>
      </c>
    </row>
    <row r="44" spans="1:88" x14ac:dyDescent="0.25">
      <c r="A44">
        <v>42</v>
      </c>
      <c r="B44">
        <v>581567</v>
      </c>
      <c r="C44" t="s">
        <v>98</v>
      </c>
      <c r="D44" t="s">
        <v>15</v>
      </c>
      <c r="E44" t="s">
        <v>292</v>
      </c>
      <c r="F44" t="s">
        <v>373</v>
      </c>
      <c r="G44" t="s">
        <v>50</v>
      </c>
      <c r="H44" s="4">
        <v>46794</v>
      </c>
      <c r="I44" s="4" t="str">
        <f ca="1">IF(
  _xlfn.XLOOKUP($D44 &amp; "-" &amp; H$2, 'TrainingReq (Ach)'!G:G, 'TrainingReq (Ach)'!F:F, "2-Year") = "Forever",
  "Valid",
  IF(H44="", "Not Trained",
     IF(H44 &lt; TODAY() - 1, "Expired",
        IF(H44 &lt;= TODAY() + 90, "Expiring", "Valid")
     )
  )
)</f>
        <v>Valid</v>
      </c>
      <c r="J44" s="4">
        <v>46794</v>
      </c>
      <c r="K44" s="4" t="str">
        <f ca="1">IF(
  _xlfn.XLOOKUP($D44 &amp; "-" &amp; J$2, 'TrainingReq (Ach)'!G:G, 'TrainingReq (Ach)'!F:F, "2-Year") = "Forever",
  "Valid",
  IF(J44="", "Not Trained",
     IF(J44 &lt; TODAY() - 1, "Expired",
        IF(J44 &lt;= TODAY() + 90, "Expiring", "Valid")
     )
  )
)</f>
        <v>Valid</v>
      </c>
      <c r="L44" s="4">
        <v>46834</v>
      </c>
      <c r="M44" s="4" t="str">
        <f ca="1">IF(
  _xlfn.XLOOKUP($D44 &amp; "-" &amp; L$2, TrainingMan!$G:$G, TrainingMan!$F:$F, "2-Year") = "Forever",
  "Valid",
  IF(L44="", "Not Trained",
     IF(L44 &lt; TODAY() - 1, "Expired",
        IF(L44 &lt;= TODAY() + 90, "Expiring", "Valid")
     )
  )
)</f>
        <v>Valid</v>
      </c>
      <c r="N44" s="4">
        <v>46834</v>
      </c>
      <c r="O44" s="4" t="str">
        <f ca="1">IF(
  _xlfn.XLOOKUP($D44 &amp; "-" &amp; N$2, TrainingMan!$G:$G, TrainingMan!$F:$F, "2-Year") = "Forever",
  "Valid",
  IF(N44="", "Not Trained",
     IF(N44 &lt; TODAY() - 1, "Expired",
        IF(N44 &lt;= TODAY() + 90, "Expiring", "Valid")
     )
  )
)</f>
        <v>Valid</v>
      </c>
      <c r="P44" s="4">
        <v>46834</v>
      </c>
      <c r="Q44" s="4" t="str">
        <f ca="1">IF(
  _xlfn.XLOOKUP($D44 &amp; "-" &amp; P$2, TrainingMan!$G:$G, TrainingMan!$F:$F, "2-Year") = "Forever",
  "Valid",
  IF(P44="", "Not Trained",
     IF(P44 &lt; TODAY() - 1, "Expired",
        IF(P44 &lt;= TODAY() + 90, "Expiring", "Valid")
     )
  )
)</f>
        <v>Valid</v>
      </c>
      <c r="R44" s="4">
        <v>46834</v>
      </c>
      <c r="S44" s="4" t="str">
        <f ca="1">IF(
  _xlfn.XLOOKUP($D44 &amp; "-" &amp; R$2, TrainingMan!$G:$G, TrainingMan!$F:$F, "2-Year") = "Forever",
  "Valid",
  IF(R44="", "Not Trained",
     IF(R44 &lt; TODAY() - 1, "Expired",
        IF(R44 &lt;= TODAY() + 90, "Expiring", "Valid")
     )
  )
)</f>
        <v>Valid</v>
      </c>
      <c r="T44" s="4">
        <v>46834</v>
      </c>
      <c r="U44" s="4" t="str">
        <f ca="1">IF(
  _xlfn.XLOOKUP($D44 &amp; "-" &amp; T$2, TrainingMan!$G:$G, TrainingMan!$F:$F, "2-Year") = "Forever",
  "Valid",
  IF(T44="", "Not Trained",
     IF(T44 &lt; TODAY() - 1, "Expired",
        IF(T44 &lt;= TODAY() + 90, "Expiring", "Valid")
     )
  )
)</f>
        <v>Valid</v>
      </c>
      <c r="V44" s="4">
        <v>46834</v>
      </c>
      <c r="W44" s="4" t="str">
        <f ca="1">IF(
  _xlfn.XLOOKUP($D44 &amp; "-" &amp; V$2, TrainingMan!$G:$G, TrainingMan!$F:$F, "2-Year") = "Forever",
  "Valid",
  IF(V44="", "Not Trained",
     IF(V44 &lt; TODAY() - 1, "Expired",
        IF(V44 &lt;= TODAY() + 90, "Expiring", "Valid")
     )
  )
)</f>
        <v>Valid</v>
      </c>
      <c r="X44" s="4">
        <v>46834</v>
      </c>
      <c r="Y44" s="4" t="str">
        <f ca="1">IF(
  _xlfn.XLOOKUP($D44 &amp; "-" &amp; X$2, TrainingMan!$G:$G, TrainingMan!$F:$F, "2-Year") = "Forever",
  "Valid",
  IF(X44="", "Not Trained",
     IF(X44 &lt; TODAY() - 1, "Expired",
        IF(X44 &lt;= TODAY() + 90, "Expiring", "Valid")
     )
  )
)</f>
        <v>Valid</v>
      </c>
      <c r="Z44" s="4">
        <v>45431</v>
      </c>
      <c r="AA44" s="4" t="str">
        <f ca="1">IF(LEN(TRIM(Z44)) = 0, "Not Trained",
  IF(_xlfn.XLOOKUP($D44 &amp; "-" &amp; Z$2, TrainingMan!$G:$G, TrainingMan!$F:$F, "2-Year") = "Forever", "Valid",
    IF(Z44 &lt; TODAY() - 1, "Expired",
      IF(Z44 &lt;= TODAY() + 90, "Expiring", "Valid")
    )
  )
)</f>
        <v>Valid</v>
      </c>
      <c r="AB44" s="4">
        <v>43303</v>
      </c>
      <c r="AC44" s="4">
        <v>43842</v>
      </c>
      <c r="AD44" s="4">
        <v>45303</v>
      </c>
      <c r="AE44" s="4"/>
      <c r="AF44" s="4">
        <v>44665</v>
      </c>
      <c r="AG44" s="4"/>
      <c r="AH44" s="4"/>
      <c r="AI44" s="4"/>
      <c r="AJ44" s="4"/>
      <c r="AN44" s="4"/>
      <c r="AQ44" s="4"/>
      <c r="AR44" s="4"/>
      <c r="AS44" s="4"/>
      <c r="AT44" s="4"/>
      <c r="AU44" s="4"/>
      <c r="BB44" s="4"/>
      <c r="BC44" s="4" t="s">
        <v>293</v>
      </c>
      <c r="BD44" s="4" t="s">
        <v>376</v>
      </c>
      <c r="BE44" s="4"/>
      <c r="BF44" s="4"/>
      <c r="BG44" s="4">
        <v>43487</v>
      </c>
      <c r="BH44" s="4"/>
      <c r="BI44" s="4">
        <v>44753</v>
      </c>
      <c r="BJ44" s="4" t="s">
        <v>145</v>
      </c>
      <c r="BK44" s="4"/>
      <c r="BL44" s="4"/>
      <c r="BM44" s="4"/>
      <c r="BN44" s="4"/>
      <c r="BO44" s="4"/>
      <c r="BP44" s="4"/>
      <c r="BQ44">
        <f>COUNTIF('TrainingReq (Ach)'!B:B,Table13[[#This Row],[Job Title]])</f>
        <v>13</v>
      </c>
      <c r="BR44" cm="1">
        <f t="array" aca="1" ref="BR4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44" s="5">
        <f t="shared" ca="1" si="0"/>
        <v>0.92307692307692313</v>
      </c>
      <c r="BT44" t="s">
        <v>265</v>
      </c>
      <c r="BU44" t="s">
        <v>247</v>
      </c>
      <c r="BV44" t="s">
        <v>256</v>
      </c>
      <c r="BW44" s="4"/>
      <c r="CC44" t="s">
        <v>377</v>
      </c>
      <c r="CD44" s="4"/>
      <c r="CE44" s="4" t="str">
        <f ca="1">IF(
  _xlfn.XLOOKUP($D44 &amp; "-" &amp; CD$2, 'TrainingReq (Ach)'!$G:$G, 'TrainingReq (Ach)'!$F:$F, "2-Year") = "Forever",
  "Valid",
  IF(CD44="", "Not Trained",
     IF(CD44 &lt; TODAY() - 1, "Expired",
        IF(CD44 &lt;= TODAY() + 90, "Expiring", "Valid")
     )
  )
)</f>
        <v>Not Trained</v>
      </c>
      <c r="CF44" t="s">
        <v>250</v>
      </c>
      <c r="CG44" s="4">
        <v>53567</v>
      </c>
      <c r="CH44" s="4" t="str">
        <f ca="1">IF(
  _xlfn.XLOOKUP($D43 &amp; "-" &amp; CG$2, 'TrainingReq (Ach)'!$G:$G, 'TrainingReq (Ach)'!$F:$F, "2-Year") = "Forever",
  "Valid",
  IF(CG43="", "Not Trained",
     IF(CG43 &lt; TODAY() - 1, "Expired",
        IF(CG43 &lt;= TODAY() + 90, "Expiring", "Valid")
     )
  )
)</f>
        <v>Valid</v>
      </c>
      <c r="CI44" t="str">
        <f t="shared" si="1"/>
        <v>Not eligible</v>
      </c>
      <c r="CJ44" t="str">
        <f t="shared" si="2"/>
        <v>Not eligible</v>
      </c>
    </row>
    <row r="45" spans="1:88" x14ac:dyDescent="0.25">
      <c r="A45">
        <v>43</v>
      </c>
      <c r="B45">
        <v>582681</v>
      </c>
      <c r="C45" t="s">
        <v>378</v>
      </c>
      <c r="D45" t="s">
        <v>18</v>
      </c>
      <c r="E45" t="s">
        <v>263</v>
      </c>
      <c r="F45" t="s">
        <v>373</v>
      </c>
      <c r="G45" t="s">
        <v>50</v>
      </c>
      <c r="H45" s="4">
        <v>46506</v>
      </c>
      <c r="I45" s="4" t="str">
        <f ca="1">IF(
  _xlfn.XLOOKUP($D45 &amp; "-" &amp; H$2, 'TrainingReq (Ach)'!G:G, 'TrainingReq (Ach)'!F:F, "2-Year") = "Forever",
  "Valid",
  IF(H45="", "Not Trained",
     IF(H45 &lt; TODAY() - 1, "Expired",
        IF(H45 &lt;= TODAY() + 90, "Expiring", "Valid")
     )
  )
)</f>
        <v>Valid</v>
      </c>
      <c r="J45" s="4">
        <v>46506</v>
      </c>
      <c r="K45" s="4" t="str">
        <f ca="1">IF(
  _xlfn.XLOOKUP($D45 &amp; "-" &amp; J$2, 'TrainingReq (Ach)'!G:G, 'TrainingReq (Ach)'!F:F, "2-Year") = "Forever",
  "Valid",
  IF(J45="", "Not Trained",
     IF(J45 &lt; TODAY() - 1, "Expired",
        IF(J45 &lt;= TODAY() + 90, "Expiring", "Valid")
     )
  )
)</f>
        <v>Valid</v>
      </c>
      <c r="L45" s="4">
        <v>46834</v>
      </c>
      <c r="M45" s="4" t="str">
        <f ca="1">IF(
  _xlfn.XLOOKUP($D45 &amp; "-" &amp; L$2, TrainingMan!$G:$G, TrainingMan!$F:$F, "2-Year") = "Forever",
  "Valid",
  IF(L45="", "Not Trained",
     IF(L45 &lt; TODAY() - 1, "Expired",
        IF(L45 &lt;= TODAY() + 90, "Expiring", "Valid")
     )
  )
)</f>
        <v>Valid</v>
      </c>
      <c r="N45" s="4">
        <v>46834</v>
      </c>
      <c r="O45" s="4" t="str">
        <f ca="1">IF(
  _xlfn.XLOOKUP($D45 &amp; "-" &amp; N$2, TrainingMan!$G:$G, TrainingMan!$F:$F, "2-Year") = "Forever",
  "Valid",
  IF(N45="", "Not Trained",
     IF(N45 &lt; TODAY() - 1, "Expired",
        IF(N45 &lt;= TODAY() + 90, "Expiring", "Valid")
     )
  )
)</f>
        <v>Valid</v>
      </c>
      <c r="P45" s="4">
        <v>46834</v>
      </c>
      <c r="Q45" s="4" t="str">
        <f ca="1">IF(
  _xlfn.XLOOKUP($D45 &amp; "-" &amp; P$2, TrainingMan!$G:$G, TrainingMan!$F:$F, "2-Year") = "Forever",
  "Valid",
  IF(P45="", "Not Trained",
     IF(P45 &lt; TODAY() - 1, "Expired",
        IF(P45 &lt;= TODAY() + 90, "Expiring", "Valid")
     )
  )
)</f>
        <v>Valid</v>
      </c>
      <c r="R45" s="4">
        <v>46834</v>
      </c>
      <c r="S45" s="4" t="str">
        <f ca="1">IF(
  _xlfn.XLOOKUP($D45 &amp; "-" &amp; R$2, TrainingMan!$G:$G, TrainingMan!$F:$F, "2-Year") = "Forever",
  "Valid",
  IF(R45="", "Not Trained",
     IF(R45 &lt; TODAY() - 1, "Expired",
        IF(R45 &lt;= TODAY() + 90, "Expiring", "Valid")
     )
  )
)</f>
        <v>Valid</v>
      </c>
      <c r="T45" s="4">
        <v>46834</v>
      </c>
      <c r="U45" s="4" t="str">
        <f ca="1">IF(
  _xlfn.XLOOKUP($D45 &amp; "-" &amp; T$2, TrainingMan!$G:$G, TrainingMan!$F:$F, "2-Year") = "Forever",
  "Valid",
  IF(T45="", "Not Trained",
     IF(T45 &lt; TODAY() - 1, "Expired",
        IF(T45 &lt;= TODAY() + 90, "Expiring", "Valid")
     )
  )
)</f>
        <v>Valid</v>
      </c>
      <c r="V45" s="4">
        <v>46834</v>
      </c>
      <c r="W45" s="4" t="str">
        <f ca="1">IF(
  _xlfn.XLOOKUP($D45 &amp; "-" &amp; V$2, TrainingMan!$G:$G, TrainingMan!$F:$F, "2-Year") = "Forever",
  "Valid",
  IF(V45="", "Not Trained",
     IF(V45 &lt; TODAY() - 1, "Expired",
        IF(V45 &lt;= TODAY() + 90, "Expiring", "Valid")
     )
  )
)</f>
        <v>Valid</v>
      </c>
      <c r="X45" s="4">
        <v>46834</v>
      </c>
      <c r="Y45" s="4" t="str">
        <f ca="1">IF(
  _xlfn.XLOOKUP($D45 &amp; "-" &amp; X$2, TrainingMan!$G:$G, TrainingMan!$F:$F, "2-Year") = "Forever",
  "Valid",
  IF(X45="", "Not Trained",
     IF(X45 &lt; TODAY() - 1, "Expired",
        IF(X45 &lt;= TODAY() + 90, "Expiring", "Valid")
     )
  )
)</f>
        <v>Valid</v>
      </c>
      <c r="Z45" s="4">
        <v>45494</v>
      </c>
      <c r="AA45" s="4" t="str">
        <f ca="1">IF(LEN(TRIM(Z45)) = 0, "Not Trained",
  IF(_xlfn.XLOOKUP($D45 &amp; "-" &amp; Z$2, TrainingMan!$G:$G, TrainingMan!$F:$F, "2-Year") = "Forever", "Valid",
    IF(Z45 &lt; TODAY() - 1, "Expired",
      IF(Z45 &lt;= TODAY() + 90, "Expiring", "Valid")
    )
  )
)</f>
        <v>Valid</v>
      </c>
      <c r="AB45" s="4">
        <v>44310</v>
      </c>
      <c r="AC45" s="4">
        <v>44165</v>
      </c>
      <c r="AD45" s="4">
        <v>44617</v>
      </c>
      <c r="AE45" s="4">
        <v>44945</v>
      </c>
      <c r="AF45" s="4">
        <v>45156</v>
      </c>
      <c r="AG45" s="4"/>
      <c r="AH45" s="4"/>
      <c r="AI45" s="4"/>
      <c r="AJ45" s="4"/>
      <c r="AN45" s="4"/>
      <c r="AQ45" s="4"/>
      <c r="AR45" s="4"/>
      <c r="AS45" s="4"/>
      <c r="AT45" s="4"/>
      <c r="AU45" s="4"/>
      <c r="BB45" s="4"/>
      <c r="BC45" s="4" t="s">
        <v>323</v>
      </c>
      <c r="BD45" s="4" t="s">
        <v>328</v>
      </c>
      <c r="BE45" s="4"/>
      <c r="BF45" s="4"/>
      <c r="BG45" s="4"/>
      <c r="BH45" s="4"/>
      <c r="BI45" s="4">
        <v>44125</v>
      </c>
      <c r="BJ45" s="4" t="s">
        <v>144</v>
      </c>
      <c r="BK45" s="4" t="s">
        <v>151</v>
      </c>
      <c r="BL45" s="4"/>
      <c r="BM45" s="4"/>
      <c r="BN45" s="4"/>
      <c r="BO45" s="4"/>
      <c r="BP45" s="4"/>
      <c r="BQ45">
        <f>COUNTIF('TrainingReq (Ach)'!B:B,Table13[[#This Row],[Job Title]])</f>
        <v>15</v>
      </c>
      <c r="BR45" cm="1">
        <f t="array" aca="1" ref="BR4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45" s="5">
        <f t="shared" ca="1" si="0"/>
        <v>0.93333333333333335</v>
      </c>
      <c r="BT45" t="s">
        <v>265</v>
      </c>
      <c r="BU45" t="s">
        <v>247</v>
      </c>
      <c r="BV45" t="s">
        <v>270</v>
      </c>
      <c r="BW45" s="4" t="s">
        <v>144</v>
      </c>
      <c r="BX45" t="s">
        <v>151</v>
      </c>
      <c r="BZ45" t="s">
        <v>379</v>
      </c>
      <c r="CA45">
        <v>2</v>
      </c>
      <c r="CC45" t="s">
        <v>380</v>
      </c>
      <c r="CD45" s="4">
        <v>46938</v>
      </c>
      <c r="CE45" s="4" t="str">
        <f ca="1">IF(
  _xlfn.XLOOKUP($D45 &amp; "-" &amp; CD$2, 'TrainingReq (Ach)'!$G:$G, 'TrainingReq (Ach)'!$F:$F, "2-Year") = "Forever",
  "Valid",
  IF(CD45="", "Not Trained",
     IF(CD45 &lt; TODAY() - 1, "Expired",
        IF(CD45 &lt;= TODAY() + 90, "Expiring", "Valid")
     )
  )
)</f>
        <v>Valid</v>
      </c>
      <c r="CF45" t="s">
        <v>250</v>
      </c>
      <c r="CG45" s="4">
        <v>56009</v>
      </c>
      <c r="CH45" s="4" t="str">
        <f ca="1">IF(
  _xlfn.XLOOKUP($D44 &amp; "-" &amp; CG$2, 'TrainingReq (Ach)'!$G:$G, 'TrainingReq (Ach)'!$F:$F, "2-Year") = "Forever",
  "Valid",
  IF(CG44="", "Not Trained",
     IF(CG44 &lt; TODAY() - 1, "Expired",
        IF(CG44 &lt;= TODAY() + 90, "Expiring", "Valid")
     )
  )
)</f>
        <v>Valid</v>
      </c>
      <c r="CI45" t="str">
        <f t="shared" si="1"/>
        <v>Eligible</v>
      </c>
      <c r="CJ45" t="str">
        <f t="shared" si="2"/>
        <v>Eligible</v>
      </c>
    </row>
    <row r="46" spans="1:88" x14ac:dyDescent="0.25">
      <c r="A46">
        <v>44</v>
      </c>
      <c r="B46">
        <v>583741</v>
      </c>
      <c r="C46" t="s">
        <v>118</v>
      </c>
      <c r="D46" t="s">
        <v>18</v>
      </c>
      <c r="E46" t="s">
        <v>263</v>
      </c>
      <c r="F46" t="s">
        <v>373</v>
      </c>
      <c r="G46" t="s">
        <v>50</v>
      </c>
      <c r="H46" s="4">
        <v>46563</v>
      </c>
      <c r="I46" s="4" t="str">
        <f ca="1">IF(
  _xlfn.XLOOKUP($D46 &amp; "-" &amp; H$2, 'TrainingReq (Ach)'!G:G, 'TrainingReq (Ach)'!F:F, "2-Year") = "Forever",
  "Valid",
  IF(H46="", "Not Trained",
     IF(H46 &lt; TODAY() - 1, "Expired",
        IF(H46 &lt;= TODAY() + 90, "Expiring", "Valid")
     )
  )
)</f>
        <v>Valid</v>
      </c>
      <c r="J46" s="4">
        <v>46563</v>
      </c>
      <c r="K46" s="4" t="str">
        <f ca="1">IF(
  _xlfn.XLOOKUP($D46 &amp; "-" &amp; J$2, 'TrainingReq (Ach)'!G:G, 'TrainingReq (Ach)'!F:F, "2-Year") = "Forever",
  "Valid",
  IF(J46="", "Not Trained",
     IF(J46 &lt; TODAY() - 1, "Expired",
        IF(J46 &lt;= TODAY() + 90, "Expiring", "Valid")
     )
  )
)</f>
        <v>Valid</v>
      </c>
      <c r="L46" s="4">
        <v>46547</v>
      </c>
      <c r="M46" s="4" t="str">
        <f ca="1">IF(
  _xlfn.XLOOKUP($D46 &amp; "-" &amp; L$2, TrainingMan!$G:$G, TrainingMan!$F:$F, "2-Year") = "Forever",
  "Valid",
  IF(L46="", "Not Trained",
     IF(L46 &lt; TODAY() - 1, "Expired",
        IF(L46 &lt;= TODAY() + 90, "Expiring", "Valid")
     )
  )
)</f>
        <v>Valid</v>
      </c>
      <c r="N46" s="4">
        <v>46547</v>
      </c>
      <c r="O46" s="4" t="str">
        <f ca="1">IF(
  _xlfn.XLOOKUP($D46 &amp; "-" &amp; N$2, TrainingMan!$G:$G, TrainingMan!$F:$F, "2-Year") = "Forever",
  "Valid",
  IF(N46="", "Not Trained",
     IF(N46 &lt; TODAY() - 1, "Expired",
        IF(N46 &lt;= TODAY() + 90, "Expiring", "Valid")
     )
  )
)</f>
        <v>Valid</v>
      </c>
      <c r="P46" s="4">
        <v>46547</v>
      </c>
      <c r="Q46" s="4" t="str">
        <f ca="1">IF(
  _xlfn.XLOOKUP($D46 &amp; "-" &amp; P$2, TrainingMan!$G:$G, TrainingMan!$F:$F, "2-Year") = "Forever",
  "Valid",
  IF(P46="", "Not Trained",
     IF(P46 &lt; TODAY() - 1, "Expired",
        IF(P46 &lt;= TODAY() + 90, "Expiring", "Valid")
     )
  )
)</f>
        <v>Valid</v>
      </c>
      <c r="R46" s="4">
        <v>46547</v>
      </c>
      <c r="S46" s="4" t="str">
        <f ca="1">IF(
  _xlfn.XLOOKUP($D46 &amp; "-" &amp; R$2, TrainingMan!$G:$G, TrainingMan!$F:$F, "2-Year") = "Forever",
  "Valid",
  IF(R46="", "Not Trained",
     IF(R46 &lt; TODAY() - 1, "Expired",
        IF(R46 &lt;= TODAY() + 90, "Expiring", "Valid")
     )
  )
)</f>
        <v>Valid</v>
      </c>
      <c r="T46" s="4">
        <v>46547</v>
      </c>
      <c r="U46" s="4" t="str">
        <f ca="1">IF(
  _xlfn.XLOOKUP($D46 &amp; "-" &amp; T$2, TrainingMan!$G:$G, TrainingMan!$F:$F, "2-Year") = "Forever",
  "Valid",
  IF(T46="", "Not Trained",
     IF(T46 &lt; TODAY() - 1, "Expired",
        IF(T46 &lt;= TODAY() + 90, "Expiring", "Valid")
     )
  )
)</f>
        <v>Valid</v>
      </c>
      <c r="V46" s="4">
        <v>46547</v>
      </c>
      <c r="W46" s="4" t="str">
        <f ca="1">IF(
  _xlfn.XLOOKUP($D46 &amp; "-" &amp; V$2, TrainingMan!$G:$G, TrainingMan!$F:$F, "2-Year") = "Forever",
  "Valid",
  IF(V46="", "Not Trained",
     IF(V46 &lt; TODAY() - 1, "Expired",
        IF(V46 &lt;= TODAY() + 90, "Expiring", "Valid")
     )
  )
)</f>
        <v>Valid</v>
      </c>
      <c r="X46" s="4">
        <v>46547</v>
      </c>
      <c r="Y46" s="4" t="str">
        <f ca="1">IF(
  _xlfn.XLOOKUP($D46 &amp; "-" &amp; X$2, TrainingMan!$G:$G, TrainingMan!$F:$F, "2-Year") = "Forever",
  "Valid",
  IF(X46="", "Not Trained",
     IF(X46 &lt; TODAY() - 1, "Expired",
        IF(X46 &lt;= TODAY() + 90, "Expiring", "Valid")
     )
  )
)</f>
        <v>Valid</v>
      </c>
      <c r="Z46" s="4">
        <v>45304</v>
      </c>
      <c r="AA46" s="4" t="str">
        <f ca="1">IF(LEN(TRIM(Z46)) = 0, "Not Trained",
  IF(_xlfn.XLOOKUP($D46 &amp; "-" &amp; Z$2, TrainingMan!$G:$G, TrainingMan!$F:$F, "2-Year") = "Forever", "Valid",
    IF(Z46 &lt; TODAY() - 1, "Expired",
      IF(Z46 &lt;= TODAY() + 90, "Expiring", "Valid")
    )
  )
)</f>
        <v>Valid</v>
      </c>
      <c r="AB46" s="4">
        <v>45500</v>
      </c>
      <c r="AC46" s="4">
        <v>45996</v>
      </c>
      <c r="AD46" s="4">
        <v>45999</v>
      </c>
      <c r="AE46" s="4"/>
      <c r="AF46" s="4"/>
      <c r="AG46" s="4"/>
      <c r="AH46" s="4"/>
      <c r="AI46" s="4"/>
      <c r="AJ46" s="4"/>
      <c r="AN46" s="4"/>
      <c r="AQ46" s="4"/>
      <c r="AR46" s="4"/>
      <c r="AS46" s="4"/>
      <c r="AT46" s="4"/>
      <c r="AU46" s="4"/>
      <c r="BB46" s="4">
        <v>45818</v>
      </c>
      <c r="BC46" s="4" t="s">
        <v>264</v>
      </c>
      <c r="BD46" s="4" t="s">
        <v>381</v>
      </c>
      <c r="BE46" s="4"/>
      <c r="BF46" s="4">
        <v>42996</v>
      </c>
      <c r="BG46" s="4"/>
      <c r="BH46" s="4"/>
      <c r="BI46" s="4">
        <v>45159</v>
      </c>
      <c r="BJ46" s="4" t="s">
        <v>144</v>
      </c>
      <c r="BK46" s="4"/>
      <c r="BL46" s="4"/>
      <c r="BM46" s="4"/>
      <c r="BN46" s="4"/>
      <c r="BO46" s="4"/>
      <c r="BP46" s="4"/>
      <c r="BQ46">
        <f>COUNTIF('TrainingReq (Ach)'!B:B,Table13[[#This Row],[Job Title]])</f>
        <v>15</v>
      </c>
      <c r="BR46" cm="1">
        <f t="array" aca="1" ref="BR4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46" s="5">
        <f t="shared" ca="1" si="0"/>
        <v>1</v>
      </c>
      <c r="BT46" t="s">
        <v>265</v>
      </c>
      <c r="BU46" t="s">
        <v>247</v>
      </c>
      <c r="BW46" s="4" t="s">
        <v>144</v>
      </c>
      <c r="BZ46">
        <v>13884</v>
      </c>
      <c r="CA46">
        <v>1</v>
      </c>
      <c r="CC46" t="s">
        <v>382</v>
      </c>
      <c r="CD46" s="4"/>
      <c r="CE46" s="4" t="str">
        <f ca="1">IF(
  _xlfn.XLOOKUP($D46 &amp; "-" &amp; CD$2, 'TrainingReq (Ach)'!$G:$G, 'TrainingReq (Ach)'!$F:$F, "2-Year") = "Forever",
  "Valid",
  IF(CD46="", "Not Trained",
     IF(CD46 &lt; TODAY() - 1, "Expired",
        IF(CD46 &lt;= TODAY() + 90, "Expiring", "Valid")
     )
  )
)</f>
        <v>Not Trained</v>
      </c>
      <c r="CF46" t="s">
        <v>250</v>
      </c>
      <c r="CG46" s="4">
        <v>56969</v>
      </c>
      <c r="CH46" s="4" t="str">
        <f ca="1">IF(
  _xlfn.XLOOKUP($D45 &amp; "-" &amp; CG$2, 'TrainingReq (Ach)'!$G:$G, 'TrainingReq (Ach)'!$F:$F, "2-Year") = "Forever",
  "Valid",
  IF(CG45="", "Not Trained",
     IF(CG45 &lt; TODAY() - 1, "Expired",
        IF(CG45 &lt;= TODAY() + 90, "Expiring", "Valid")
     )
  )
)</f>
        <v>Valid</v>
      </c>
      <c r="CI46" t="str">
        <f t="shared" si="1"/>
        <v>Eligible</v>
      </c>
      <c r="CJ46" t="str">
        <f t="shared" si="2"/>
        <v>Not eligible</v>
      </c>
    </row>
    <row r="47" spans="1:88" x14ac:dyDescent="0.25">
      <c r="A47">
        <v>45</v>
      </c>
      <c r="B47">
        <v>581711</v>
      </c>
      <c r="C47" t="s">
        <v>83</v>
      </c>
      <c r="D47" t="s">
        <v>6</v>
      </c>
      <c r="E47" t="s">
        <v>243</v>
      </c>
      <c r="F47" t="s">
        <v>373</v>
      </c>
      <c r="G47" t="s">
        <v>50</v>
      </c>
      <c r="H47" s="4">
        <v>46584</v>
      </c>
      <c r="I47" s="4" t="str">
        <f ca="1">IF(
  _xlfn.XLOOKUP($D47 &amp; "-" &amp; H$2, 'TrainingReq (Ach)'!G:G, 'TrainingReq (Ach)'!F:F, "2-Year") = "Forever",
  "Valid",
  IF(H47="", "Not Trained",
     IF(H47 &lt; TODAY() - 1, "Expired",
        IF(H47 &lt;= TODAY() + 90, "Expiring", "Valid")
     )
  )
)</f>
        <v>Valid</v>
      </c>
      <c r="J47" s="4">
        <v>46584</v>
      </c>
      <c r="K47" s="4" t="str">
        <f ca="1">IF(
  _xlfn.XLOOKUP($D47 &amp; "-" &amp; J$2, 'TrainingReq (Ach)'!G:G, 'TrainingReq (Ach)'!F:F, "2-Year") = "Forever",
  "Valid",
  IF(J47="", "Not Trained",
     IF(J47 &lt; TODAY() - 1, "Expired",
        IF(J47 &lt;= TODAY() + 90, "Expiring", "Valid")
     )
  )
)</f>
        <v>Valid</v>
      </c>
      <c r="L47" s="4">
        <v>46233</v>
      </c>
      <c r="M47" s="4" t="str">
        <f ca="1">IF(
  _xlfn.XLOOKUP($D47 &amp; "-" &amp; L$2, TrainingMan!$G:$G, TrainingMan!$F:$F, "2-Year") = "Forever",
  "Valid",
  IF(L47="", "Not Trained",
     IF(L47 &lt; TODAY() - 1, "Expired",
        IF(L47 &lt;= TODAY() + 90, "Expiring", "Valid")
     )
  )
)</f>
        <v>Expired</v>
      </c>
      <c r="N47" s="4">
        <v>46233</v>
      </c>
      <c r="O47" s="4" t="str">
        <f ca="1">IF(
  _xlfn.XLOOKUP($D47 &amp; "-" &amp; N$2, TrainingMan!$G:$G, TrainingMan!$F:$F, "2-Year") = "Forever",
  "Valid",
  IF(N47="", "Not Trained",
     IF(N47 &lt; TODAY() - 1, "Expired",
        IF(N47 &lt;= TODAY() + 90, "Expiring", "Valid")
     )
  )
)</f>
        <v>Expired</v>
      </c>
      <c r="P47" s="4">
        <v>46233</v>
      </c>
      <c r="Q47" s="4" t="str">
        <f ca="1">IF(
  _xlfn.XLOOKUP($D47 &amp; "-" &amp; P$2, TrainingMan!$G:$G, TrainingMan!$F:$F, "2-Year") = "Forever",
  "Valid",
  IF(P47="", "Not Trained",
     IF(P47 &lt; TODAY() - 1, "Expired",
        IF(P47 &lt;= TODAY() + 90, "Expiring", "Valid")
     )
  )
)</f>
        <v>Expired</v>
      </c>
      <c r="R47" s="4">
        <v>46233</v>
      </c>
      <c r="S47" s="4" t="str">
        <f ca="1">IF(
  _xlfn.XLOOKUP($D47 &amp; "-" &amp; R$2, TrainingMan!$G:$G, TrainingMan!$F:$F, "2-Year") = "Forever",
  "Valid",
  IF(R47="", "Not Trained",
     IF(R47 &lt; TODAY() - 1, "Expired",
        IF(R47 &lt;= TODAY() + 90, "Expiring", "Valid")
     )
  )
)</f>
        <v>Expired</v>
      </c>
      <c r="T47" s="4">
        <v>46233</v>
      </c>
      <c r="U47" s="4" t="str">
        <f ca="1">IF(
  _xlfn.XLOOKUP($D47 &amp; "-" &amp; T$2, TrainingMan!$G:$G, TrainingMan!$F:$F, "2-Year") = "Forever",
  "Valid",
  IF(T47="", "Not Trained",
     IF(T47 &lt; TODAY() - 1, "Expired",
        IF(T47 &lt;= TODAY() + 90, "Expiring", "Valid")
     )
  )
)</f>
        <v>Expired</v>
      </c>
      <c r="V47" s="4">
        <v>46233</v>
      </c>
      <c r="W47" s="4" t="str">
        <f ca="1">IF(
  _xlfn.XLOOKUP($D47 &amp; "-" &amp; V$2, TrainingMan!$G:$G, TrainingMan!$F:$F, "2-Year") = "Forever",
  "Valid",
  IF(V47="", "Not Trained",
     IF(V47 &lt; TODAY() - 1, "Expired",
        IF(V47 &lt;= TODAY() + 90, "Expiring", "Valid")
     )
  )
)</f>
        <v>Expired</v>
      </c>
      <c r="X47" s="4">
        <v>46542</v>
      </c>
      <c r="Y47" s="4" t="str">
        <f ca="1">IF(
  _xlfn.XLOOKUP($D47 &amp; "-" &amp; X$2, TrainingMan!$G:$G, TrainingMan!$F:$F, "2-Year") = "Forever",
  "Valid",
  IF(X47="", "Not Trained",
     IF(X47 &lt; TODAY() - 1, "Expired",
        IF(X47 &lt;= TODAY() + 90, "Expiring", "Valid")
     )
  )
)</f>
        <v>Valid</v>
      </c>
      <c r="Z47" s="4">
        <v>44609</v>
      </c>
      <c r="AA47" s="4" t="str">
        <f ca="1">IF(LEN(TRIM(Z47)) = 0, "Not Trained",
  IF(_xlfn.XLOOKUP($D47 &amp; "-" &amp; Z$2, TrainingMan!$G:$G, TrainingMan!$F:$F, "2-Year") = "Forever", "Valid",
    IF(Z47 &lt; TODAY() - 1, "Expired",
      IF(Z47 &lt;= TODAY() + 90, "Expiring", "Valid")
    )
  )
)</f>
        <v>Valid</v>
      </c>
      <c r="AB47" s="4">
        <v>42550</v>
      </c>
      <c r="AC47" s="4">
        <v>43247</v>
      </c>
      <c r="AD47" s="4">
        <v>43562</v>
      </c>
      <c r="AE47" s="4">
        <v>45914</v>
      </c>
      <c r="AF47" s="4">
        <v>45948</v>
      </c>
      <c r="AG47" s="4"/>
      <c r="AH47" s="4"/>
      <c r="AI47" s="4"/>
      <c r="AJ47" s="4"/>
      <c r="AN47" s="4"/>
      <c r="AQ47" s="4"/>
      <c r="AR47" s="4"/>
      <c r="AS47" s="4"/>
      <c r="AT47" s="4"/>
      <c r="AU47" s="4"/>
      <c r="BB47" s="4"/>
      <c r="BC47" s="4" t="s">
        <v>280</v>
      </c>
      <c r="BD47" s="4" t="s">
        <v>383</v>
      </c>
      <c r="BE47" s="4"/>
      <c r="BF47" s="4"/>
      <c r="BG47" s="4"/>
      <c r="BH47" s="4"/>
      <c r="BI47" s="4">
        <v>43005</v>
      </c>
      <c r="BJ47" s="4" t="s">
        <v>145</v>
      </c>
      <c r="BK47" t="s">
        <v>146</v>
      </c>
      <c r="BL47" s="4"/>
      <c r="BM47" s="4"/>
      <c r="BN47" s="4"/>
      <c r="BO47" s="4"/>
      <c r="BP47" s="4"/>
      <c r="BQ47">
        <f>COUNTIF('TrainingReq (Ach)'!B:B,Table13[[#This Row],[Job Title]])</f>
        <v>15</v>
      </c>
      <c r="BR47" cm="1">
        <f t="array" aca="1" ref="BR4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47" s="5">
        <f t="shared" ca="1" si="0"/>
        <v>0.93333333333333335</v>
      </c>
      <c r="BT47" t="s">
        <v>338</v>
      </c>
      <c r="BU47" t="s">
        <v>247</v>
      </c>
      <c r="BV47" t="s">
        <v>276</v>
      </c>
      <c r="BW47" s="4" t="s">
        <v>145</v>
      </c>
      <c r="BX47" t="s">
        <v>146</v>
      </c>
      <c r="BZ47" t="s">
        <v>384</v>
      </c>
      <c r="CA47">
        <v>2</v>
      </c>
      <c r="CC47" t="s">
        <v>385</v>
      </c>
      <c r="CD47" s="4">
        <v>47006</v>
      </c>
      <c r="CE47" s="4" t="str">
        <f ca="1">IF(
  _xlfn.XLOOKUP($D47 &amp; "-" &amp; CD$2, 'TrainingReq (Ach)'!$G:$G, 'TrainingReq (Ach)'!$F:$F, "2-Year") = "Forever",
  "Valid",
  IF(CD47="", "Not Trained",
     IF(CD47 &lt; TODAY() - 1, "Expired",
        IF(CD47 &lt;= TODAY() + 90, "Expiring", "Valid")
     )
  )
)</f>
        <v>Valid</v>
      </c>
      <c r="CF47" t="s">
        <v>250</v>
      </c>
      <c r="CG47" s="4">
        <v>55005</v>
      </c>
      <c r="CH47" s="4" t="str">
        <f ca="1">IF(
  _xlfn.XLOOKUP($D46 &amp; "-" &amp; CG$2, 'TrainingReq (Ach)'!$G:$G, 'TrainingReq (Ach)'!$F:$F, "2-Year") = "Forever",
  "Valid",
  IF(CG46="", "Not Trained",
     IF(CG46 &lt; TODAY() - 1, "Expired",
        IF(CG46 &lt;= TODAY() + 90, "Expiring", "Valid")
     )
  )
)</f>
        <v>Valid</v>
      </c>
      <c r="CI47" t="str">
        <f t="shared" si="1"/>
        <v>Eligible</v>
      </c>
      <c r="CJ47" t="str">
        <f t="shared" si="2"/>
        <v>Eligible</v>
      </c>
    </row>
    <row r="48" spans="1:88" x14ac:dyDescent="0.25">
      <c r="A48">
        <v>46</v>
      </c>
      <c r="B48">
        <v>582594</v>
      </c>
      <c r="C48" t="s">
        <v>82</v>
      </c>
      <c r="D48" t="s">
        <v>18</v>
      </c>
      <c r="E48" t="s">
        <v>263</v>
      </c>
      <c r="F48" t="s">
        <v>373</v>
      </c>
      <c r="G48" t="s">
        <v>50</v>
      </c>
      <c r="H48" s="4">
        <v>46763</v>
      </c>
      <c r="I48" s="4" t="str">
        <f ca="1">IF(
  _xlfn.XLOOKUP($D48 &amp; "-" &amp; H$2, 'TrainingReq (Ach)'!G:G, 'TrainingReq (Ach)'!F:F, "2-Year") = "Forever",
  "Valid",
  IF(H48="", "Not Trained",
     IF(H48 &lt; TODAY() - 1, "Expired",
        IF(H48 &lt;= TODAY() + 90, "Expiring", "Valid")
     )
  )
)</f>
        <v>Valid</v>
      </c>
      <c r="J48" s="4">
        <v>46763</v>
      </c>
      <c r="K48" s="4" t="str">
        <f ca="1">IF(
  _xlfn.XLOOKUP($D48 &amp; "-" &amp; J$2, 'TrainingReq (Ach)'!G:G, 'TrainingReq (Ach)'!F:F, "2-Year") = "Forever",
  "Valid",
  IF(J48="", "Not Trained",
     IF(J48 &lt; TODAY() - 1, "Expired",
        IF(J48 &lt;= TODAY() + 90, "Expiring", "Valid")
     )
  )
)</f>
        <v>Valid</v>
      </c>
      <c r="L48" s="4">
        <v>46363</v>
      </c>
      <c r="M48" s="4" t="str">
        <f ca="1">IF(
  _xlfn.XLOOKUP($D48 &amp; "-" &amp; L$2, TrainingMan!$G:$G, TrainingMan!$F:$F, "2-Year") = "Forever",
  "Valid",
  IF(L48="", "Not Trained",
     IF(L48 &lt; TODAY() - 1, "Expired",
        IF(L48 &lt;= TODAY() + 90, "Expiring", "Valid")
     )
  )
)</f>
        <v>Valid</v>
      </c>
      <c r="N48" s="4">
        <v>46545</v>
      </c>
      <c r="O48" s="4" t="str">
        <f ca="1">IF(
  _xlfn.XLOOKUP($D48 &amp; "-" &amp; N$2, TrainingMan!$G:$G, TrainingMan!$F:$F, "2-Year") = "Forever",
  "Valid",
  IF(N48="", "Not Trained",
     IF(N48 &lt; TODAY() - 1, "Expired",
        IF(N48 &lt;= TODAY() + 90, "Expiring", "Valid")
     )
  )
)</f>
        <v>Valid</v>
      </c>
      <c r="P48" s="4">
        <v>46545</v>
      </c>
      <c r="Q48" s="4" t="str">
        <f ca="1">IF(
  _xlfn.XLOOKUP($D48 &amp; "-" &amp; P$2, TrainingMan!$G:$G, TrainingMan!$F:$F, "2-Year") = "Forever",
  "Valid",
  IF(P48="", "Not Trained",
     IF(P48 &lt; TODAY() - 1, "Expired",
        IF(P48 &lt;= TODAY() + 90, "Expiring", "Valid")
     )
  )
)</f>
        <v>Valid</v>
      </c>
      <c r="R48" s="4">
        <v>46545</v>
      </c>
      <c r="S48" s="4" t="str">
        <f ca="1">IF(
  _xlfn.XLOOKUP($D48 &amp; "-" &amp; R$2, TrainingMan!$G:$G, TrainingMan!$F:$F, "2-Year") = "Forever",
  "Valid",
  IF(R48="", "Not Trained",
     IF(R48 &lt; TODAY() - 1, "Expired",
        IF(R48 &lt;= TODAY() + 90, "Expiring", "Valid")
     )
  )
)</f>
        <v>Valid</v>
      </c>
      <c r="T48" s="4">
        <v>46545</v>
      </c>
      <c r="U48" s="4" t="str">
        <f ca="1">IF(
  _xlfn.XLOOKUP($D48 &amp; "-" &amp; T$2, TrainingMan!$G:$G, TrainingMan!$F:$F, "2-Year") = "Forever",
  "Valid",
  IF(T48="", "Not Trained",
     IF(T48 &lt; TODAY() - 1, "Expired",
        IF(T48 &lt;= TODAY() + 90, "Expiring", "Valid")
     )
  )
)</f>
        <v>Valid</v>
      </c>
      <c r="V48" s="4">
        <v>46848</v>
      </c>
      <c r="W48" s="4" t="str">
        <f ca="1">IF(
  _xlfn.XLOOKUP($D48 &amp; "-" &amp; V$2, TrainingMan!$G:$G, TrainingMan!$F:$F, "2-Year") = "Forever",
  "Valid",
  IF(V48="", "Not Trained",
     IF(V48 &lt; TODAY() - 1, "Expired",
        IF(V48 &lt;= TODAY() + 90, "Expiring", "Valid")
     )
  )
)</f>
        <v>Valid</v>
      </c>
      <c r="X48" s="4">
        <v>46848</v>
      </c>
      <c r="Y48" s="4" t="str">
        <f ca="1">IF(
  _xlfn.XLOOKUP($D48 &amp; "-" &amp; X$2, TrainingMan!$G:$G, TrainingMan!$F:$F, "2-Year") = "Forever",
  "Valid",
  IF(X48="", "Not Trained",
     IF(X48 &lt; TODAY() - 1, "Expired",
        IF(X48 &lt;= TODAY() + 90, "Expiring", "Valid")
     )
  )
)</f>
        <v>Valid</v>
      </c>
      <c r="Z48" s="4">
        <v>45405</v>
      </c>
      <c r="AA48" s="4" t="str">
        <f ca="1">IF(LEN(TRIM(Z48)) = 0, "Not Trained",
  IF(_xlfn.XLOOKUP($D48 &amp; "-" &amp; Z$2, TrainingMan!$G:$G, TrainingMan!$F:$F, "2-Year") = "Forever", "Valid",
    IF(Z48 &lt; TODAY() - 1, "Expired",
      IF(Z48 &lt;= TODAY() + 90, "Expiring", "Valid")
    )
  )
)</f>
        <v>Valid</v>
      </c>
      <c r="AB48" s="4">
        <v>43889</v>
      </c>
      <c r="AC48" s="4">
        <v>45429</v>
      </c>
      <c r="AD48" s="4">
        <v>44736</v>
      </c>
      <c r="AE48" s="4"/>
      <c r="AF48" s="4">
        <v>45455</v>
      </c>
      <c r="AG48" s="4"/>
      <c r="AH48" s="4"/>
      <c r="AI48" s="4"/>
      <c r="AJ48" s="4"/>
      <c r="AN48" s="4"/>
      <c r="AQ48" s="4"/>
      <c r="AR48" s="4"/>
      <c r="AS48" s="4"/>
      <c r="AT48" s="4"/>
      <c r="AU48" s="4"/>
      <c r="BB48" s="4"/>
      <c r="BC48" s="4" t="s">
        <v>386</v>
      </c>
      <c r="BD48" s="4" t="s">
        <v>269</v>
      </c>
      <c r="BE48" s="4"/>
      <c r="BF48" s="4"/>
      <c r="BG48" s="4"/>
      <c r="BH48" s="4"/>
      <c r="BI48" s="4">
        <v>45548</v>
      </c>
      <c r="BJ48" s="4" t="s">
        <v>140</v>
      </c>
      <c r="BK48" s="4"/>
      <c r="BL48" s="4"/>
      <c r="BM48" s="4"/>
      <c r="BN48" s="4"/>
      <c r="BO48" s="4"/>
      <c r="BP48" s="4"/>
      <c r="BQ48">
        <f>COUNTIF('TrainingReq (Ach)'!B:B,Table13[[#This Row],[Job Title]])</f>
        <v>15</v>
      </c>
      <c r="BR48" cm="1">
        <f t="array" aca="1" ref="BR4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48" s="5">
        <f t="shared" ca="1" si="0"/>
        <v>0.93333333333333335</v>
      </c>
      <c r="BT48" t="s">
        <v>265</v>
      </c>
      <c r="BU48" t="s">
        <v>247</v>
      </c>
      <c r="BV48" t="s">
        <v>276</v>
      </c>
      <c r="BW48" s="4"/>
      <c r="CC48" t="s">
        <v>387</v>
      </c>
      <c r="CD48" s="4"/>
      <c r="CE48" s="4" t="str">
        <f ca="1">IF(
  _xlfn.XLOOKUP($D48 &amp; "-" &amp; CD$2, 'TrainingReq (Ach)'!$G:$G, 'TrainingReq (Ach)'!$F:$F, "2-Year") = "Forever",
  "Valid",
  IF(CD48="", "Not Trained",
     IF(CD48 &lt; TODAY() - 1, "Expired",
        IF(CD48 &lt;= TODAY() + 90, "Expiring", "Valid")
     )
  )
)</f>
        <v>Not Trained</v>
      </c>
      <c r="CF48" t="s">
        <v>250</v>
      </c>
      <c r="CG48" s="4">
        <v>55476</v>
      </c>
      <c r="CH48" s="4" t="str">
        <f ca="1">IF(
  _xlfn.XLOOKUP($D47 &amp; "-" &amp; CG$2, 'TrainingReq (Ach)'!$G:$G, 'TrainingReq (Ach)'!$F:$F, "2-Year") = "Forever",
  "Valid",
  IF(CG47="", "Not Trained",
     IF(CG47 &lt; TODAY() - 1, "Expired",
        IF(CG47 &lt;= TODAY() + 90, "Expiring", "Valid")
     )
  )
)</f>
        <v>Valid</v>
      </c>
      <c r="CI48" t="str">
        <f t="shared" si="1"/>
        <v>Not eligible</v>
      </c>
      <c r="CJ48" t="str">
        <f t="shared" si="2"/>
        <v>Not eligible</v>
      </c>
    </row>
    <row r="49" spans="1:88" x14ac:dyDescent="0.25">
      <c r="A49">
        <v>47</v>
      </c>
      <c r="B49">
        <v>582115</v>
      </c>
      <c r="C49" t="s">
        <v>80</v>
      </c>
      <c r="D49" t="s">
        <v>18</v>
      </c>
      <c r="E49" t="s">
        <v>263</v>
      </c>
      <c r="F49" t="s">
        <v>373</v>
      </c>
      <c r="G49" t="s">
        <v>50</v>
      </c>
      <c r="H49" s="4">
        <v>46763</v>
      </c>
      <c r="I49" s="4" t="str">
        <f ca="1">IF(
  _xlfn.XLOOKUP($D49 &amp; "-" &amp; H$2, 'TrainingReq (Ach)'!G:G, 'TrainingReq (Ach)'!F:F, "2-Year") = "Forever",
  "Valid",
  IF(H49="", "Not Trained",
     IF(H49 &lt; TODAY() - 1, "Expired",
        IF(H49 &lt;= TODAY() + 90, "Expiring", "Valid")
     )
  )
)</f>
        <v>Valid</v>
      </c>
      <c r="J49" s="4">
        <v>46763</v>
      </c>
      <c r="K49" s="4" t="str">
        <f ca="1">IF(
  _xlfn.XLOOKUP($D49 &amp; "-" &amp; J$2, 'TrainingReq (Ach)'!G:G, 'TrainingReq (Ach)'!F:F, "2-Year") = "Forever",
  "Valid",
  IF(J49="", "Not Trained",
     IF(J49 &lt; TODAY() - 1, "Expired",
        IF(J49 &lt;= TODAY() + 90, "Expiring", "Valid")
     )
  )
)</f>
        <v>Valid</v>
      </c>
      <c r="L49" s="4">
        <v>46552</v>
      </c>
      <c r="M49" s="4" t="str">
        <f ca="1">IF(
  _xlfn.XLOOKUP($D49 &amp; "-" &amp; L$2, TrainingMan!$G:$G, TrainingMan!$F:$F, "2-Year") = "Forever",
  "Valid",
  IF(L49="", "Not Trained",
     IF(L49 &lt; TODAY() - 1, "Expired",
        IF(L49 &lt;= TODAY() + 90, "Expiring", "Valid")
     )
  )
)</f>
        <v>Valid</v>
      </c>
      <c r="N49" s="4">
        <v>46769</v>
      </c>
      <c r="O49" s="4" t="str">
        <f ca="1">IF(
  _xlfn.XLOOKUP($D49 &amp; "-" &amp; N$2, TrainingMan!$G:$G, TrainingMan!$F:$F, "2-Year") = "Forever",
  "Valid",
  IF(N49="", "Not Trained",
     IF(N49 &lt; TODAY() - 1, "Expired",
        IF(N49 &lt;= TODAY() + 90, "Expiring", "Valid")
     )
  )
)</f>
        <v>Valid</v>
      </c>
      <c r="P49" s="4">
        <v>46769</v>
      </c>
      <c r="Q49" s="4" t="str">
        <f ca="1">IF(
  _xlfn.XLOOKUP($D49 &amp; "-" &amp; P$2, TrainingMan!$G:$G, TrainingMan!$F:$F, "2-Year") = "Forever",
  "Valid",
  IF(P49="", "Not Trained",
     IF(P49 &lt; TODAY() - 1, "Expired",
        IF(P49 &lt;= TODAY() + 90, "Expiring", "Valid")
     )
  )
)</f>
        <v>Valid</v>
      </c>
      <c r="R49" s="4">
        <v>46769</v>
      </c>
      <c r="S49" s="4" t="str">
        <f ca="1">IF(
  _xlfn.XLOOKUP($D49 &amp; "-" &amp; R$2, TrainingMan!$G:$G, TrainingMan!$F:$F, "2-Year") = "Forever",
  "Valid",
  IF(R49="", "Not Trained",
     IF(R49 &lt; TODAY() - 1, "Expired",
        IF(R49 &lt;= TODAY() + 90, "Expiring", "Valid")
     )
  )
)</f>
        <v>Valid</v>
      </c>
      <c r="T49" s="4">
        <v>46769</v>
      </c>
      <c r="U49" s="4" t="str">
        <f ca="1">IF(
  _xlfn.XLOOKUP($D49 &amp; "-" &amp; T$2, TrainingMan!$G:$G, TrainingMan!$F:$F, "2-Year") = "Forever",
  "Valid",
  IF(T49="", "Not Trained",
     IF(T49 &lt; TODAY() - 1, "Expired",
        IF(T49 &lt;= TODAY() + 90, "Expiring", "Valid")
     )
  )
)</f>
        <v>Valid</v>
      </c>
      <c r="V49" s="4">
        <v>46552</v>
      </c>
      <c r="W49" s="4" t="str">
        <f ca="1">IF(
  _xlfn.XLOOKUP($D49 &amp; "-" &amp; V$2, TrainingMan!$G:$G, TrainingMan!$F:$F, "2-Year") = "Forever",
  "Valid",
  IF(V49="", "Not Trained",
     IF(V49 &lt; TODAY() - 1, "Expired",
        IF(V49 &lt;= TODAY() + 90, "Expiring", "Valid")
     )
  )
)</f>
        <v>Valid</v>
      </c>
      <c r="X49" s="4">
        <v>46575</v>
      </c>
      <c r="Y49" s="4" t="str">
        <f ca="1">IF(
  _xlfn.XLOOKUP($D49 &amp; "-" &amp; X$2, TrainingMan!$G:$G, TrainingMan!$F:$F, "2-Year") = "Forever",
  "Valid",
  IF(X49="", "Not Trained",
     IF(X49 &lt; TODAY() - 1, "Expired",
        IF(X49 &lt;= TODAY() + 90, "Expiring", "Valid")
     )
  )
)</f>
        <v>Valid</v>
      </c>
      <c r="Z49" s="4">
        <v>45079</v>
      </c>
      <c r="AA49" s="4" t="str">
        <f ca="1">IF(LEN(TRIM(Z49)) = 0, "Not Trained",
  IF(_xlfn.XLOOKUP($D49 &amp; "-" &amp; Z$2, TrainingMan!$G:$G, TrainingMan!$F:$F, "2-Year") = "Forever", "Valid",
    IF(Z49 &lt; TODAY() - 1, "Expired",
      IF(Z49 &lt;= TODAY() + 90, "Expiring", "Valid")
    )
  )
)</f>
        <v>Valid</v>
      </c>
      <c r="AB49" s="4">
        <v>43736</v>
      </c>
      <c r="AC49" s="4">
        <v>43856</v>
      </c>
      <c r="AD49" s="4">
        <v>43013</v>
      </c>
      <c r="AE49" s="4">
        <v>43902</v>
      </c>
      <c r="AF49" s="4">
        <v>45434</v>
      </c>
      <c r="AG49" s="4"/>
      <c r="AH49" s="4"/>
      <c r="AI49" s="4"/>
      <c r="AJ49" s="4"/>
      <c r="AN49" s="4"/>
      <c r="AQ49" s="4"/>
      <c r="AR49" s="4"/>
      <c r="AS49" s="4"/>
      <c r="AT49" s="4"/>
      <c r="AU49" s="4"/>
      <c r="BB49" s="4">
        <v>46071</v>
      </c>
      <c r="BC49" s="4" t="s">
        <v>388</v>
      </c>
      <c r="BD49" s="4" t="s">
        <v>389</v>
      </c>
      <c r="BE49" s="4"/>
      <c r="BF49" s="4"/>
      <c r="BG49" s="4"/>
      <c r="BH49" s="4"/>
      <c r="BI49" s="4">
        <v>43290</v>
      </c>
      <c r="BJ49" s="4" t="s">
        <v>149</v>
      </c>
      <c r="BK49" s="4" t="s">
        <v>140</v>
      </c>
      <c r="BL49" s="4"/>
      <c r="BM49" s="4"/>
      <c r="BN49" s="4"/>
      <c r="BO49" s="4"/>
      <c r="BP49" s="4"/>
      <c r="BQ49">
        <f>COUNTIF('TrainingReq (Ach)'!B:B,Table13[[#This Row],[Job Title]])</f>
        <v>15</v>
      </c>
      <c r="BR49" cm="1">
        <f t="array" aca="1" ref="BR4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49" s="5">
        <f t="shared" ca="1" si="0"/>
        <v>1</v>
      </c>
      <c r="BT49" t="s">
        <v>265</v>
      </c>
      <c r="BU49" t="s">
        <v>247</v>
      </c>
      <c r="BV49" t="s">
        <v>276</v>
      </c>
      <c r="BW49" s="4" t="s">
        <v>149</v>
      </c>
      <c r="BZ49" t="s">
        <v>390</v>
      </c>
      <c r="CC49" t="s">
        <v>391</v>
      </c>
      <c r="CD49" s="4">
        <v>46778</v>
      </c>
      <c r="CE49" s="4" t="str">
        <f ca="1">IF(
  _xlfn.XLOOKUP($D49 &amp; "-" &amp; CD$2, 'TrainingReq (Ach)'!$G:$G, 'TrainingReq (Ach)'!$F:$F, "2-Year") = "Forever",
  "Valid",
  IF(CD49="", "Not Trained",
     IF(CD49 &lt; TODAY() - 1, "Expired",
        IF(CD49 &lt;= TODAY() + 90, "Expiring", "Valid")
     )
  )
)</f>
        <v>Valid</v>
      </c>
      <c r="CF49" t="s">
        <v>250</v>
      </c>
      <c r="CG49" s="4">
        <v>55500</v>
      </c>
      <c r="CH49" s="4" t="str">
        <f ca="1">IF(
  _xlfn.XLOOKUP($D48 &amp; "-" &amp; CG$2, 'TrainingReq (Ach)'!$G:$G, 'TrainingReq (Ach)'!$F:$F, "2-Year") = "Forever",
  "Valid",
  IF(CG48="", "Not Trained",
     IF(CG48 &lt; TODAY() - 1, "Expired",
        IF(CG48 &lt;= TODAY() + 90, "Expiring", "Valid")
     )
  )
)</f>
        <v>Valid</v>
      </c>
      <c r="CI49" t="str">
        <f t="shared" si="1"/>
        <v>Eligible</v>
      </c>
      <c r="CJ49" t="str">
        <f t="shared" si="2"/>
        <v>Not eligible</v>
      </c>
    </row>
    <row r="50" spans="1:88" x14ac:dyDescent="0.25">
      <c r="A50">
        <v>48</v>
      </c>
      <c r="B50">
        <v>533458</v>
      </c>
      <c r="C50" t="s">
        <v>392</v>
      </c>
      <c r="D50" t="s">
        <v>22</v>
      </c>
      <c r="E50" t="s">
        <v>285</v>
      </c>
      <c r="F50" t="s">
        <v>373</v>
      </c>
      <c r="G50" t="s">
        <v>50</v>
      </c>
      <c r="H50" s="4">
        <v>46323</v>
      </c>
      <c r="I50" s="4" t="str">
        <f ca="1">IF(
  _xlfn.XLOOKUP($D50 &amp; "-" &amp; H$2, 'TrainingReq (Ach)'!G:G, 'TrainingReq (Ach)'!F:F, "2-Year") = "Forever",
  "Valid",
  IF(H50="", "Not Trained",
     IF(H50 &lt; TODAY() - 1, "Expired",
        IF(H50 &lt;= TODAY() + 90, "Expiring", "Valid")
     )
  )
)</f>
        <v>Expiring</v>
      </c>
      <c r="J50" s="4">
        <v>46323</v>
      </c>
      <c r="K50" s="4" t="str">
        <f ca="1">IF(
  _xlfn.XLOOKUP($D50 &amp; "-" &amp; J$2, 'TrainingReq (Ach)'!G:G, 'TrainingReq (Ach)'!F:F, "2-Year") = "Forever",
  "Valid",
  IF(J50="", "Not Trained",
     IF(J50 &lt; TODAY() - 1, "Expired",
        IF(J50 &lt;= TODAY() + 90, "Expiring", "Valid")
     )
  )
)</f>
        <v>Expiring</v>
      </c>
      <c r="L50" s="4">
        <v>45782</v>
      </c>
      <c r="M50" s="4" t="str">
        <f ca="1">IF(
  _xlfn.XLOOKUP($D50 &amp; "-" &amp; L$2, TrainingMan!$G:$G, TrainingMan!$F:$F, "2-Year") = "Forever",
  "Valid",
  IF(L50="", "Not Trained",
     IF(L50 &lt; TODAY() - 1, "Expired",
        IF(L50 &lt;= TODAY() + 90, "Expiring", "Valid")
     )
  )
)</f>
        <v>Valid</v>
      </c>
      <c r="N50" s="4">
        <v>46302</v>
      </c>
      <c r="O50" s="4" t="str">
        <f ca="1">IF(
  _xlfn.XLOOKUP($D50 &amp; "-" &amp; N$2, TrainingMan!$G:$G, TrainingMan!$F:$F, "2-Year") = "Forever",
  "Valid",
  IF(N50="", "Not Trained",
     IF(N50 &lt; TODAY() - 1, "Expired",
        IF(N50 &lt;= TODAY() + 90, "Expiring", "Valid")
     )
  )
)</f>
        <v>Expiring</v>
      </c>
      <c r="P50" s="4">
        <v>46302</v>
      </c>
      <c r="Q50" s="4" t="str">
        <f ca="1">IF(
  _xlfn.XLOOKUP($D50 &amp; "-" &amp; P$2, TrainingMan!$G:$G, TrainingMan!$F:$F, "2-Year") = "Forever",
  "Valid",
  IF(P50="", "Not Trained",
     IF(P50 &lt; TODAY() - 1, "Expired",
        IF(P50 &lt;= TODAY() + 90, "Expiring", "Valid")
     )
  )
)</f>
        <v>Expiring</v>
      </c>
      <c r="R50" s="4">
        <v>46302</v>
      </c>
      <c r="S50" s="4" t="str">
        <f ca="1">IF(
  _xlfn.XLOOKUP($D50 &amp; "-" &amp; R$2, TrainingMan!$G:$G, TrainingMan!$F:$F, "2-Year") = "Forever",
  "Valid",
  IF(R50="", "Not Trained",
     IF(R50 &lt; TODAY() - 1, "Expired",
        IF(R50 &lt;= TODAY() + 90, "Expiring", "Valid")
     )
  )
)</f>
        <v>Expiring</v>
      </c>
      <c r="T50" s="4">
        <v>46575</v>
      </c>
      <c r="U50" s="4" t="str">
        <f ca="1">IF(
  _xlfn.XLOOKUP($D50 &amp; "-" &amp; T$2, TrainingMan!$G:$G, TrainingMan!$F:$F, "2-Year") = "Forever",
  "Valid",
  IF(T50="", "Not Trained",
     IF(T50 &lt; TODAY() - 1, "Expired",
        IF(T50 &lt;= TODAY() + 90, "Expiring", "Valid")
     )
  )
)</f>
        <v>Valid</v>
      </c>
      <c r="V50" s="4">
        <v>46575</v>
      </c>
      <c r="W50" s="4" t="str">
        <f ca="1">IF(
  _xlfn.XLOOKUP($D50 &amp; "-" &amp; V$2, TrainingMan!$G:$G, TrainingMan!$F:$F, "2-Year") = "Forever",
  "Valid",
  IF(V50="", "Not Trained",
     IF(V50 &lt; TODAY() - 1, "Expired",
        IF(V50 &lt;= TODAY() + 90, "Expiring", "Valid")
     )
  )
)</f>
        <v>Valid</v>
      </c>
      <c r="X50" s="4">
        <v>46575</v>
      </c>
      <c r="Y50" s="4" t="str">
        <f ca="1">IF(
  _xlfn.XLOOKUP($D50 &amp; "-" &amp; X$2, TrainingMan!$G:$G, TrainingMan!$F:$F, "2-Year") = "Forever",
  "Valid",
  IF(X50="", "Not Trained",
     IF(X50 &lt; TODAY() - 1, "Expired",
        IF(X50 &lt;= TODAY() + 90, "Expiring", "Valid")
     )
  )
)</f>
        <v>Valid</v>
      </c>
      <c r="Z50" s="4">
        <v>44324</v>
      </c>
      <c r="AA50" s="4" t="str">
        <f ca="1">IF(LEN(TRIM(Z50)) = 0, "Not Trained",
  IF(_xlfn.XLOOKUP($D50 &amp; "-" &amp; Z$2, TrainingMan!$G:$G, TrainingMan!$F:$F, "2-Year") = "Forever", "Valid",
    IF(Z50 &lt; TODAY() - 1, "Expired",
      IF(Z50 &lt;= TODAY() + 90, "Expiring", "Valid")
    )
  )
)</f>
        <v>Valid</v>
      </c>
      <c r="AB50" s="4">
        <v>40851</v>
      </c>
      <c r="AC50" s="4">
        <v>42279</v>
      </c>
      <c r="AD50" s="4">
        <v>42837</v>
      </c>
      <c r="AE50" s="4">
        <v>44434</v>
      </c>
      <c r="AF50" s="4">
        <v>44601</v>
      </c>
      <c r="AG50" s="4"/>
      <c r="AH50" s="4"/>
      <c r="AI50" s="4"/>
      <c r="AJ50" s="4"/>
      <c r="AN50" s="4"/>
      <c r="AP50" s="4">
        <v>45945</v>
      </c>
      <c r="AQ50" s="4">
        <v>46150</v>
      </c>
      <c r="AR50" s="4">
        <v>45836</v>
      </c>
      <c r="AS50" s="4">
        <v>46060</v>
      </c>
      <c r="AT50" s="4"/>
      <c r="AU50" s="4"/>
      <c r="BB50" s="4"/>
      <c r="BC50" s="4" t="s">
        <v>289</v>
      </c>
      <c r="BD50" s="4" t="s">
        <v>393</v>
      </c>
      <c r="BE50" s="4"/>
      <c r="BF50" s="4"/>
      <c r="BG50" s="4"/>
      <c r="BH50" s="4"/>
      <c r="BI50" s="4">
        <v>42842</v>
      </c>
      <c r="BJ50" s="4" t="s">
        <v>144</v>
      </c>
      <c r="BK50" s="4"/>
      <c r="BL50" s="4"/>
      <c r="BM50" s="4"/>
      <c r="BN50" s="4"/>
      <c r="BO50" s="4" t="s">
        <v>394</v>
      </c>
      <c r="BP50" s="4"/>
      <c r="BQ50">
        <f>COUNTIF('TrainingReq (Ach)'!B:B,Table13[[#This Row],[Job Title]])</f>
        <v>14</v>
      </c>
      <c r="BR50" cm="1">
        <f t="array" aca="1" ref="BR5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50" s="5">
        <f t="shared" ca="1" si="0"/>
        <v>1</v>
      </c>
      <c r="BT50" t="s">
        <v>246</v>
      </c>
      <c r="BU50" t="s">
        <v>238</v>
      </c>
      <c r="BV50" t="s">
        <v>256</v>
      </c>
      <c r="BW50" s="4" t="s">
        <v>144</v>
      </c>
      <c r="BZ50" t="s">
        <v>395</v>
      </c>
      <c r="CC50" t="s">
        <v>396</v>
      </c>
      <c r="CD50" s="4">
        <v>47196</v>
      </c>
      <c r="CE50" s="4" t="str">
        <f ca="1">IF(
  _xlfn.XLOOKUP($D50 &amp; "-" &amp; CD$2, 'TrainingReq (Ach)'!$G:$G, 'TrainingReq (Ach)'!$F:$F, "2-Year") = "Forever",
  "Valid",
  IF(CD50="", "Not Trained",
     IF(CD50 &lt; TODAY() - 1, "Expired",
        IF(CD50 &lt;= TODAY() + 90, "Expiring", "Valid")
     )
  )
)</f>
        <v>Valid</v>
      </c>
      <c r="CF50" t="s">
        <v>250</v>
      </c>
      <c r="CG50" s="4">
        <v>53447</v>
      </c>
      <c r="CH50" s="4" t="str">
        <f ca="1">IF(
  _xlfn.XLOOKUP($D49 &amp; "-" &amp; CG$2, 'TrainingReq (Ach)'!$G:$G, 'TrainingReq (Ach)'!$F:$F, "2-Year") = "Forever",
  "Valid",
  IF(CG49="", "Not Trained",
     IF(CG49 &lt; TODAY() - 1, "Expired",
        IF(CG49 &lt;= TODAY() + 90, "Expiring", "Valid")
     )
  )
)</f>
        <v>Valid</v>
      </c>
      <c r="CI50" t="str">
        <f t="shared" si="1"/>
        <v>Eligible</v>
      </c>
      <c r="CJ50" t="str">
        <f t="shared" si="2"/>
        <v>Not eligible</v>
      </c>
    </row>
    <row r="51" spans="1:88" x14ac:dyDescent="0.25">
      <c r="A51">
        <v>49</v>
      </c>
      <c r="B51">
        <v>533502</v>
      </c>
      <c r="C51" t="s">
        <v>397</v>
      </c>
      <c r="D51" t="s">
        <v>6</v>
      </c>
      <c r="E51" t="s">
        <v>243</v>
      </c>
      <c r="F51" t="s">
        <v>373</v>
      </c>
      <c r="G51" t="s">
        <v>50</v>
      </c>
      <c r="H51" s="4">
        <v>46323</v>
      </c>
      <c r="I51" s="4" t="str">
        <f ca="1">IF(
  _xlfn.XLOOKUP($D51 &amp; "-" &amp; H$2, 'TrainingReq (Ach)'!G:G, 'TrainingReq (Ach)'!F:F, "2-Year") = "Forever",
  "Valid",
  IF(H51="", "Not Trained",
     IF(H51 &lt; TODAY() - 1, "Expired",
        IF(H51 &lt;= TODAY() + 90, "Expiring", "Valid")
     )
  )
)</f>
        <v>Expiring</v>
      </c>
      <c r="J51" s="4">
        <v>46323</v>
      </c>
      <c r="K51" s="4" t="str">
        <f ca="1">IF(
  _xlfn.XLOOKUP($D51 &amp; "-" &amp; J$2, 'TrainingReq (Ach)'!G:G, 'TrainingReq (Ach)'!F:F, "2-Year") = "Forever",
  "Valid",
  IF(J51="", "Not Trained",
     IF(J51 &lt; TODAY() - 1, "Expired",
        IF(J51 &lt;= TODAY() + 90, "Expiring", "Valid")
     )
  )
)</f>
        <v>Expiring</v>
      </c>
      <c r="L51" s="4">
        <v>46597</v>
      </c>
      <c r="M51" s="4" t="str">
        <f ca="1">IF(
  _xlfn.XLOOKUP($D51 &amp; "-" &amp; L$2, TrainingMan!$G:$G, TrainingMan!$F:$F, "2-Year") = "Forever",
  "Valid",
  IF(L51="", "Not Trained",
     IF(L51 &lt; TODAY() - 1, "Expired",
        IF(L51 &lt;= TODAY() + 90, "Expiring", "Valid")
     )
  )
)</f>
        <v>Valid</v>
      </c>
      <c r="N51" s="4">
        <v>46597</v>
      </c>
      <c r="O51" s="4" t="str">
        <f ca="1">IF(
  _xlfn.XLOOKUP($D51 &amp; "-" &amp; N$2, TrainingMan!$G:$G, TrainingMan!$F:$F, "2-Year") = "Forever",
  "Valid",
  IF(N51="", "Not Trained",
     IF(N51 &lt; TODAY() - 1, "Expired",
        IF(N51 &lt;= TODAY() + 90, "Expiring", "Valid")
     )
  )
)</f>
        <v>Valid</v>
      </c>
      <c r="P51" s="4">
        <v>46597</v>
      </c>
      <c r="Q51" s="4" t="str">
        <f ca="1">IF(
  _xlfn.XLOOKUP($D51 &amp; "-" &amp; P$2, TrainingMan!$G:$G, TrainingMan!$F:$F, "2-Year") = "Forever",
  "Valid",
  IF(P51="", "Not Trained",
     IF(P51 &lt; TODAY() - 1, "Expired",
        IF(P51 &lt;= TODAY() + 90, "Expiring", "Valid")
     )
  )
)</f>
        <v>Valid</v>
      </c>
      <c r="R51" s="4">
        <v>46597</v>
      </c>
      <c r="S51" s="4" t="str">
        <f ca="1">IF(
  _xlfn.XLOOKUP($D51 &amp; "-" &amp; R$2, TrainingMan!$G:$G, TrainingMan!$F:$F, "2-Year") = "Forever",
  "Valid",
  IF(R51="", "Not Trained",
     IF(R51 &lt; TODAY() - 1, "Expired",
        IF(R51 &lt;= TODAY() + 90, "Expiring", "Valid")
     )
  )
)</f>
        <v>Valid</v>
      </c>
      <c r="T51" s="4">
        <v>46597</v>
      </c>
      <c r="U51" s="4" t="str">
        <f ca="1">IF(
  _xlfn.XLOOKUP($D51 &amp; "-" &amp; T$2, TrainingMan!$G:$G, TrainingMan!$F:$F, "2-Year") = "Forever",
  "Valid",
  IF(T51="", "Not Trained",
     IF(T51 &lt; TODAY() - 1, "Expired",
        IF(T51 &lt;= TODAY() + 90, "Expiring", "Valid")
     )
  )
)</f>
        <v>Valid</v>
      </c>
      <c r="V51" s="4">
        <v>46597</v>
      </c>
      <c r="W51" s="4" t="str">
        <f ca="1">IF(
  _xlfn.XLOOKUP($D51 &amp; "-" &amp; V$2, TrainingMan!$G:$G, TrainingMan!$F:$F, "2-Year") = "Forever",
  "Valid",
  IF(V51="", "Not Trained",
     IF(V51 &lt; TODAY() - 1, "Expired",
        IF(V51 &lt;= TODAY() + 90, "Expiring", "Valid")
     )
  )
)</f>
        <v>Valid</v>
      </c>
      <c r="X51" s="4">
        <v>46597</v>
      </c>
      <c r="Y51" s="4" t="str">
        <f ca="1">IF(
  _xlfn.XLOOKUP($D51 &amp; "-" &amp; X$2, TrainingMan!$G:$G, TrainingMan!$F:$F, "2-Year") = "Forever",
  "Valid",
  IF(X51="", "Not Trained",
     IF(X51 &lt; TODAY() - 1, "Expired",
        IF(X51 &lt;= TODAY() + 90, "Expiring", "Valid")
     )
  )
)</f>
        <v>Valid</v>
      </c>
      <c r="Z51" s="4">
        <v>45174</v>
      </c>
      <c r="AA51" s="4" t="str">
        <f ca="1">IF(LEN(TRIM(Z51)) = 0, "Not Trained",
  IF(_xlfn.XLOOKUP($D51 &amp; "-" &amp; Z$2, TrainingMan!$G:$G, TrainingMan!$F:$F, "2-Year") = "Forever", "Valid",
    IF(Z51 &lt; TODAY() - 1, "Expired",
      IF(Z51 &lt;= TODAY() + 90, "Expiring", "Valid")
    )
  )
)</f>
        <v>Valid</v>
      </c>
      <c r="AB51" s="4">
        <v>40856</v>
      </c>
      <c r="AC51" s="4">
        <v>43653</v>
      </c>
      <c r="AD51" s="4">
        <v>43934</v>
      </c>
      <c r="AE51" s="4">
        <v>45712</v>
      </c>
      <c r="AF51" s="4">
        <v>44861</v>
      </c>
      <c r="AG51" s="4"/>
      <c r="AH51" s="4"/>
      <c r="AI51" s="4"/>
      <c r="AJ51" s="4"/>
      <c r="AN51" s="4"/>
      <c r="AQ51" s="4"/>
      <c r="AR51" s="4"/>
      <c r="AS51" s="4"/>
      <c r="AT51" s="4"/>
      <c r="AU51" s="4"/>
      <c r="BB51" s="4"/>
      <c r="BC51" s="4"/>
      <c r="BD51" s="4" t="s">
        <v>393</v>
      </c>
      <c r="BE51" s="4"/>
      <c r="BF51" s="4"/>
      <c r="BG51" s="4"/>
      <c r="BH51" s="4"/>
      <c r="BI51" s="4">
        <v>43017</v>
      </c>
      <c r="BJ51" s="4" t="s">
        <v>151</v>
      </c>
      <c r="BK51" s="4" t="s">
        <v>145</v>
      </c>
      <c r="BL51" s="4"/>
      <c r="BM51" s="4"/>
      <c r="BN51" s="4"/>
      <c r="BO51" s="4"/>
      <c r="BP51" s="4"/>
      <c r="BQ51">
        <f>COUNTIF('TrainingReq (Ach)'!B:B,Table13[[#This Row],[Job Title]])</f>
        <v>15</v>
      </c>
      <c r="BR51" cm="1">
        <f t="array" aca="1" ref="BR5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51" s="5">
        <f t="shared" ca="1" si="0"/>
        <v>0.93333333333333335</v>
      </c>
      <c r="BT51" t="s">
        <v>338</v>
      </c>
      <c r="BU51" t="s">
        <v>247</v>
      </c>
      <c r="BV51" t="s">
        <v>256</v>
      </c>
      <c r="BW51" s="4" t="s">
        <v>151</v>
      </c>
      <c r="BZ51" t="s">
        <v>398</v>
      </c>
      <c r="CA51">
        <v>1</v>
      </c>
      <c r="CC51" t="s">
        <v>399</v>
      </c>
      <c r="CD51" s="4">
        <v>46771</v>
      </c>
      <c r="CE51" s="4" t="str">
        <f ca="1">IF(
  _xlfn.XLOOKUP($D51 &amp; "-" &amp; CD$2, 'TrainingReq (Ach)'!$G:$G, 'TrainingReq (Ach)'!$F:$F, "2-Year") = "Forever",
  "Valid",
  IF(CD51="", "Not Trained",
     IF(CD51 &lt; TODAY() - 1, "Expired",
        IF(CD51 &lt;= TODAY() + 90, "Expiring", "Valid")
     )
  )
)</f>
        <v>Valid</v>
      </c>
      <c r="CF51" t="s">
        <v>250</v>
      </c>
      <c r="CG51" s="4">
        <v>53880</v>
      </c>
      <c r="CH51" s="4" t="str">
        <f ca="1">IF(
  _xlfn.XLOOKUP($D50 &amp; "-" &amp; CG$2, 'TrainingReq (Ach)'!$G:$G, 'TrainingReq (Ach)'!$F:$F, "2-Year") = "Forever",
  "Valid",
  IF(CG50="", "Not Trained",
     IF(CG50 &lt; TODAY() - 1, "Expired",
        IF(CG50 &lt;= TODAY() + 90, "Expiring", "Valid")
     )
  )
)</f>
        <v>Valid</v>
      </c>
      <c r="CI51" t="str">
        <f t="shared" si="1"/>
        <v>Eligible</v>
      </c>
      <c r="CJ51" t="str">
        <f t="shared" si="2"/>
        <v>Not eligible</v>
      </c>
    </row>
    <row r="52" spans="1:88" x14ac:dyDescent="0.25">
      <c r="A52">
        <v>50</v>
      </c>
      <c r="B52">
        <v>533470</v>
      </c>
      <c r="C52" t="s">
        <v>400</v>
      </c>
      <c r="D52" t="s">
        <v>6</v>
      </c>
      <c r="E52" t="s">
        <v>243</v>
      </c>
      <c r="F52" t="s">
        <v>373</v>
      </c>
      <c r="G52" t="s">
        <v>50</v>
      </c>
      <c r="H52" s="4">
        <v>46323</v>
      </c>
      <c r="I52" s="4" t="str">
        <f ca="1">IF(
  _xlfn.XLOOKUP($D52 &amp; "-" &amp; H$2, 'TrainingReq (Ach)'!G:G, 'TrainingReq (Ach)'!F:F, "2-Year") = "Forever",
  "Valid",
  IF(H52="", "Not Trained",
     IF(H52 &lt; TODAY() - 1, "Expired",
        IF(H52 &lt;= TODAY() + 90, "Expiring", "Valid")
     )
  )
)</f>
        <v>Expiring</v>
      </c>
      <c r="J52" s="4">
        <v>46323</v>
      </c>
      <c r="K52" s="4" t="str">
        <f ca="1">IF(
  _xlfn.XLOOKUP($D52 &amp; "-" &amp; J$2, 'TrainingReq (Ach)'!G:G, 'TrainingReq (Ach)'!F:F, "2-Year") = "Forever",
  "Valid",
  IF(J52="", "Not Trained",
     IF(J52 &lt; TODAY() - 1, "Expired",
        IF(J52 &lt;= TODAY() + 90, "Expiring", "Valid")
     )
  )
)</f>
        <v>Expiring</v>
      </c>
      <c r="L52" s="4">
        <v>46341</v>
      </c>
      <c r="M52" s="4" t="str">
        <f ca="1">IF(
  _xlfn.XLOOKUP($D52 &amp; "-" &amp; L$2, TrainingMan!$G:$G, TrainingMan!$F:$F, "2-Year") = "Forever",
  "Valid",
  IF(L52="", "Not Trained",
     IF(L52 &lt; TODAY() - 1, "Expired",
        IF(L52 &lt;= TODAY() + 90, "Expiring", "Valid")
     )
  )
)</f>
        <v>Expiring</v>
      </c>
      <c r="N52" s="4">
        <v>46340</v>
      </c>
      <c r="O52" s="4" t="str">
        <f ca="1">IF(
  _xlfn.XLOOKUP($D52 &amp; "-" &amp; N$2, TrainingMan!$G:$G, TrainingMan!$F:$F, "2-Year") = "Forever",
  "Valid",
  IF(N52="", "Not Trained",
     IF(N52 &lt; TODAY() - 1, "Expired",
        IF(N52 &lt;= TODAY() + 90, "Expiring", "Valid")
     )
  )
)</f>
        <v>Expiring</v>
      </c>
      <c r="P52" s="4">
        <v>46341</v>
      </c>
      <c r="Q52" s="4" t="str">
        <f ca="1">IF(
  _xlfn.XLOOKUP($D52 &amp; "-" &amp; P$2, TrainingMan!$G:$G, TrainingMan!$F:$F, "2-Year") = "Forever",
  "Valid",
  IF(P52="", "Not Trained",
     IF(P52 &lt; TODAY() - 1, "Expired",
        IF(P52 &lt;= TODAY() + 90, "Expiring", "Valid")
     )
  )
)</f>
        <v>Expiring</v>
      </c>
      <c r="R52" s="4">
        <v>46340</v>
      </c>
      <c r="S52" s="4" t="str">
        <f ca="1">IF(
  _xlfn.XLOOKUP($D52 &amp; "-" &amp; R$2, TrainingMan!$G:$G, TrainingMan!$F:$F, "2-Year") = "Forever",
  "Valid",
  IF(R52="", "Not Trained",
     IF(R52 &lt; TODAY() - 1, "Expired",
        IF(R52 &lt;= TODAY() + 90, "Expiring", "Valid")
     )
  )
)</f>
        <v>Expiring</v>
      </c>
      <c r="T52" s="4">
        <v>46341</v>
      </c>
      <c r="U52" s="4" t="str">
        <f ca="1">IF(
  _xlfn.XLOOKUP($D52 &amp; "-" &amp; T$2, TrainingMan!$G:$G, TrainingMan!$F:$F, "2-Year") = "Forever",
  "Valid",
  IF(T52="", "Not Trained",
     IF(T52 &lt; TODAY() - 1, "Expired",
        IF(T52 &lt;= TODAY() + 90, "Expiring", "Valid")
     )
  )
)</f>
        <v>Expiring</v>
      </c>
      <c r="V52" s="4">
        <v>46340</v>
      </c>
      <c r="W52" s="4" t="str">
        <f ca="1">IF(
  _xlfn.XLOOKUP($D52 &amp; "-" &amp; V$2, TrainingMan!$G:$G, TrainingMan!$F:$F, "2-Year") = "Forever",
  "Valid",
  IF(V52="", "Not Trained",
     IF(V52 &lt; TODAY() - 1, "Expired",
        IF(V52 &lt;= TODAY() + 90, "Expiring", "Valid")
     )
  )
)</f>
        <v>Expiring</v>
      </c>
      <c r="X52" s="4">
        <v>46341</v>
      </c>
      <c r="Y52" s="4" t="str">
        <f ca="1">IF(
  _xlfn.XLOOKUP($D52 &amp; "-" &amp; X$2, TrainingMan!$G:$G, TrainingMan!$F:$F, "2-Year") = "Forever",
  "Valid",
  IF(X52="", "Not Trained",
     IF(X52 &lt; TODAY() - 1, "Expired",
        IF(X52 &lt;= TODAY() + 90, "Expiring", "Valid")
     )
  )
)</f>
        <v>Expiring</v>
      </c>
      <c r="Z52" s="4">
        <v>44981</v>
      </c>
      <c r="AA52" s="4" t="str">
        <f ca="1">IF(LEN(TRIM(Z52)) = 0, "Not Trained",
  IF(_xlfn.XLOOKUP($D52 &amp; "-" &amp; Z$2, TrainingMan!$G:$G, TrainingMan!$F:$F, "2-Year") = "Forever", "Valid",
    IF(Z52 &lt; TODAY() - 1, "Expired",
      IF(Z52 &lt;= TODAY() + 90, "Expiring", "Valid")
    )
  )
)</f>
        <v>Valid</v>
      </c>
      <c r="AB52" s="4">
        <v>40851</v>
      </c>
      <c r="AC52" s="4">
        <v>43394</v>
      </c>
      <c r="AD52" s="4">
        <v>43555</v>
      </c>
      <c r="AE52" s="4">
        <v>45355</v>
      </c>
      <c r="AF52" s="4">
        <v>44861</v>
      </c>
      <c r="AG52" s="4"/>
      <c r="AH52" s="4"/>
      <c r="AI52" s="4"/>
      <c r="AJ52" s="4"/>
      <c r="AN52" s="4"/>
      <c r="AQ52" s="4"/>
      <c r="AR52" s="4"/>
      <c r="AS52" s="4"/>
      <c r="AT52" s="4"/>
      <c r="AU52" s="4"/>
      <c r="BB52" s="4"/>
      <c r="BC52" s="4"/>
      <c r="BD52" s="4" t="s">
        <v>393</v>
      </c>
      <c r="BE52" s="4"/>
      <c r="BF52" s="4"/>
      <c r="BG52" s="4"/>
      <c r="BH52" s="4"/>
      <c r="BI52" s="4">
        <v>42387</v>
      </c>
      <c r="BJ52" s="4" t="s">
        <v>144</v>
      </c>
      <c r="BK52" s="4"/>
      <c r="BL52" s="4"/>
      <c r="BM52" s="4"/>
      <c r="BN52" s="4" t="s">
        <v>401</v>
      </c>
      <c r="BO52" s="4"/>
      <c r="BP52" s="4"/>
      <c r="BQ52">
        <f>COUNTIF('TrainingReq (Ach)'!B:B,Table13[[#This Row],[Job Title]])</f>
        <v>15</v>
      </c>
      <c r="BR52" cm="1">
        <f t="array" aca="1" ref="BR5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52" s="5">
        <f t="shared" ca="1" si="0"/>
        <v>0.93333333333333335</v>
      </c>
      <c r="BT52" t="s">
        <v>338</v>
      </c>
      <c r="BU52" t="s">
        <v>247</v>
      </c>
      <c r="BV52" t="s">
        <v>270</v>
      </c>
      <c r="BW52" s="4" t="s">
        <v>144</v>
      </c>
      <c r="BZ52" t="s">
        <v>402</v>
      </c>
      <c r="CA52">
        <v>1</v>
      </c>
      <c r="CC52" t="s">
        <v>403</v>
      </c>
      <c r="CD52" s="4">
        <v>46988</v>
      </c>
      <c r="CE52" s="4" t="str">
        <f ca="1">IF(
  _xlfn.XLOOKUP($D52 &amp; "-" &amp; CD$2, 'TrainingReq (Ach)'!$G:$G, 'TrainingReq (Ach)'!$F:$F, "2-Year") = "Forever",
  "Valid",
  IF(CD52="", "Not Trained",
     IF(CD52 &lt; TODAY() - 1, "Expired",
        IF(CD52 &lt;= TODAY() + 90, "Expiring", "Valid")
     )
  )
)</f>
        <v>Valid</v>
      </c>
      <c r="CF52" t="s">
        <v>250</v>
      </c>
      <c r="CG52" s="4">
        <v>52276</v>
      </c>
      <c r="CH52" s="4" t="str">
        <f ca="1">IF(
  _xlfn.XLOOKUP($D51 &amp; "-" &amp; CG$2, 'TrainingReq (Ach)'!$G:$G, 'TrainingReq (Ach)'!$F:$F, "2-Year") = "Forever",
  "Valid",
  IF(CG51="", "Not Trained",
     IF(CG51 &lt; TODAY() - 1, "Expired",
        IF(CG51 &lt;= TODAY() + 90, "Expiring", "Valid")
     )
  )
)</f>
        <v>Valid</v>
      </c>
      <c r="CI52" t="str">
        <f t="shared" si="1"/>
        <v>Eligible</v>
      </c>
      <c r="CJ52" t="str">
        <f t="shared" si="2"/>
        <v>Not eligible</v>
      </c>
    </row>
    <row r="53" spans="1:88" x14ac:dyDescent="0.25">
      <c r="A53">
        <v>51</v>
      </c>
      <c r="B53">
        <v>584250</v>
      </c>
      <c r="C53" t="s">
        <v>404</v>
      </c>
      <c r="D53" t="s">
        <v>15</v>
      </c>
      <c r="E53" t="s">
        <v>263</v>
      </c>
      <c r="F53" t="s">
        <v>373</v>
      </c>
      <c r="G53" t="s">
        <v>50</v>
      </c>
      <c r="H53" s="4">
        <v>46409</v>
      </c>
      <c r="I53" s="4" t="str">
        <f ca="1">IF(
  _xlfn.XLOOKUP($D53 &amp; "-" &amp; H$2, 'TrainingReq (Ach)'!G:G, 'TrainingReq (Ach)'!F:F, "2-Year") = "Forever",
  "Valid",
  IF(H53="", "Not Trained",
     IF(H53 &lt; TODAY() - 1, "Expired",
        IF(H53 &lt;= TODAY() + 90, "Expiring", "Valid")
     )
  )
)</f>
        <v>Valid</v>
      </c>
      <c r="J53" s="4">
        <v>46432</v>
      </c>
      <c r="K53" s="4" t="str">
        <f ca="1">IF(
  _xlfn.XLOOKUP($D53 &amp; "-" &amp; J$2, 'TrainingReq (Ach)'!G:G, 'TrainingReq (Ach)'!F:F, "2-Year") = "Forever",
  "Valid",
  IF(J53="", "Not Trained",
     IF(J53 &lt; TODAY() - 1, "Expired",
        IF(J53 &lt;= TODAY() + 90, "Expiring", "Valid")
     )
  )
)</f>
        <v>Valid</v>
      </c>
      <c r="L53" s="4">
        <v>46451</v>
      </c>
      <c r="M53" s="4" t="str">
        <f ca="1">IF(
  _xlfn.XLOOKUP($D53 &amp; "-" &amp; L$2, TrainingMan!$G:$G, TrainingMan!$F:$F, "2-Year") = "Forever",
  "Valid",
  IF(L53="", "Not Trained",
     IF(L53 &lt; TODAY() - 1, "Expired",
        IF(L53 &lt;= TODAY() + 90, "Expiring", "Valid")
     )
  )
)</f>
        <v>Valid</v>
      </c>
      <c r="N53" s="4">
        <v>46456</v>
      </c>
      <c r="O53" s="4" t="str">
        <f ca="1">IF(
  _xlfn.XLOOKUP($D53 &amp; "-" &amp; N$2, TrainingMan!$G:$G, TrainingMan!$F:$F, "2-Year") = "Forever",
  "Valid",
  IF(N53="", "Not Trained",
     IF(N53 &lt; TODAY() - 1, "Expired",
        IF(N53 &lt;= TODAY() + 90, "Expiring", "Valid")
     )
  )
)</f>
        <v>Valid</v>
      </c>
      <c r="P53" s="4">
        <v>46456</v>
      </c>
      <c r="Q53" s="4" t="str">
        <f ca="1">IF(
  _xlfn.XLOOKUP($D53 &amp; "-" &amp; P$2, TrainingMan!$G:$G, TrainingMan!$F:$F, "2-Year") = "Forever",
  "Valid",
  IF(P53="", "Not Trained",
     IF(P53 &lt; TODAY() - 1, "Expired",
        IF(P53 &lt;= TODAY() + 90, "Expiring", "Valid")
     )
  )
)</f>
        <v>Valid</v>
      </c>
      <c r="R53" s="4">
        <v>46456</v>
      </c>
      <c r="S53" s="4" t="str">
        <f ca="1">IF(
  _xlfn.XLOOKUP($D53 &amp; "-" &amp; R$2, TrainingMan!$G:$G, TrainingMan!$F:$F, "2-Year") = "Forever",
  "Valid",
  IF(R53="", "Not Trained",
     IF(R53 &lt; TODAY() - 1, "Expired",
        IF(R53 &lt;= TODAY() + 90, "Expiring", "Valid")
     )
  )
)</f>
        <v>Valid</v>
      </c>
      <c r="T53" s="4">
        <v>46457</v>
      </c>
      <c r="U53" s="4" t="str">
        <f ca="1">IF(
  _xlfn.XLOOKUP($D53 &amp; "-" &amp; T$2, TrainingMan!$G:$G, TrainingMan!$F:$F, "2-Year") = "Forever",
  "Valid",
  IF(T53="", "Not Trained",
     IF(T53 &lt; TODAY() - 1, "Expired",
        IF(T53 &lt;= TODAY() + 90, "Expiring", "Valid")
     )
  )
)</f>
        <v>Valid</v>
      </c>
      <c r="V53" s="4">
        <v>46404</v>
      </c>
      <c r="W53" s="4" t="str">
        <f ca="1">IF(
  _xlfn.XLOOKUP($D53 &amp; "-" &amp; V$2, TrainingMan!$G:$G, TrainingMan!$F:$F, "2-Year") = "Forever",
  "Valid",
  IF(V53="", "Not Trained",
     IF(V53 &lt; TODAY() - 1, "Expired",
        IF(V53 &lt;= TODAY() + 90, "Expiring", "Valid")
     )
  )
)</f>
        <v>Valid</v>
      </c>
      <c r="X53" s="4">
        <v>46501</v>
      </c>
      <c r="Y53" s="4" t="str">
        <f ca="1">IF(
  _xlfn.XLOOKUP($D53 &amp; "-" &amp; X$2, TrainingMan!$G:$G, TrainingMan!$F:$F, "2-Year") = "Forever",
  "Valid",
  IF(X53="", "Not Trained",
     IF(X53 &lt; TODAY() - 1, "Expired",
        IF(X53 &lt;= TODAY() + 90, "Expiring", "Valid")
     )
  )
)</f>
        <v>Valid</v>
      </c>
      <c r="Z53" s="4">
        <v>46568</v>
      </c>
      <c r="AA53" s="4" t="str">
        <f ca="1">IF(LEN(TRIM(Z53)) = 0, "Not Trained",
  IF(_xlfn.XLOOKUP($D53 &amp; "-" &amp; Z$2, TrainingMan!$G:$G, TrainingMan!$F:$F, "2-Year") = "Forever", "Valid",
    IF(Z53 &lt; TODAY() - 1, "Expired",
      IF(Z53 &lt;= TODAY() + 90, "Expiring", "Valid")
    )
  )
)</f>
        <v>Valid</v>
      </c>
      <c r="AB53" s="4">
        <v>46376</v>
      </c>
      <c r="AC53" s="4"/>
      <c r="AD53" s="4"/>
      <c r="AE53" s="4"/>
      <c r="AF53" s="4"/>
      <c r="AG53" s="4"/>
      <c r="AH53" s="4"/>
      <c r="AI53" s="4"/>
      <c r="AJ53" s="4">
        <v>46043</v>
      </c>
      <c r="AN53" s="4"/>
      <c r="AQ53" s="4"/>
      <c r="AR53" s="4"/>
      <c r="AS53" s="4"/>
      <c r="AT53" s="4"/>
      <c r="AU53" s="4"/>
      <c r="BB53" s="4">
        <v>45818</v>
      </c>
      <c r="BC53" s="4"/>
      <c r="BD53" s="4" t="s">
        <v>300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>
        <f>COUNTIF('TrainingReq (Ach)'!B:B,Table13[[#This Row],[Job Title]])</f>
        <v>13</v>
      </c>
      <c r="BR53" cm="1">
        <f t="array" aca="1" ref="BR5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53" s="5">
        <f t="shared" ca="1" si="0"/>
        <v>0.92307692307692313</v>
      </c>
      <c r="BT53" t="s">
        <v>301</v>
      </c>
      <c r="BU53" t="s">
        <v>247</v>
      </c>
      <c r="BV53" t="s">
        <v>270</v>
      </c>
      <c r="BW53" s="4"/>
      <c r="CC53" t="s">
        <v>405</v>
      </c>
      <c r="CD53" s="4"/>
      <c r="CE53" s="4" t="str">
        <f ca="1">IF(
  _xlfn.XLOOKUP($D53 &amp; "-" &amp; CD$2, 'TrainingReq (Ach)'!$G:$G, 'TrainingReq (Ach)'!$F:$F, "2-Year") = "Forever",
  "Valid",
  IF(CD53="", "Not Trained",
     IF(CD53 &lt; TODAY() - 1, "Expired",
        IF(CD53 &lt;= TODAY() + 90, "Expiring", "Valid")
     )
  )
)</f>
        <v>Not Trained</v>
      </c>
      <c r="CF53" t="s">
        <v>250</v>
      </c>
      <c r="CG53" s="4"/>
      <c r="CH53" s="4" t="str">
        <f ca="1">IF(
  _xlfn.XLOOKUP($D52 &amp; "-" &amp; CG$2, 'TrainingReq (Ach)'!$G:$G, 'TrainingReq (Ach)'!$F:$F, "2-Year") = "Forever",
  "Valid",
  IF(CG52="", "Not Trained",
     IF(CG52 &lt; TODAY() - 1, "Expired",
        IF(CG52 &lt;= TODAY() + 90, "Expiring", "Valid")
     )
  )
)</f>
        <v>Valid</v>
      </c>
      <c r="CI53" t="str">
        <f t="shared" si="1"/>
        <v>Not eligible</v>
      </c>
      <c r="CJ53" t="str">
        <f t="shared" si="2"/>
        <v>Not eligible</v>
      </c>
    </row>
    <row r="54" spans="1:88" x14ac:dyDescent="0.25">
      <c r="A54">
        <v>52</v>
      </c>
      <c r="B54">
        <v>581608</v>
      </c>
      <c r="C54" t="s">
        <v>406</v>
      </c>
      <c r="D54" t="s">
        <v>15</v>
      </c>
      <c r="E54" t="s">
        <v>292</v>
      </c>
      <c r="F54" t="s">
        <v>373</v>
      </c>
      <c r="G54" t="s">
        <v>50</v>
      </c>
      <c r="H54" s="4">
        <v>46422</v>
      </c>
      <c r="I54" s="4" t="str">
        <f ca="1">IF(
  _xlfn.XLOOKUP($D54 &amp; "-" &amp; H$2, 'TrainingReq (Ach)'!G:G, 'TrainingReq (Ach)'!F:F, "2-Year") = "Forever",
  "Valid",
  IF(H54="", "Not Trained",
     IF(H54 &lt; TODAY() - 1, "Expired",
        IF(H54 &lt;= TODAY() + 90, "Expiring", "Valid")
     )
  )
)</f>
        <v>Valid</v>
      </c>
      <c r="J54" s="4">
        <v>46422</v>
      </c>
      <c r="K54" s="4" t="str">
        <f ca="1">IF(
  _xlfn.XLOOKUP($D54 &amp; "-" &amp; J$2, 'TrainingReq (Ach)'!G:G, 'TrainingReq (Ach)'!F:F, "2-Year") = "Forever",
  "Valid",
  IF(J54="", "Not Trained",
     IF(J54 &lt; TODAY() - 1, "Expired",
        IF(J54 &lt;= TODAY() + 90, "Expiring", "Valid")
     )
  )
)</f>
        <v>Valid</v>
      </c>
      <c r="L54" s="4">
        <v>46472</v>
      </c>
      <c r="M54" s="4" t="str">
        <f ca="1">IF(
  _xlfn.XLOOKUP($D54 &amp; "-" &amp; L$2, TrainingMan!$G:$G, TrainingMan!$F:$F, "2-Year") = "Forever",
  "Valid",
  IF(L54="", "Not Trained",
     IF(L54 &lt; TODAY() - 1, "Expired",
        IF(L54 &lt;= TODAY() + 90, "Expiring", "Valid")
     )
  )
)</f>
        <v>Valid</v>
      </c>
      <c r="N54" s="4">
        <v>46472</v>
      </c>
      <c r="O54" s="4" t="str">
        <f ca="1">IF(
  _xlfn.XLOOKUP($D54 &amp; "-" &amp; N$2, TrainingMan!$G:$G, TrainingMan!$F:$F, "2-Year") = "Forever",
  "Valid",
  IF(N54="", "Not Trained",
     IF(N54 &lt; TODAY() - 1, "Expired",
        IF(N54 &lt;= TODAY() + 90, "Expiring", "Valid")
     )
  )
)</f>
        <v>Valid</v>
      </c>
      <c r="P54" s="4">
        <v>46472</v>
      </c>
      <c r="Q54" s="4" t="str">
        <f ca="1">IF(
  _xlfn.XLOOKUP($D54 &amp; "-" &amp; P$2, TrainingMan!$G:$G, TrainingMan!$F:$F, "2-Year") = "Forever",
  "Valid",
  IF(P54="", "Not Trained",
     IF(P54 &lt; TODAY() - 1, "Expired",
        IF(P54 &lt;= TODAY() + 90, "Expiring", "Valid")
     )
  )
)</f>
        <v>Valid</v>
      </c>
      <c r="R54" s="4">
        <v>46472</v>
      </c>
      <c r="S54" s="4" t="str">
        <f ca="1">IF(
  _xlfn.XLOOKUP($D54 &amp; "-" &amp; R$2, TrainingMan!$G:$G, TrainingMan!$F:$F, "2-Year") = "Forever",
  "Valid",
  IF(R54="", "Not Trained",
     IF(R54 &lt; TODAY() - 1, "Expired",
        IF(R54 &lt;= TODAY() + 90, "Expiring", "Valid")
     )
  )
)</f>
        <v>Valid</v>
      </c>
      <c r="T54" s="4">
        <v>46472</v>
      </c>
      <c r="U54" s="4" t="str">
        <f ca="1">IF(
  _xlfn.XLOOKUP($D54 &amp; "-" &amp; T$2, TrainingMan!$G:$G, TrainingMan!$F:$F, "2-Year") = "Forever",
  "Valid",
  IF(T54="", "Not Trained",
     IF(T54 &lt; TODAY() - 1, "Expired",
        IF(T54 &lt;= TODAY() + 90, "Expiring", "Valid")
     )
  )
)</f>
        <v>Valid</v>
      </c>
      <c r="V54" s="4">
        <v>46472</v>
      </c>
      <c r="W54" s="4" t="str">
        <f ca="1">IF(
  _xlfn.XLOOKUP($D54 &amp; "-" &amp; V$2, TrainingMan!$G:$G, TrainingMan!$F:$F, "2-Year") = "Forever",
  "Valid",
  IF(V54="", "Not Trained",
     IF(V54 &lt; TODAY() - 1, "Expired",
        IF(V54 &lt;= TODAY() + 90, "Expiring", "Valid")
     )
  )
)</f>
        <v>Valid</v>
      </c>
      <c r="X54" s="4">
        <v>46472</v>
      </c>
      <c r="Y54" s="4" t="str">
        <f ca="1">IF(
  _xlfn.XLOOKUP($D54 &amp; "-" &amp; X$2, TrainingMan!$G:$G, TrainingMan!$F:$F, "2-Year") = "Forever",
  "Valid",
  IF(X54="", "Not Trained",
     IF(X54 &lt; TODAY() - 1, "Expired",
        IF(X54 &lt;= TODAY() + 90, "Expiring", "Valid")
     )
  )
)</f>
        <v>Valid</v>
      </c>
      <c r="Z54" s="4">
        <v>45011</v>
      </c>
      <c r="AA54" s="4" t="str">
        <f ca="1">IF(LEN(TRIM(Z54)) = 0, "Not Trained",
  IF(_xlfn.XLOOKUP($D54 &amp; "-" &amp; Z$2, TrainingMan!$G:$G, TrainingMan!$F:$F, "2-Year") = "Forever", "Valid",
    IF(Z54 &lt; TODAY() - 1, "Expired",
      IF(Z54 &lt;= TODAY() + 90, "Expiring", "Valid")
    )
  )
)</f>
        <v>Valid</v>
      </c>
      <c r="AB54" s="4">
        <v>43280</v>
      </c>
      <c r="AC54" s="4">
        <v>45506</v>
      </c>
      <c r="AD54" s="4">
        <v>45114</v>
      </c>
      <c r="AE54" s="4">
        <v>42697</v>
      </c>
      <c r="AF54" s="4">
        <v>45301</v>
      </c>
      <c r="AG54" s="4"/>
      <c r="AH54" s="4"/>
      <c r="AI54" s="4"/>
      <c r="AJ54" s="4"/>
      <c r="AN54" s="4"/>
      <c r="AQ54" s="4"/>
      <c r="AR54" s="4"/>
      <c r="AS54" s="4"/>
      <c r="AT54" s="4"/>
      <c r="AU54" s="4"/>
      <c r="BB54" s="4">
        <v>45894</v>
      </c>
      <c r="BC54" s="4" t="s">
        <v>274</v>
      </c>
      <c r="BD54" s="4" t="s">
        <v>304</v>
      </c>
      <c r="BE54" s="4">
        <v>42033</v>
      </c>
      <c r="BF54" s="4"/>
      <c r="BG54" s="4"/>
      <c r="BH54" s="4"/>
      <c r="BI54" s="4">
        <v>44867</v>
      </c>
      <c r="BJ54" s="4" t="s">
        <v>145</v>
      </c>
      <c r="BK54" s="4" t="s">
        <v>146</v>
      </c>
      <c r="BL54" s="4"/>
      <c r="BM54" s="4"/>
      <c r="BN54" s="4"/>
      <c r="BO54" s="4"/>
      <c r="BP54" s="4"/>
      <c r="BQ54">
        <f>COUNTIF('TrainingReq (Ach)'!B:B,Table13[[#This Row],[Job Title]])</f>
        <v>13</v>
      </c>
      <c r="BR54" cm="1">
        <f t="array" aca="1" ref="BR5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54" s="5">
        <f t="shared" ca="1" si="0"/>
        <v>1</v>
      </c>
      <c r="BT54" t="s">
        <v>265</v>
      </c>
      <c r="BU54" t="s">
        <v>247</v>
      </c>
      <c r="BV54" t="s">
        <v>256</v>
      </c>
      <c r="BW54" s="4" t="s">
        <v>145</v>
      </c>
      <c r="BZ54" t="s">
        <v>407</v>
      </c>
      <c r="CC54" t="s">
        <v>408</v>
      </c>
      <c r="CD54" s="4">
        <v>46614</v>
      </c>
      <c r="CE54" s="4" t="str">
        <f ca="1">IF(
  _xlfn.XLOOKUP($D54 &amp; "-" &amp; CD$2, 'TrainingReq (Ach)'!$G:$G, 'TrainingReq (Ach)'!$F:$F, "2-Year") = "Forever",
  "Valid",
  IF(CD54="", "Not Trained",
     IF(CD54 &lt; TODAY() - 1, "Expired",
        IF(CD54 &lt;= TODAY() + 90, "Expiring", "Valid")
     )
  )
)</f>
        <v>Valid</v>
      </c>
      <c r="CF54" t="s">
        <v>250</v>
      </c>
      <c r="CG54" s="4">
        <v>55265</v>
      </c>
      <c r="CH54" s="4" t="str">
        <f ca="1">IF(
  _xlfn.XLOOKUP($D53 &amp; "-" &amp; CG$2, 'TrainingReq (Ach)'!$G:$G, 'TrainingReq (Ach)'!$F:$F, "2-Year") = "Forever",
  "Valid",
  IF(CG53="", "Not Trained",
     IF(CG53 &lt; TODAY() - 1, "Expired",
        IF(CG53 &lt;= TODAY() + 90, "Expiring", "Valid")
     )
  )
)</f>
        <v>Not Trained</v>
      </c>
      <c r="CI54" t="str">
        <f t="shared" si="1"/>
        <v>Eligible</v>
      </c>
      <c r="CJ54" t="str">
        <f t="shared" si="2"/>
        <v>Not eligible</v>
      </c>
    </row>
    <row r="55" spans="1:88" x14ac:dyDescent="0.25">
      <c r="A55">
        <v>53</v>
      </c>
      <c r="B55">
        <v>581609</v>
      </c>
      <c r="C55" t="s">
        <v>409</v>
      </c>
      <c r="D55" t="s">
        <v>15</v>
      </c>
      <c r="E55" t="s">
        <v>292</v>
      </c>
      <c r="F55" t="s">
        <v>373</v>
      </c>
      <c r="G55" t="s">
        <v>50</v>
      </c>
      <c r="H55" s="4">
        <v>46497</v>
      </c>
      <c r="I55" s="4" t="str">
        <f ca="1">IF(
  _xlfn.XLOOKUP($D55 &amp; "-" &amp; H$2, 'TrainingReq (Ach)'!G:G, 'TrainingReq (Ach)'!F:F, "2-Year") = "Forever",
  "Valid",
  IF(H55="", "Not Trained",
     IF(H55 &lt; TODAY() - 1, "Expired",
        IF(H55 &lt;= TODAY() + 90, "Expiring", "Valid")
     )
  )
)</f>
        <v>Valid</v>
      </c>
      <c r="J55" s="4">
        <v>46497</v>
      </c>
      <c r="K55" s="4" t="str">
        <f ca="1">IF(
  _xlfn.XLOOKUP($D55 &amp; "-" &amp; J$2, 'TrainingReq (Ach)'!G:G, 'TrainingReq (Ach)'!F:F, "2-Year") = "Forever",
  "Valid",
  IF(J55="", "Not Trained",
     IF(J55 &lt; TODAY() - 1, "Expired",
        IF(J55 &lt;= TODAY() + 90, "Expiring", "Valid")
     )
  )
)</f>
        <v>Valid</v>
      </c>
      <c r="L55" s="4">
        <v>46550</v>
      </c>
      <c r="M55" s="4" t="str">
        <f ca="1">IF(
  _xlfn.XLOOKUP($D55 &amp; "-" &amp; L$2, TrainingMan!$G:$G, TrainingMan!$F:$F, "2-Year") = "Forever",
  "Valid",
  IF(L55="", "Not Trained",
     IF(L55 &lt; TODAY() - 1, "Expired",
        IF(L55 &lt;= TODAY() + 90, "Expiring", "Valid")
     )
  )
)</f>
        <v>Valid</v>
      </c>
      <c r="N55" s="4">
        <v>46550</v>
      </c>
      <c r="O55" s="4" t="str">
        <f ca="1">IF(
  _xlfn.XLOOKUP($D55 &amp; "-" &amp; N$2, TrainingMan!$G:$G, TrainingMan!$F:$F, "2-Year") = "Forever",
  "Valid",
  IF(N55="", "Not Trained",
     IF(N55 &lt; TODAY() - 1, "Expired",
        IF(N55 &lt;= TODAY() + 90, "Expiring", "Valid")
     )
  )
)</f>
        <v>Valid</v>
      </c>
      <c r="P55" s="4">
        <v>46550</v>
      </c>
      <c r="Q55" s="4" t="str">
        <f ca="1">IF(
  _xlfn.XLOOKUP($D55 &amp; "-" &amp; P$2, TrainingMan!$G:$G, TrainingMan!$F:$F, "2-Year") = "Forever",
  "Valid",
  IF(P55="", "Not Trained",
     IF(P55 &lt; TODAY() - 1, "Expired",
        IF(P55 &lt;= TODAY() + 90, "Expiring", "Valid")
     )
  )
)</f>
        <v>Valid</v>
      </c>
      <c r="R55" s="4">
        <v>46550</v>
      </c>
      <c r="S55" s="4" t="str">
        <f ca="1">IF(
  _xlfn.XLOOKUP($D55 &amp; "-" &amp; R$2, TrainingMan!$G:$G, TrainingMan!$F:$F, "2-Year") = "Forever",
  "Valid",
  IF(R55="", "Not Trained",
     IF(R55 &lt; TODAY() - 1, "Expired",
        IF(R55 &lt;= TODAY() + 90, "Expiring", "Valid")
     )
  )
)</f>
        <v>Valid</v>
      </c>
      <c r="T55" s="4">
        <v>46550</v>
      </c>
      <c r="U55" s="4" t="str">
        <f ca="1">IF(
  _xlfn.XLOOKUP($D55 &amp; "-" &amp; T$2, TrainingMan!$G:$G, TrainingMan!$F:$F, "2-Year") = "Forever",
  "Valid",
  IF(T55="", "Not Trained",
     IF(T55 &lt; TODAY() - 1, "Expired",
        IF(T55 &lt;= TODAY() + 90, "Expiring", "Valid")
     )
  )
)</f>
        <v>Valid</v>
      </c>
      <c r="V55" s="4">
        <v>46550</v>
      </c>
      <c r="W55" s="4" t="str">
        <f ca="1">IF(
  _xlfn.XLOOKUP($D55 &amp; "-" &amp; V$2, TrainingMan!$G:$G, TrainingMan!$F:$F, "2-Year") = "Forever",
  "Valid",
  IF(V55="", "Not Trained",
     IF(V55 &lt; TODAY() - 1, "Expired",
        IF(V55 &lt;= TODAY() + 90, "Expiring", "Valid")
     )
  )
)</f>
        <v>Valid</v>
      </c>
      <c r="X55" s="4">
        <v>46550</v>
      </c>
      <c r="Y55" s="4" t="str">
        <f ca="1">IF(
  _xlfn.XLOOKUP($D55 &amp; "-" &amp; X$2, TrainingMan!$G:$G, TrainingMan!$F:$F, "2-Year") = "Forever",
  "Valid",
  IF(X55="", "Not Trained",
     IF(X55 &lt; TODAY() - 1, "Expired",
        IF(X55 &lt;= TODAY() + 90, "Expiring", "Valid")
     )
  )
)</f>
        <v>Valid</v>
      </c>
      <c r="Z55" s="4">
        <v>44993</v>
      </c>
      <c r="AA55" s="4" t="str">
        <f ca="1">IF(LEN(TRIM(Z55)) = 0, "Not Trained",
  IF(_xlfn.XLOOKUP($D55 &amp; "-" &amp; Z$2, TrainingMan!$G:$G, TrainingMan!$F:$F, "2-Year") = "Forever", "Valid",
    IF(Z55 &lt; TODAY() - 1, "Expired",
      IF(Z55 &lt;= TODAY() + 90, "Expiring", "Valid")
    )
  )
)</f>
        <v>Valid</v>
      </c>
      <c r="AB55" s="4">
        <v>43404</v>
      </c>
      <c r="AC55" s="4">
        <v>45845</v>
      </c>
      <c r="AD55" s="4">
        <v>45338</v>
      </c>
      <c r="AE55" s="4"/>
      <c r="AF55" s="4">
        <v>44706</v>
      </c>
      <c r="AG55" s="4"/>
      <c r="AH55" s="4"/>
      <c r="AI55" s="4"/>
      <c r="AJ55" s="4"/>
      <c r="AN55" s="4"/>
      <c r="AQ55" s="4"/>
      <c r="AR55" s="4"/>
      <c r="AS55" s="4"/>
      <c r="AT55" s="4"/>
      <c r="AU55" s="4"/>
      <c r="BB55" s="4">
        <v>45922</v>
      </c>
      <c r="BC55" s="4" t="s">
        <v>253</v>
      </c>
      <c r="BD55" s="4" t="s">
        <v>304</v>
      </c>
      <c r="BE55" s="4">
        <v>42033</v>
      </c>
      <c r="BF55" s="4"/>
      <c r="BG55" s="4"/>
      <c r="BH55" s="4"/>
      <c r="BI55" s="4">
        <v>44844</v>
      </c>
      <c r="BJ55" s="4" t="s">
        <v>140</v>
      </c>
      <c r="BK55" s="4" t="s">
        <v>147</v>
      </c>
      <c r="BL55" s="4"/>
      <c r="BM55" s="4"/>
      <c r="BN55" s="4" t="s">
        <v>318</v>
      </c>
      <c r="BO55" s="4"/>
      <c r="BP55" s="4"/>
      <c r="BQ55">
        <f>COUNTIF('TrainingReq (Ach)'!B:B,Table13[[#This Row],[Job Title]])</f>
        <v>13</v>
      </c>
      <c r="BR55" cm="1">
        <f t="array" aca="1" ref="BR5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55" s="5">
        <f t="shared" ca="1" si="0"/>
        <v>1</v>
      </c>
      <c r="BT55" t="s">
        <v>319</v>
      </c>
      <c r="BU55" t="s">
        <v>247</v>
      </c>
      <c r="BV55" t="s">
        <v>256</v>
      </c>
      <c r="BW55" s="4" t="s">
        <v>140</v>
      </c>
      <c r="BZ55" t="s">
        <v>410</v>
      </c>
      <c r="CC55" t="s">
        <v>411</v>
      </c>
      <c r="CD55" s="4">
        <v>46786</v>
      </c>
      <c r="CE55" s="4" t="str">
        <f ca="1">IF(
  _xlfn.XLOOKUP($D55 &amp; "-" &amp; CD$2, 'TrainingReq (Ach)'!$G:$G, 'TrainingReq (Ach)'!$F:$F, "2-Year") = "Forever",
  "Valid",
  IF(CD55="", "Not Trained",
     IF(CD55 &lt; TODAY() - 1, "Expired",
        IF(CD55 &lt;= TODAY() + 90, "Expiring", "Valid")
     )
  )
)</f>
        <v>Valid</v>
      </c>
      <c r="CF55" t="s">
        <v>250</v>
      </c>
      <c r="CG55" s="4">
        <v>53831</v>
      </c>
      <c r="CH55" s="4" t="str">
        <f ca="1">IF(
  _xlfn.XLOOKUP($D54 &amp; "-" &amp; CG$2, 'TrainingReq (Ach)'!$G:$G, 'TrainingReq (Ach)'!$F:$F, "2-Year") = "Forever",
  "Valid",
  IF(CG54="", "Not Trained",
     IF(CG54 &lt; TODAY() - 1, "Expired",
        IF(CG54 &lt;= TODAY() + 90, "Expiring", "Valid")
     )
  )
)</f>
        <v>Valid</v>
      </c>
      <c r="CI55" t="str">
        <f t="shared" si="1"/>
        <v>Eligible</v>
      </c>
      <c r="CJ55" t="str">
        <f t="shared" si="2"/>
        <v>Not eligible</v>
      </c>
    </row>
    <row r="56" spans="1:88" x14ac:dyDescent="0.25">
      <c r="A56">
        <v>54</v>
      </c>
      <c r="B56">
        <v>533471</v>
      </c>
      <c r="C56" t="s">
        <v>412</v>
      </c>
      <c r="D56" t="s">
        <v>6</v>
      </c>
      <c r="E56" t="s">
        <v>243</v>
      </c>
      <c r="F56" t="s">
        <v>373</v>
      </c>
      <c r="G56" t="s">
        <v>50</v>
      </c>
      <c r="H56" s="4">
        <v>46422</v>
      </c>
      <c r="I56" s="4" t="str">
        <f ca="1">IF(
  _xlfn.XLOOKUP($D56 &amp; "-" &amp; H$2, 'TrainingReq (Ach)'!G:G, 'TrainingReq (Ach)'!F:F, "2-Year") = "Forever",
  "Valid",
  IF(H56="", "Not Trained",
     IF(H56 &lt; TODAY() - 1, "Expired",
        IF(H56 &lt;= TODAY() + 90, "Expiring", "Valid")
     )
  )
)</f>
        <v>Valid</v>
      </c>
      <c r="J56" s="4">
        <v>46422</v>
      </c>
      <c r="K56" s="4" t="str">
        <f ca="1">IF(
  _xlfn.XLOOKUP($D56 &amp; "-" &amp; J$2, 'TrainingReq (Ach)'!G:G, 'TrainingReq (Ach)'!F:F, "2-Year") = "Forever",
  "Valid",
  IF(J56="", "Not Trained",
     IF(J56 &lt; TODAY() - 1, "Expired",
        IF(J56 &lt;= TODAY() + 90, "Expiring", "Valid")
     )
  )
)</f>
        <v>Valid</v>
      </c>
      <c r="L56" s="4">
        <v>46597</v>
      </c>
      <c r="M56" s="4" t="str">
        <f ca="1">IF(
  _xlfn.XLOOKUP($D56 &amp; "-" &amp; L$2, TrainingMan!$G:$G, TrainingMan!$F:$F, "2-Year") = "Forever",
  "Valid",
  IF(L56="", "Not Trained",
     IF(L56 &lt; TODAY() - 1, "Expired",
        IF(L56 &lt;= TODAY() + 90, "Expiring", "Valid")
     )
  )
)</f>
        <v>Valid</v>
      </c>
      <c r="N56" s="4">
        <v>46941</v>
      </c>
      <c r="O56" s="4" t="str">
        <f ca="1">IF(
  _xlfn.XLOOKUP($D56 &amp; "-" &amp; N$2, TrainingMan!$G:$G, TrainingMan!$F:$F, "2-Year") = "Forever",
  "Valid",
  IF(N56="", "Not Trained",
     IF(N56 &lt; TODAY() - 1, "Expired",
        IF(N56 &lt;= TODAY() + 90, "Expiring", "Valid")
     )
  )
)</f>
        <v>Valid</v>
      </c>
      <c r="P56" s="4">
        <v>46941</v>
      </c>
      <c r="Q56" s="4" t="str">
        <f ca="1">IF(
  _xlfn.XLOOKUP($D56 &amp; "-" &amp; P$2, TrainingMan!$G:$G, TrainingMan!$F:$F, "2-Year") = "Forever",
  "Valid",
  IF(P56="", "Not Trained",
     IF(P56 &lt; TODAY() - 1, "Expired",
        IF(P56 &lt;= TODAY() + 90, "Expiring", "Valid")
     )
  )
)</f>
        <v>Valid</v>
      </c>
      <c r="R56" s="4">
        <v>46941</v>
      </c>
      <c r="S56" s="4" t="str">
        <f ca="1">IF(
  _xlfn.XLOOKUP($D56 &amp; "-" &amp; R$2, TrainingMan!$G:$G, TrainingMan!$F:$F, "2-Year") = "Forever",
  "Valid",
  IF(R56="", "Not Trained",
     IF(R56 &lt; TODAY() - 1, "Expired",
        IF(R56 &lt;= TODAY() + 90, "Expiring", "Valid")
     )
  )
)</f>
        <v>Valid</v>
      </c>
      <c r="T56" s="4">
        <v>46941</v>
      </c>
      <c r="U56" s="4" t="str">
        <f ca="1">IF(
  _xlfn.XLOOKUP($D56 &amp; "-" &amp; T$2, TrainingMan!$G:$G, TrainingMan!$F:$F, "2-Year") = "Forever",
  "Valid",
  IF(T56="", "Not Trained",
     IF(T56 &lt; TODAY() - 1, "Expired",
        IF(T56 &lt;= TODAY() + 90, "Expiring", "Valid")
     )
  )
)</f>
        <v>Valid</v>
      </c>
      <c r="V56" s="4">
        <v>46542</v>
      </c>
      <c r="W56" s="4" t="str">
        <f ca="1">IF(
  _xlfn.XLOOKUP($D56 &amp; "-" &amp; V$2, TrainingMan!$G:$G, TrainingMan!$F:$F, "2-Year") = "Forever",
  "Valid",
  IF(V56="", "Not Trained",
     IF(V56 &lt; TODAY() - 1, "Expired",
        IF(V56 &lt;= TODAY() + 90, "Expiring", "Valid")
     )
  )
)</f>
        <v>Valid</v>
      </c>
      <c r="X56" s="4">
        <v>46475</v>
      </c>
      <c r="Y56" s="4" t="str">
        <f ca="1">IF(
  _xlfn.XLOOKUP($D56 &amp; "-" &amp; X$2, TrainingMan!$G:$G, TrainingMan!$F:$F, "2-Year") = "Forever",
  "Valid",
  IF(X56="", "Not Trained",
     IF(X56 &lt; TODAY() - 1, "Expired",
        IF(X56 &lt;= TODAY() + 90, "Expiring", "Valid")
     )
  )
)</f>
        <v>Valid</v>
      </c>
      <c r="Z56" s="4">
        <v>45008</v>
      </c>
      <c r="AA56" s="4" t="str">
        <f ca="1">IF(LEN(TRIM(Z56)) = 0, "Not Trained",
  IF(_xlfn.XLOOKUP($D56 &amp; "-" &amp; Z$2, TrainingMan!$G:$G, TrainingMan!$F:$F, "2-Year") = "Forever", "Valid",
    IF(Z56 &lt; TODAY() - 1, "Expired",
      IF(Z56 &lt;= TODAY() + 90, "Expiring", "Valid")
    )
  )
)</f>
        <v>Valid</v>
      </c>
      <c r="AB56" s="4">
        <v>40856</v>
      </c>
      <c r="AC56" s="4">
        <v>43150</v>
      </c>
      <c r="AD56" s="4">
        <v>43555</v>
      </c>
      <c r="AE56" s="4">
        <v>43567</v>
      </c>
      <c r="AF56" s="4">
        <v>43926</v>
      </c>
      <c r="AG56" s="4"/>
      <c r="AH56" s="4"/>
      <c r="AI56" s="4"/>
      <c r="AJ56" s="4"/>
      <c r="AN56" s="4"/>
      <c r="AQ56" s="4"/>
      <c r="AR56" s="4"/>
      <c r="AS56" s="4"/>
      <c r="AT56" s="4"/>
      <c r="AU56" s="4"/>
      <c r="BB56" s="4">
        <v>45985</v>
      </c>
      <c r="BC56" s="4" t="s">
        <v>337</v>
      </c>
      <c r="BD56" s="4" t="s">
        <v>393</v>
      </c>
      <c r="BE56" s="4"/>
      <c r="BF56" s="4"/>
      <c r="BG56" s="4"/>
      <c r="BH56" s="4"/>
      <c r="BI56" s="4">
        <v>42471</v>
      </c>
      <c r="BJ56" s="4" t="s">
        <v>145</v>
      </c>
      <c r="BK56" s="4" t="s">
        <v>146</v>
      </c>
      <c r="BL56" s="4"/>
      <c r="BM56" s="4"/>
      <c r="BN56" s="4" t="s">
        <v>324</v>
      </c>
      <c r="BO56" s="4"/>
      <c r="BP56" s="4"/>
      <c r="BQ56">
        <f>COUNTIF('TrainingReq (Ach)'!B:B,Table13[[#This Row],[Job Title]])</f>
        <v>15</v>
      </c>
      <c r="BR56" cm="1">
        <f t="array" aca="1" ref="BR5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56" s="5">
        <f t="shared" ca="1" si="0"/>
        <v>1</v>
      </c>
      <c r="BT56" t="s">
        <v>338</v>
      </c>
      <c r="BU56" t="s">
        <v>247</v>
      </c>
      <c r="BV56" t="s">
        <v>270</v>
      </c>
      <c r="BW56" s="4" t="s">
        <v>145</v>
      </c>
      <c r="BZ56" t="s">
        <v>413</v>
      </c>
      <c r="CA56">
        <v>1</v>
      </c>
      <c r="CC56" t="s">
        <v>414</v>
      </c>
      <c r="CD56" s="4">
        <v>46330</v>
      </c>
      <c r="CE56" s="4" t="str">
        <f ca="1">IF(
  _xlfn.XLOOKUP($D56 &amp; "-" &amp; CD$2, 'TrainingReq (Ach)'!$G:$G, 'TrainingReq (Ach)'!$F:$F, "2-Year") = "Forever",
  "Valid",
  IF(CD56="", "Not Trained",
     IF(CD56 &lt; TODAY() - 1, "Expired",
        IF(CD56 &lt;= TODAY() + 90, "Expiring", "Valid")
     )
  )
)</f>
        <v>Expiring</v>
      </c>
      <c r="CF56" t="s">
        <v>250</v>
      </c>
      <c r="CG56" s="4">
        <v>53375</v>
      </c>
      <c r="CH56" s="4" t="str">
        <f ca="1">IF(
  _xlfn.XLOOKUP($D55 &amp; "-" &amp; CG$2, 'TrainingReq (Ach)'!$G:$G, 'TrainingReq (Ach)'!$F:$F, "2-Year") = "Forever",
  "Valid",
  IF(CG55="", "Not Trained",
     IF(CG55 &lt; TODAY() - 1, "Expired",
        IF(CG55 &lt;= TODAY() + 90, "Expiring", "Valid")
     )
  )
)</f>
        <v>Valid</v>
      </c>
      <c r="CI56" t="str">
        <f t="shared" si="1"/>
        <v>Eligible</v>
      </c>
      <c r="CJ56" t="str">
        <f t="shared" si="2"/>
        <v>Not eligible</v>
      </c>
    </row>
    <row r="57" spans="1:88" x14ac:dyDescent="0.25">
      <c r="A57">
        <v>55</v>
      </c>
      <c r="B57">
        <v>582043</v>
      </c>
      <c r="C57" t="s">
        <v>91</v>
      </c>
      <c r="D57" t="s">
        <v>15</v>
      </c>
      <c r="E57" t="s">
        <v>292</v>
      </c>
      <c r="F57" t="s">
        <v>373</v>
      </c>
      <c r="G57" t="s">
        <v>52</v>
      </c>
      <c r="H57" s="4">
        <v>46372</v>
      </c>
      <c r="I57" s="4" t="str">
        <f ca="1">IF(
  _xlfn.XLOOKUP($D57 &amp; "-" &amp; H$2, 'TrainingReq (Ach)'!G:G, 'TrainingReq (Ach)'!F:F, "2-Year") = "Forever",
  "Valid",
  IF(H57="", "Not Trained",
     IF(H57 &lt; TODAY() - 1, "Expired",
        IF(H57 &lt;= TODAY() + 90, "Expiring", "Valid")
     )
  )
)</f>
        <v>Valid</v>
      </c>
      <c r="J57" s="4">
        <v>46372</v>
      </c>
      <c r="K57" s="4" t="str">
        <f ca="1">IF(
  _xlfn.XLOOKUP($D57 &amp; "-" &amp; J$2, 'TrainingReq (Ach)'!G:G, 'TrainingReq (Ach)'!F:F, "2-Year") = "Forever",
  "Valid",
  IF(J57="", "Not Trained",
     IF(J57 &lt; TODAY() - 1, "Expired",
        IF(J57 &lt;= TODAY() + 90, "Expiring", "Valid")
     )
  )
)</f>
        <v>Valid</v>
      </c>
      <c r="L57" s="4">
        <v>46470</v>
      </c>
      <c r="M57" s="4" t="str">
        <f ca="1">IF(
  _xlfn.XLOOKUP($D57 &amp; "-" &amp; L$2, TrainingMan!$G:$G, TrainingMan!$F:$F, "2-Year") = "Forever",
  "Valid",
  IF(L57="", "Not Trained",
     IF(L57 &lt; TODAY() - 1, "Expired",
        IF(L57 &lt;= TODAY() + 90, "Expiring", "Valid")
     )
  )
)</f>
        <v>Valid</v>
      </c>
      <c r="N57" s="4">
        <v>46923</v>
      </c>
      <c r="O57" s="4" t="str">
        <f ca="1">IF(
  _xlfn.XLOOKUP($D57 &amp; "-" &amp; N$2, TrainingMan!$G:$G, TrainingMan!$F:$F, "2-Year") = "Forever",
  "Valid",
  IF(N57="", "Not Trained",
     IF(N57 &lt; TODAY() - 1, "Expired",
        IF(N57 &lt;= TODAY() + 90, "Expiring", "Valid")
     )
  )
)</f>
        <v>Valid</v>
      </c>
      <c r="P57" s="4">
        <v>46923</v>
      </c>
      <c r="Q57" s="4" t="str">
        <f ca="1">IF(
  _xlfn.XLOOKUP($D57 &amp; "-" &amp; P$2, TrainingMan!$G:$G, TrainingMan!$F:$F, "2-Year") = "Forever",
  "Valid",
  IF(P57="", "Not Trained",
     IF(P57 &lt; TODAY() - 1, "Expired",
        IF(P57 &lt;= TODAY() + 90, "Expiring", "Valid")
     )
  )
)</f>
        <v>Valid</v>
      </c>
      <c r="R57" s="4">
        <v>46233</v>
      </c>
      <c r="S57" s="4" t="str">
        <f ca="1">IF(
  _xlfn.XLOOKUP($D57 &amp; "-" &amp; R$2, TrainingMan!$G:$G, TrainingMan!$F:$F, "2-Year") = "Forever",
  "Valid",
  IF(R57="", "Not Trained",
     IF(R57 &lt; TODAY() - 1, "Expired",
        IF(R57 &lt;= TODAY() + 90, "Expiring", "Valid")
     )
  )
)</f>
        <v>Expired</v>
      </c>
      <c r="T57" s="4">
        <v>46923</v>
      </c>
      <c r="U57" s="4" t="str">
        <f ca="1">IF(
  _xlfn.XLOOKUP($D57 &amp; "-" &amp; T$2, TrainingMan!$G:$G, TrainingMan!$F:$F, "2-Year") = "Forever",
  "Valid",
  IF(T57="", "Not Trained",
     IF(T57 &lt; TODAY() - 1, "Expired",
        IF(T57 &lt;= TODAY() + 90, "Expiring", "Valid")
     )
  )
)</f>
        <v>Valid</v>
      </c>
      <c r="V57" s="4">
        <v>46923</v>
      </c>
      <c r="W57" s="4" t="str">
        <f ca="1">IF(
  _xlfn.XLOOKUP($D57 &amp; "-" &amp; V$2, TrainingMan!$G:$G, TrainingMan!$F:$F, "2-Year") = "Forever",
  "Valid",
  IF(V57="", "Not Trained",
     IF(V57 &lt; TODAY() - 1, "Expired",
        IF(V57 &lt;= TODAY() + 90, "Expiring", "Valid")
     )
  )
)</f>
        <v>Valid</v>
      </c>
      <c r="X57" s="4">
        <v>46470</v>
      </c>
      <c r="Y57" s="4" t="str">
        <f ca="1">IF(
  _xlfn.XLOOKUP($D57 &amp; "-" &amp; X$2, TrainingMan!$G:$G, TrainingMan!$F:$F, "2-Year") = "Forever",
  "Valid",
  IF(X57="", "Not Trained",
     IF(X57 &lt; TODAY() - 1, "Expired",
        IF(X57 &lt;= TODAY() + 90, "Expiring", "Valid")
     )
  )
)</f>
        <v>Valid</v>
      </c>
      <c r="Z57" s="4">
        <v>45049</v>
      </c>
      <c r="AA57" s="4" t="str">
        <f ca="1">IF(LEN(TRIM(Z57)) = 0, "Not Trained",
  IF(_xlfn.XLOOKUP($D57 &amp; "-" &amp; Z$2, TrainingMan!$G:$G, TrainingMan!$F:$F, "2-Year") = "Forever", "Valid",
    IF(Z57 &lt; TODAY() - 1, "Expired",
      IF(Z57 &lt;= TODAY() + 90, "Expiring", "Valid")
    )
  )
)</f>
        <v>Valid</v>
      </c>
      <c r="AB57" s="4">
        <v>45326</v>
      </c>
      <c r="AC57" s="4">
        <v>45961</v>
      </c>
      <c r="AD57" s="4"/>
      <c r="AE57" s="4"/>
      <c r="AF57" s="4">
        <v>44734</v>
      </c>
      <c r="AG57" s="4"/>
      <c r="AH57" s="4"/>
      <c r="AI57" s="4"/>
      <c r="AJ57" s="4"/>
      <c r="AN57" s="4"/>
      <c r="AQ57" s="4"/>
      <c r="AR57" s="4"/>
      <c r="AS57" s="4"/>
      <c r="AT57" s="4"/>
      <c r="AU57" s="4"/>
      <c r="BB57" s="4">
        <v>46227</v>
      </c>
      <c r="BC57" s="4" t="s">
        <v>415</v>
      </c>
      <c r="BD57" s="4" t="s">
        <v>416</v>
      </c>
      <c r="BE57" s="4"/>
      <c r="BF57" s="4"/>
      <c r="BG57" s="4"/>
      <c r="BH57" s="4">
        <v>43425</v>
      </c>
      <c r="BI57" s="4">
        <v>45827</v>
      </c>
      <c r="BJ57" s="4" t="s">
        <v>145</v>
      </c>
      <c r="BK57" s="4"/>
      <c r="BL57" s="4"/>
      <c r="BM57" s="4"/>
      <c r="BN57" s="4"/>
      <c r="BO57" s="4"/>
      <c r="BP57" s="4"/>
      <c r="BQ57">
        <f>COUNTIF('TrainingReq (Ach)'!B:B,Table13[[#This Row],[Job Title]])</f>
        <v>13</v>
      </c>
      <c r="BR57" cm="1">
        <f t="array" aca="1" ref="BR5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57" s="5">
        <f t="shared" ca="1" si="0"/>
        <v>1</v>
      </c>
      <c r="BT57" t="s">
        <v>319</v>
      </c>
      <c r="BU57" t="s">
        <v>247</v>
      </c>
      <c r="BV57" t="s">
        <v>256</v>
      </c>
      <c r="BW57" s="4"/>
      <c r="CC57" t="s">
        <v>417</v>
      </c>
      <c r="CD57" s="4"/>
      <c r="CE57" s="4" t="str">
        <f ca="1">IF(
  _xlfn.XLOOKUP($D57 &amp; "-" &amp; CD$2, 'TrainingReq (Ach)'!$G:$G, 'TrainingReq (Ach)'!$F:$F, "2-Year") = "Forever",
  "Valid",
  IF(CD57="", "Not Trained",
     IF(CD57 &lt; TODAY() - 1, "Expired",
        IF(CD57 &lt;= TODAY() + 90, "Expiring", "Valid")
     )
  )
)</f>
        <v>Not Trained</v>
      </c>
      <c r="CF57" t="s">
        <v>250</v>
      </c>
      <c r="CG57" s="4">
        <v>53075</v>
      </c>
      <c r="CH57" s="4" t="str">
        <f ca="1">IF(
  _xlfn.XLOOKUP($D56 &amp; "-" &amp; CG$2, 'TrainingReq (Ach)'!$G:$G, 'TrainingReq (Ach)'!$F:$F, "2-Year") = "Forever",
  "Valid",
  IF(CG56="", "Not Trained",
     IF(CG56 &lt; TODAY() - 1, "Expired",
        IF(CG56 &lt;= TODAY() + 90, "Expiring", "Valid")
     )
  )
)</f>
        <v>Valid</v>
      </c>
      <c r="CI57" t="str">
        <f t="shared" si="1"/>
        <v>Not eligible</v>
      </c>
      <c r="CJ57" t="str">
        <f t="shared" si="2"/>
        <v>Not eligible</v>
      </c>
    </row>
    <row r="58" spans="1:88" x14ac:dyDescent="0.25">
      <c r="A58">
        <v>56</v>
      </c>
      <c r="B58">
        <v>782744</v>
      </c>
      <c r="C58" t="s">
        <v>418</v>
      </c>
      <c r="D58" t="s">
        <v>23</v>
      </c>
      <c r="E58" t="s">
        <v>303</v>
      </c>
      <c r="F58" t="s">
        <v>373</v>
      </c>
      <c r="G58" t="s">
        <v>50</v>
      </c>
      <c r="H58" s="4">
        <v>46417</v>
      </c>
      <c r="I58" s="4" t="str">
        <f ca="1">IF(
  _xlfn.XLOOKUP($D58 &amp; "-" &amp; H$2, 'TrainingReq (Ach)'!G:G, 'TrainingReq (Ach)'!F:F, "2-Year") = "Forever",
  "Valid",
  IF(H58="", "Not Trained",
     IF(H58 &lt; TODAY() - 1, "Expired",
        IF(H58 &lt;= TODAY() + 90, "Expiring", "Valid")
     )
  )
)</f>
        <v>Valid</v>
      </c>
      <c r="J58" s="4">
        <v>46417</v>
      </c>
      <c r="K58" s="4" t="str">
        <f ca="1">IF(
  _xlfn.XLOOKUP($D58 &amp; "-" &amp; J$2, 'TrainingReq (Ach)'!G:G, 'TrainingReq (Ach)'!F:F, "2-Year") = "Forever",
  "Valid",
  IF(J58="", "Not Trained",
     IF(J58 &lt; TODAY() - 1, "Expired",
        IF(J58 &lt;= TODAY() + 90, "Expiring", "Valid")
     )
  )
)</f>
        <v>Valid</v>
      </c>
      <c r="L58" s="4">
        <f>Table13[[#This Row],[Mandatory for Supporting]]</f>
        <v>44986</v>
      </c>
      <c r="M58" s="4" t="str">
        <f ca="1">IF(
  _xlfn.XLOOKUP($D58 &amp; "-" &amp; L$2, TrainingMan!$G:$G, TrainingMan!$F:$F, "2-Year") = "Forever",
  "Valid",
  IF(L58="", "Not Trained",
     IF(L58 &lt; TODAY() - 1, "Expired",
        IF(L58 &lt;= TODAY() + 90, "Expiring", "Valid")
     )
  )
)</f>
        <v>Valid</v>
      </c>
      <c r="N58" s="4">
        <v>46600</v>
      </c>
      <c r="O58" s="4"/>
      <c r="P58" s="4">
        <v>46600</v>
      </c>
      <c r="Q58" s="4"/>
      <c r="R58" s="4">
        <v>46600</v>
      </c>
      <c r="S58" s="4"/>
      <c r="T58" s="4">
        <v>46600</v>
      </c>
      <c r="U58" s="4"/>
      <c r="V58" s="4"/>
      <c r="W58" s="4"/>
      <c r="X58" s="4"/>
      <c r="Y58" s="4"/>
      <c r="Z58" s="4"/>
      <c r="AA58" s="4"/>
      <c r="AB58" s="4">
        <v>45929</v>
      </c>
      <c r="AC58" s="4"/>
      <c r="AD58" s="4"/>
      <c r="AE58" s="4"/>
      <c r="AF58" s="4"/>
      <c r="AG58" s="4"/>
      <c r="AH58" s="4"/>
      <c r="AI58" s="4"/>
      <c r="AJ58" s="4"/>
      <c r="AN58" s="4"/>
      <c r="AQ58" s="4"/>
      <c r="AR58" s="4"/>
      <c r="AS58" s="4"/>
      <c r="AT58" s="4"/>
      <c r="AU58" s="4"/>
      <c r="BB58" s="4">
        <v>45084</v>
      </c>
      <c r="BC58" s="4"/>
      <c r="BD58" s="4">
        <v>45855</v>
      </c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>
        <v>44986</v>
      </c>
      <c r="BQ58">
        <f>COUNTIF('TrainingReq (Ach)'!B:B,Table13[[#This Row],[Job Title]])</f>
        <v>3</v>
      </c>
      <c r="BR58" cm="1">
        <f t="array" aca="1" ref="BR5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58" s="5">
        <f t="shared" ca="1" si="0"/>
        <v>1</v>
      </c>
      <c r="BT58" t="s">
        <v>419</v>
      </c>
      <c r="BU58" t="s">
        <v>247</v>
      </c>
      <c r="BV58" t="s">
        <v>256</v>
      </c>
      <c r="BW58" s="4"/>
      <c r="CD58" s="4"/>
      <c r="CE58" s="4" t="str">
        <f ca="1">IF(
  _xlfn.XLOOKUP($D58 &amp; "-" &amp; CD$2, 'TrainingReq (Ach)'!$G:$G, 'TrainingReq (Ach)'!$F:$F, "2-Year") = "Forever",
  "Valid",
  IF(CD58="", "Not Trained",
     IF(CD58 &lt; TODAY() - 1, "Expired",
        IF(CD58 &lt;= TODAY() + 90, "Expiring", "Valid")
     )
  )
)</f>
        <v>Not Trained</v>
      </c>
      <c r="CF58" t="s">
        <v>250</v>
      </c>
      <c r="CG58" s="4"/>
      <c r="CH58" s="4" t="str">
        <f ca="1">IF(
  _xlfn.XLOOKUP($D57 &amp; "-" &amp; CG$2, 'TrainingReq (Ach)'!$G:$G, 'TrainingReq (Ach)'!$F:$F, "2-Year") = "Forever",
  "Valid",
  IF(CG57="", "Not Trained",
     IF(CG57 &lt; TODAY() - 1, "Expired",
        IF(CG57 &lt;= TODAY() + 90, "Expiring", "Valid")
     )
  )
)</f>
        <v>Valid</v>
      </c>
      <c r="CI58" t="str">
        <f t="shared" si="1"/>
        <v>Not eligible</v>
      </c>
      <c r="CJ58" t="str">
        <f t="shared" si="2"/>
        <v>Not eligible</v>
      </c>
    </row>
    <row r="59" spans="1:88" x14ac:dyDescent="0.25">
      <c r="A59">
        <v>57</v>
      </c>
      <c r="B59">
        <v>782745</v>
      </c>
      <c r="C59" t="s">
        <v>420</v>
      </c>
      <c r="D59" t="s">
        <v>23</v>
      </c>
      <c r="E59" t="s">
        <v>303</v>
      </c>
      <c r="F59" t="s">
        <v>373</v>
      </c>
      <c r="G59" t="s">
        <v>50</v>
      </c>
      <c r="H59" s="4">
        <v>46417</v>
      </c>
      <c r="I59" s="4" t="str">
        <f ca="1">IF(
  _xlfn.XLOOKUP($D59 &amp; "-" &amp; H$2, 'TrainingReq (Ach)'!G:G, 'TrainingReq (Ach)'!F:F, "2-Year") = "Forever",
  "Valid",
  IF(H59="", "Not Trained",
     IF(H59 &lt; TODAY() - 1, "Expired",
        IF(H59 &lt;= TODAY() + 90, "Expiring", "Valid")
     )
  )
)</f>
        <v>Valid</v>
      </c>
      <c r="J59" s="4">
        <v>46417</v>
      </c>
      <c r="K59" s="4" t="str">
        <f ca="1">IF(
  _xlfn.XLOOKUP($D59 &amp; "-" &amp; J$2, 'TrainingReq (Ach)'!G:G, 'TrainingReq (Ach)'!F:F, "2-Year") = "Forever",
  "Valid",
  IF(J59="", "Not Trained",
     IF(J59 &lt; TODAY() - 1, "Expired",
        IF(J59 &lt;= TODAY() + 90, "Expiring", "Valid")
     )
  )
)</f>
        <v>Valid</v>
      </c>
      <c r="L59" s="4">
        <f>Table13[[#This Row],[Mandatory for Supporting]]</f>
        <v>44986</v>
      </c>
      <c r="M59" s="4" t="str">
        <f ca="1">IF(
  _xlfn.XLOOKUP($D59 &amp; "-" &amp; L$2, TrainingMan!$G:$G, TrainingMan!$F:$F, "2-Year") = "Forever",
  "Valid",
  IF(L59="", "Not Trained",
     IF(L59 &lt; TODAY() - 1, "Expired",
        IF(L59 &lt;= TODAY() + 90, "Expiring", "Valid")
     )
  )
)</f>
        <v>Valid</v>
      </c>
      <c r="N59" s="4">
        <v>45949</v>
      </c>
      <c r="O59" s="4"/>
      <c r="P59" s="4">
        <v>45949</v>
      </c>
      <c r="Q59" s="4"/>
      <c r="R59" s="4">
        <v>45949</v>
      </c>
      <c r="S59" s="4"/>
      <c r="T59" s="4">
        <v>45950</v>
      </c>
      <c r="U59" s="4"/>
      <c r="V59" s="4"/>
      <c r="W59" s="4"/>
      <c r="X59" s="4"/>
      <c r="Y59" s="4"/>
      <c r="Z59" s="4"/>
      <c r="AA59" s="4"/>
      <c r="AB59" s="4">
        <v>45950</v>
      </c>
      <c r="AC59" s="4"/>
      <c r="AD59" s="4"/>
      <c r="AE59" s="4"/>
      <c r="AF59" s="4"/>
      <c r="AG59" s="4"/>
      <c r="AH59" s="4"/>
      <c r="AI59" s="4"/>
      <c r="AJ59" s="4"/>
      <c r="AN59" s="4"/>
      <c r="AQ59" s="4"/>
      <c r="AR59" s="4"/>
      <c r="AS59" s="4"/>
      <c r="AT59" s="4"/>
      <c r="AU59" s="4"/>
      <c r="BB59" s="4">
        <v>45190</v>
      </c>
      <c r="BC59" s="4"/>
      <c r="BD59" s="4" t="s">
        <v>389</v>
      </c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>
        <v>44986</v>
      </c>
      <c r="BQ59">
        <f>COUNTIF('TrainingReq (Ach)'!B:B,Table13[[#This Row],[Job Title]])</f>
        <v>3</v>
      </c>
      <c r="BR59" cm="1">
        <f t="array" aca="1" ref="BR5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59" s="5">
        <f t="shared" ca="1" si="0"/>
        <v>1</v>
      </c>
      <c r="BT59" t="s">
        <v>419</v>
      </c>
      <c r="BU59" t="s">
        <v>247</v>
      </c>
      <c r="BW59" s="4"/>
      <c r="CD59" s="4"/>
      <c r="CE59" s="4" t="str">
        <f ca="1">IF(
  _xlfn.XLOOKUP($D59 &amp; "-" &amp; CD$2, 'TrainingReq (Ach)'!$G:$G, 'TrainingReq (Ach)'!$F:$F, "2-Year") = "Forever",
  "Valid",
  IF(CD59="", "Not Trained",
     IF(CD59 &lt; TODAY() - 1, "Expired",
        IF(CD59 &lt;= TODAY() + 90, "Expiring", "Valid")
     )
  )
)</f>
        <v>Not Trained</v>
      </c>
      <c r="CF59" t="s">
        <v>250</v>
      </c>
      <c r="CG59" s="4"/>
      <c r="CH59" s="4" t="str">
        <f ca="1">IF(
  _xlfn.XLOOKUP($D58 &amp; "-" &amp; CG$2, 'TrainingReq (Ach)'!$G:$G, 'TrainingReq (Ach)'!$F:$F, "2-Year") = "Forever",
  "Valid",
  IF(CG58="", "Not Trained",
     IF(CG58 &lt; TODAY() - 1, "Expired",
        IF(CG58 &lt;= TODAY() + 90, "Expiring", "Valid")
     )
  )
)</f>
        <v>Not Trained</v>
      </c>
      <c r="CI59" t="str">
        <f t="shared" si="1"/>
        <v>Not eligible</v>
      </c>
      <c r="CJ59" t="str">
        <f t="shared" si="2"/>
        <v>Not eligible</v>
      </c>
    </row>
    <row r="60" spans="1:88" x14ac:dyDescent="0.25">
      <c r="A60">
        <v>58</v>
      </c>
      <c r="B60">
        <v>783023</v>
      </c>
      <c r="C60" t="s">
        <v>421</v>
      </c>
      <c r="D60" t="s">
        <v>23</v>
      </c>
      <c r="E60" t="s">
        <v>303</v>
      </c>
      <c r="F60" t="s">
        <v>373</v>
      </c>
      <c r="G60" t="s">
        <v>50</v>
      </c>
      <c r="H60" s="4">
        <v>46697</v>
      </c>
      <c r="I60" s="4" t="str">
        <f ca="1">IF(
  _xlfn.XLOOKUP($D60 &amp; "-" &amp; H$2, 'TrainingReq (Ach)'!G:G, 'TrainingReq (Ach)'!F:F, "2-Year") = "Forever",
  "Valid",
  IF(H60="", "Not Trained",
     IF(H60 &lt; TODAY() - 1, "Expired",
        IF(H60 &lt;= TODAY() + 90, "Expiring", "Valid")
     )
  )
)</f>
        <v>Valid</v>
      </c>
      <c r="J60" s="4">
        <v>46655</v>
      </c>
      <c r="K60" s="4" t="str">
        <f ca="1">IF(
  _xlfn.XLOOKUP($D60 &amp; "-" &amp; J$2, 'TrainingReq (Ach)'!G:G, 'TrainingReq (Ach)'!F:F, "2-Year") = "Forever",
  "Valid",
  IF(J60="", "Not Trained",
     IF(J60 &lt; TODAY() - 1, "Expired",
        IF(J60 &lt;= TODAY() + 90, "Expiring", "Valid")
     )
  )
)</f>
        <v>Valid</v>
      </c>
      <c r="L60" s="4">
        <f>Table13[[#This Row],[Mandatory for Supporting]]</f>
        <v>45265</v>
      </c>
      <c r="M60" s="4" t="str">
        <f ca="1">IF(
  _xlfn.XLOOKUP($D60 &amp; "-" &amp; L$2, TrainingMan!$G:$G, TrainingMan!$F:$F, "2-Year") = "Forever",
  "Valid",
  IF(L60="", "Not Trained",
     IF(L60 &lt; TODAY() - 1, "Expired",
        IF(L60 &lt;= TODAY() + 90, "Expiring", "Valid")
     )
  )
)</f>
        <v>Valid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>
        <v>46004</v>
      </c>
      <c r="AC60" s="4"/>
      <c r="AD60" s="4"/>
      <c r="AE60" s="4"/>
      <c r="AF60" s="4"/>
      <c r="AG60" s="4"/>
      <c r="AH60" s="4"/>
      <c r="AI60" s="4"/>
      <c r="AJ60" s="4"/>
      <c r="AN60" s="4"/>
      <c r="AQ60" s="4"/>
      <c r="AR60" s="4"/>
      <c r="AS60" s="4"/>
      <c r="AT60" s="4"/>
      <c r="AU60" s="4"/>
      <c r="BB60" s="4"/>
      <c r="BC60" s="4"/>
      <c r="BD60" s="4" t="s">
        <v>313</v>
      </c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>
        <v>45265</v>
      </c>
      <c r="BQ60">
        <f>COUNTIF('TrainingReq (Ach)'!B:B,Table13[[#This Row],[Job Title]])</f>
        <v>3</v>
      </c>
      <c r="BR60" cm="1">
        <f t="array" aca="1" ref="BR6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60" s="5">
        <f t="shared" ca="1" si="0"/>
        <v>1</v>
      </c>
      <c r="BT60" t="s">
        <v>314</v>
      </c>
      <c r="BU60" t="s">
        <v>247</v>
      </c>
      <c r="BW60" s="4"/>
      <c r="CD60" s="4"/>
      <c r="CE60" s="4" t="str">
        <f ca="1">IF(
  _xlfn.XLOOKUP($D60 &amp; "-" &amp; CD$2, 'TrainingReq (Ach)'!$G:$G, 'TrainingReq (Ach)'!$F:$F, "2-Year") = "Forever",
  "Valid",
  IF(CD60="", "Not Trained",
     IF(CD60 &lt; TODAY() - 1, "Expired",
        IF(CD60 &lt;= TODAY() + 90, "Expiring", "Valid")
     )
  )
)</f>
        <v>Not Trained</v>
      </c>
      <c r="CF60" t="s">
        <v>250</v>
      </c>
      <c r="CG60" s="4"/>
      <c r="CH60" s="4" t="str">
        <f ca="1">IF(
  _xlfn.XLOOKUP($D59 &amp; "-" &amp; CG$2, 'TrainingReq (Ach)'!$G:$G, 'TrainingReq (Ach)'!$F:$F, "2-Year") = "Forever",
  "Valid",
  IF(CG59="", "Not Trained",
     IF(CG59 &lt; TODAY() - 1, "Expired",
        IF(CG59 &lt;= TODAY() + 90, "Expiring", "Valid")
     )
  )
)</f>
        <v>Not Trained</v>
      </c>
      <c r="CI60" t="str">
        <f t="shared" si="1"/>
        <v>Not eligible</v>
      </c>
      <c r="CJ60" t="str">
        <f t="shared" si="2"/>
        <v>Not eligible</v>
      </c>
    </row>
    <row r="61" spans="1:88" x14ac:dyDescent="0.25">
      <c r="A61">
        <v>59</v>
      </c>
      <c r="B61">
        <v>580787</v>
      </c>
      <c r="C61" t="s">
        <v>106</v>
      </c>
      <c r="D61" t="s">
        <v>15</v>
      </c>
      <c r="E61" t="s">
        <v>292</v>
      </c>
      <c r="F61" t="s">
        <v>422</v>
      </c>
      <c r="G61" t="s">
        <v>51</v>
      </c>
      <c r="H61" s="4">
        <v>46560</v>
      </c>
      <c r="I61" s="4" t="str">
        <f ca="1">IF(
  _xlfn.XLOOKUP($D61 &amp; "-" &amp; H$2, 'TrainingReq (Ach)'!G:G, 'TrainingReq (Ach)'!F:F, "2-Year") = "Forever",
  "Valid",
  IF(H61="", "Not Trained",
     IF(H61 &lt; TODAY() - 1, "Expired",
        IF(H61 &lt;= TODAY() + 90, "Expiring", "Valid")
     )
  )
)</f>
        <v>Valid</v>
      </c>
      <c r="J61" s="4">
        <v>46560</v>
      </c>
      <c r="K61" s="4" t="str">
        <f ca="1">IF(
  _xlfn.XLOOKUP($D61 &amp; "-" &amp; J$2, 'TrainingReq (Ach)'!G:G, 'TrainingReq (Ach)'!F:F, "2-Year") = "Forever",
  "Valid",
  IF(J61="", "Not Trained",
     IF(J61 &lt; TODAY() - 1, "Expired",
        IF(J61 &lt;= TODAY() + 90, "Expiring", "Valid")
     )
  )
)</f>
        <v>Valid</v>
      </c>
      <c r="L61" s="4">
        <v>46255</v>
      </c>
      <c r="M61" s="4" t="str">
        <f ca="1">IF(
  _xlfn.XLOOKUP($D61 &amp; "-" &amp; L$2, TrainingMan!$G:$G, TrainingMan!$F:$F, "2-Year") = "Forever",
  "Valid",
  IF(L61="", "Not Trained",
     IF(L61 &lt; TODAY() - 1, "Expired",
        IF(L61 &lt;= TODAY() + 90, "Expiring", "Valid")
     )
  )
)</f>
        <v>Expiring</v>
      </c>
      <c r="N61" s="4">
        <v>46254</v>
      </c>
      <c r="O61" s="4" t="str">
        <f ca="1">IF(
  _xlfn.XLOOKUP($D61 &amp; "-" &amp; N$2, TrainingMan!$G:$G, TrainingMan!$F:$F, "2-Year") = "Forever",
  "Valid",
  IF(N61="", "Not Trained",
     IF(N61 &lt; TODAY() - 1, "Expired",
        IF(N61 &lt;= TODAY() + 90, "Expiring", "Valid")
     )
  )
)</f>
        <v>Expiring</v>
      </c>
      <c r="P61" s="4">
        <v>46255</v>
      </c>
      <c r="Q61" s="4" t="str">
        <f ca="1">IF(
  _xlfn.XLOOKUP($D61 &amp; "-" &amp; P$2, TrainingMan!$G:$G, TrainingMan!$F:$F, "2-Year") = "Forever",
  "Valid",
  IF(P61="", "Not Trained",
     IF(P61 &lt; TODAY() - 1, "Expired",
        IF(P61 &lt;= TODAY() + 90, "Expiring", "Valid")
     )
  )
)</f>
        <v>Expiring</v>
      </c>
      <c r="R61" s="4">
        <v>46255</v>
      </c>
      <c r="S61" s="4" t="str">
        <f ca="1">IF(
  _xlfn.XLOOKUP($D61 &amp; "-" &amp; R$2, TrainingMan!$G:$G, TrainingMan!$F:$F, "2-Year") = "Forever",
  "Valid",
  IF(R61="", "Not Trained",
     IF(R61 &lt; TODAY() - 1, "Expired",
        IF(R61 &lt;= TODAY() + 90, "Expiring", "Valid")
     )
  )
)</f>
        <v>Expiring</v>
      </c>
      <c r="T61" s="4">
        <v>46255</v>
      </c>
      <c r="U61" s="4" t="str">
        <f ca="1">IF(
  _xlfn.XLOOKUP($D61 &amp; "-" &amp; T$2, TrainingMan!$G:$G, TrainingMan!$F:$F, "2-Year") = "Forever",
  "Valid",
  IF(T61="", "Not Trained",
     IF(T61 &lt; TODAY() - 1, "Expired",
        IF(T61 &lt;= TODAY() + 90, "Expiring", "Valid")
     )
  )
)</f>
        <v>Expiring</v>
      </c>
      <c r="V61" s="4">
        <v>46255</v>
      </c>
      <c r="W61" s="4" t="str">
        <f ca="1">IF(
  _xlfn.XLOOKUP($D61 &amp; "-" &amp; V$2, TrainingMan!$G:$G, TrainingMan!$F:$F, "2-Year") = "Forever",
  "Valid",
  IF(V61="", "Not Trained",
     IF(V61 &lt; TODAY() - 1, "Expired",
        IF(V61 &lt;= TODAY() + 90, "Expiring", "Valid")
     )
  )
)</f>
        <v>Expiring</v>
      </c>
      <c r="X61" s="4">
        <v>46255</v>
      </c>
      <c r="Y61" s="4" t="str">
        <f ca="1">IF(
  _xlfn.XLOOKUP($D61 &amp; "-" &amp; X$2, TrainingMan!$G:$G, TrainingMan!$F:$F, "2-Year") = "Forever",
  "Valid",
  IF(X61="", "Not Trained",
     IF(X61 &lt; TODAY() - 1, "Expired",
        IF(X61 &lt;= TODAY() + 90, "Expiring", "Valid")
     )
  )
)</f>
        <v>Expiring</v>
      </c>
      <c r="Z61" s="4">
        <v>45434</v>
      </c>
      <c r="AA61" s="4" t="str">
        <f ca="1">IF(LEN(TRIM(Z61)) = 0, "Not Trained",
  IF(_xlfn.XLOOKUP($D61 &amp; "-" &amp; Z$2, TrainingMan!$G:$G, TrainingMan!$F:$F, "2-Year") = "Forever", "Valid",
    IF(Z61 &lt; TODAY() - 1, "Expired",
      IF(Z61 &lt;= TODAY() + 90, "Expiring", "Valid")
    )
  )
)</f>
        <v>Valid</v>
      </c>
      <c r="AB61" s="4">
        <v>43728</v>
      </c>
      <c r="AC61" s="4">
        <v>43562</v>
      </c>
      <c r="AD61" s="4">
        <v>45730</v>
      </c>
      <c r="AE61" s="4"/>
      <c r="AF61" s="4"/>
      <c r="AG61" s="4"/>
      <c r="AH61" s="4"/>
      <c r="AI61" s="4"/>
      <c r="AJ61" s="4"/>
      <c r="AN61" s="4"/>
      <c r="AQ61" s="4"/>
      <c r="AR61" s="4"/>
      <c r="AS61" s="4"/>
      <c r="AT61" s="4"/>
      <c r="AU61" s="4"/>
      <c r="BB61" s="4">
        <v>45985</v>
      </c>
      <c r="BC61" s="4" t="s">
        <v>358</v>
      </c>
      <c r="BD61" s="4" t="s">
        <v>316</v>
      </c>
      <c r="BE61" s="4">
        <v>41513</v>
      </c>
      <c r="BF61" s="4"/>
      <c r="BG61" s="4"/>
      <c r="BH61" s="4"/>
      <c r="BI61" s="4">
        <v>44970</v>
      </c>
      <c r="BJ61" s="4" t="s">
        <v>140</v>
      </c>
      <c r="BK61" s="4"/>
      <c r="BL61" s="4"/>
      <c r="BM61" s="4"/>
      <c r="BN61" s="4"/>
      <c r="BO61" s="4"/>
      <c r="BP61" s="4"/>
      <c r="BQ61">
        <f>COUNTIF('TrainingReq (Ach)'!B:B,Table13[[#This Row],[Job Title]])</f>
        <v>13</v>
      </c>
      <c r="BR61" cm="1">
        <f t="array" aca="1" ref="BR6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61" s="5">
        <f t="shared" ca="1" si="0"/>
        <v>1</v>
      </c>
      <c r="BT61" t="s">
        <v>265</v>
      </c>
      <c r="BU61" t="s">
        <v>247</v>
      </c>
      <c r="BV61" t="s">
        <v>256</v>
      </c>
      <c r="BW61" s="4" t="s">
        <v>140</v>
      </c>
      <c r="BZ61">
        <v>12091</v>
      </c>
      <c r="CA61">
        <v>1</v>
      </c>
      <c r="CC61" t="s">
        <v>423</v>
      </c>
      <c r="CD61" s="4"/>
      <c r="CE61" s="4" t="str">
        <f ca="1">IF(
  _xlfn.XLOOKUP($D61 &amp; "-" &amp; CD$2, 'TrainingReq (Ach)'!$G:$G, 'TrainingReq (Ach)'!$F:$F, "2-Year") = "Forever",
  "Valid",
  IF(CD61="", "Not Trained",
     IF(CD61 &lt; TODAY() - 1, "Expired",
        IF(CD61 &lt;= TODAY() + 90, "Expiring", "Valid")
     )
  )
)</f>
        <v>Not Trained</v>
      </c>
      <c r="CF61" t="s">
        <v>250</v>
      </c>
      <c r="CG61" s="4">
        <v>54853</v>
      </c>
      <c r="CH61" s="4" t="str">
        <f ca="1">IF(
  _xlfn.XLOOKUP($D60 &amp; "-" &amp; CG$2, 'TrainingReq (Ach)'!$G:$G, 'TrainingReq (Ach)'!$F:$F, "2-Year") = "Forever",
  "Valid",
  IF(CG60="", "Not Trained",
     IF(CG60 &lt; TODAY() - 1, "Expired",
        IF(CG60 &lt;= TODAY() + 90, "Expiring", "Valid")
     )
  )
)</f>
        <v>Not Trained</v>
      </c>
      <c r="CI61" t="str">
        <f t="shared" si="1"/>
        <v>Eligible</v>
      </c>
      <c r="CJ61" t="str">
        <f t="shared" si="2"/>
        <v>Not eligible</v>
      </c>
    </row>
    <row r="62" spans="1:88" x14ac:dyDescent="0.25">
      <c r="A62">
        <v>60</v>
      </c>
      <c r="B62">
        <v>581310</v>
      </c>
      <c r="C62" t="s">
        <v>424</v>
      </c>
      <c r="D62" t="s">
        <v>6</v>
      </c>
      <c r="E62" t="s">
        <v>292</v>
      </c>
      <c r="F62" t="s">
        <v>422</v>
      </c>
      <c r="G62" t="s">
        <v>48</v>
      </c>
      <c r="H62" s="4">
        <v>46491</v>
      </c>
      <c r="I62" s="4" t="str">
        <f ca="1">IF(
  _xlfn.XLOOKUP($D62 &amp; "-" &amp; H$2, 'TrainingReq (Ach)'!G:G, 'TrainingReq (Ach)'!F:F, "2-Year") = "Forever",
  "Valid",
  IF(H62="", "Not Trained",
     IF(H62 &lt; TODAY() - 1, "Expired",
        IF(H62 &lt;= TODAY() + 90, "Expiring", "Valid")
     )
  )
)</f>
        <v>Valid</v>
      </c>
      <c r="J62" s="4">
        <v>46491</v>
      </c>
      <c r="K62" s="4" t="str">
        <f ca="1">IF(
  _xlfn.XLOOKUP($D62 &amp; "-" &amp; J$2, 'TrainingReq (Ach)'!G:G, 'TrainingReq (Ach)'!F:F, "2-Year") = "Forever",
  "Valid",
  IF(J62="", "Not Trained",
     IF(J62 &lt; TODAY() - 1, "Expired",
        IF(J62 &lt;= TODAY() + 90, "Expiring", "Valid")
     )
  )
)</f>
        <v>Valid</v>
      </c>
      <c r="L62" s="4">
        <v>46921</v>
      </c>
      <c r="M62" s="4" t="str">
        <f ca="1">IF(
  _xlfn.XLOOKUP($D62 &amp; "-" &amp; L$2, TrainingMan!$G:$G, TrainingMan!$F:$F, "2-Year") = "Forever",
  "Valid",
  IF(L62="", "Not Trained",
     IF(L62 &lt; TODAY() - 1, "Expired",
        IF(L62 &lt;= TODAY() + 90, "Expiring", "Valid")
     )
  )
)</f>
        <v>Valid</v>
      </c>
      <c r="N62" s="4">
        <v>46921</v>
      </c>
      <c r="O62" s="4" t="str">
        <f ca="1">IF(
  _xlfn.XLOOKUP($D62 &amp; "-" &amp; N$2, TrainingMan!$G:$G, TrainingMan!$F:$F, "2-Year") = "Forever",
  "Valid",
  IF(N62="", "Not Trained",
     IF(N62 &lt; TODAY() - 1, "Expired",
        IF(N62 &lt;= TODAY() + 90, "Expiring", "Valid")
     )
  )
)</f>
        <v>Valid</v>
      </c>
      <c r="P62" s="4">
        <v>46921</v>
      </c>
      <c r="Q62" s="4" t="str">
        <f ca="1">IF(
  _xlfn.XLOOKUP($D62 &amp; "-" &amp; P$2, TrainingMan!$G:$G, TrainingMan!$F:$F, "2-Year") = "Forever",
  "Valid",
  IF(P62="", "Not Trained",
     IF(P62 &lt; TODAY() - 1, "Expired",
        IF(P62 &lt;= TODAY() + 90, "Expiring", "Valid")
     )
  )
)</f>
        <v>Valid</v>
      </c>
      <c r="R62" s="4">
        <v>46921</v>
      </c>
      <c r="S62" s="4" t="str">
        <f ca="1">IF(
  _xlfn.XLOOKUP($D62 &amp; "-" &amp; R$2, TrainingMan!$G:$G, TrainingMan!$F:$F, "2-Year") = "Forever",
  "Valid",
  IF(R62="", "Not Trained",
     IF(R62 &lt; TODAY() - 1, "Expired",
        IF(R62 &lt;= TODAY() + 90, "Expiring", "Valid")
     )
  )
)</f>
        <v>Valid</v>
      </c>
      <c r="T62" s="4">
        <v>46921</v>
      </c>
      <c r="U62" s="4" t="str">
        <f ca="1">IF(
  _xlfn.XLOOKUP($D62 &amp; "-" &amp; T$2, TrainingMan!$G:$G, TrainingMan!$F:$F, "2-Year") = "Forever",
  "Valid",
  IF(T62="", "Not Trained",
     IF(T62 &lt; TODAY() - 1, "Expired",
        IF(T62 &lt;= TODAY() + 90, "Expiring", "Valid")
     )
  )
)</f>
        <v>Valid</v>
      </c>
      <c r="V62" s="4">
        <v>46527</v>
      </c>
      <c r="W62" s="4" t="str">
        <f ca="1">IF(
  _xlfn.XLOOKUP($D62 &amp; "-" &amp; V$2, TrainingMan!$G:$G, TrainingMan!$F:$F, "2-Year") = "Forever",
  "Valid",
  IF(V62="", "Not Trained",
     IF(V62 &lt; TODAY() - 1, "Expired",
        IF(V62 &lt;= TODAY() + 90, "Expiring", "Valid")
     )
  )
)</f>
        <v>Valid</v>
      </c>
      <c r="X62" s="4">
        <v>46921</v>
      </c>
      <c r="Y62" s="4" t="str">
        <f ca="1">IF(
  _xlfn.XLOOKUP($D62 &amp; "-" &amp; X$2, TrainingMan!$G:$G, TrainingMan!$F:$F, "2-Year") = "Forever",
  "Valid",
  IF(X62="", "Not Trained",
     IF(X62 &lt; TODAY() - 1, "Expired",
        IF(X62 &lt;= TODAY() + 90, "Expiring", "Valid")
     )
  )
)</f>
        <v>Valid</v>
      </c>
      <c r="Z62" s="4">
        <v>45045</v>
      </c>
      <c r="AA62" s="4" t="str">
        <f ca="1">IF(LEN(TRIM(Z62)) = 0, "Not Trained",
  IF(_xlfn.XLOOKUP($D62 &amp; "-" &amp; Z$2, TrainingMan!$G:$G, TrainingMan!$F:$F, "2-Year") = "Forever", "Valid",
    IF(Z62 &lt; TODAY() - 1, "Expired",
      IF(Z62 &lt;= TODAY() + 90, "Expiring", "Valid")
    )
  )
)</f>
        <v>Valid</v>
      </c>
      <c r="AB62" s="4">
        <v>43457</v>
      </c>
      <c r="AC62" s="4">
        <v>43688</v>
      </c>
      <c r="AD62" s="4">
        <v>45534</v>
      </c>
      <c r="AE62" s="4"/>
      <c r="AF62" s="4">
        <v>45924</v>
      </c>
      <c r="AG62" s="4"/>
      <c r="AH62" s="4"/>
      <c r="AI62" s="4"/>
      <c r="AJ62" s="4"/>
      <c r="AN62" s="4"/>
      <c r="AQ62" s="4"/>
      <c r="AR62" s="4"/>
      <c r="AS62" s="4"/>
      <c r="AT62" s="4"/>
      <c r="AU62" s="4"/>
      <c r="BB62" s="4">
        <v>46006</v>
      </c>
      <c r="BC62" s="4" t="s">
        <v>253</v>
      </c>
      <c r="BD62" s="4" t="s">
        <v>425</v>
      </c>
      <c r="BE62" s="4"/>
      <c r="BF62" s="4"/>
      <c r="BG62" s="4">
        <v>43402</v>
      </c>
      <c r="BH62" s="4"/>
      <c r="BI62" s="4">
        <v>44725</v>
      </c>
      <c r="BJ62" s="4" t="s">
        <v>144</v>
      </c>
      <c r="BK62" s="4"/>
      <c r="BL62" s="4"/>
      <c r="BM62" s="4"/>
      <c r="BN62" s="4"/>
      <c r="BO62" s="4"/>
      <c r="BP62" s="4"/>
      <c r="BQ62">
        <f>COUNTIF('TrainingReq (Ach)'!B:B,Table13[[#This Row],[Job Title]])</f>
        <v>15</v>
      </c>
      <c r="BR62" cm="1">
        <f t="array" aca="1" ref="BR6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2" s="5">
        <f t="shared" ca="1" si="0"/>
        <v>1</v>
      </c>
      <c r="BT62" t="s">
        <v>265</v>
      </c>
      <c r="BU62" t="s">
        <v>247</v>
      </c>
      <c r="BV62" t="s">
        <v>256</v>
      </c>
      <c r="BW62" s="4" t="s">
        <v>144</v>
      </c>
      <c r="BZ62" t="s">
        <v>426</v>
      </c>
      <c r="CC62" t="s">
        <v>427</v>
      </c>
      <c r="CD62" s="4">
        <v>46642</v>
      </c>
      <c r="CE62" s="4" t="str">
        <f ca="1">IF(
  _xlfn.XLOOKUP($D62 &amp; "-" &amp; CD$2, 'TrainingReq (Ach)'!$G:$G, 'TrainingReq (Ach)'!$F:$F, "2-Year") = "Forever",
  "Valid",
  IF(CD62="", "Not Trained",
     IF(CD62 &lt; TODAY() - 1, "Expired",
        IF(CD62 &lt;= TODAY() + 90, "Expiring", "Valid")
     )
  )
)</f>
        <v>Valid</v>
      </c>
      <c r="CF62" t="s">
        <v>250</v>
      </c>
      <c r="CG62" s="4">
        <v>54262</v>
      </c>
      <c r="CH62" s="4" t="str">
        <f ca="1">IF(
  _xlfn.XLOOKUP($D61 &amp; "-" &amp; CG$2, 'TrainingReq (Ach)'!$G:$G, 'TrainingReq (Ach)'!$F:$F, "2-Year") = "Forever",
  "Valid",
  IF(CG61="", "Not Trained",
     IF(CG61 &lt; TODAY() - 1, "Expired",
        IF(CG61 &lt;= TODAY() + 90, "Expiring", "Valid")
     )
  )
)</f>
        <v>Valid</v>
      </c>
      <c r="CI62" t="str">
        <f t="shared" si="1"/>
        <v>Eligible</v>
      </c>
      <c r="CJ62" t="str">
        <f t="shared" si="2"/>
        <v>Not eligible</v>
      </c>
    </row>
    <row r="63" spans="1:88" x14ac:dyDescent="0.25">
      <c r="A63">
        <v>61</v>
      </c>
      <c r="B63">
        <v>581616</v>
      </c>
      <c r="C63" t="s">
        <v>428</v>
      </c>
      <c r="D63" t="s">
        <v>6</v>
      </c>
      <c r="E63" t="s">
        <v>292</v>
      </c>
      <c r="F63" t="s">
        <v>422</v>
      </c>
      <c r="G63" t="s">
        <v>51</v>
      </c>
      <c r="H63" s="4">
        <v>46528</v>
      </c>
      <c r="I63" s="4" t="str">
        <f ca="1">IF(
  _xlfn.XLOOKUP($D63 &amp; "-" &amp; H$2, 'TrainingReq (Ach)'!G:G, 'TrainingReq (Ach)'!F:F, "2-Year") = "Forever",
  "Valid",
  IF(H63="", "Not Trained",
     IF(H63 &lt; TODAY() - 1, "Expired",
        IF(H63 &lt;= TODAY() + 90, "Expiring", "Valid")
     )
  )
)</f>
        <v>Valid</v>
      </c>
      <c r="J63" s="4">
        <v>46528</v>
      </c>
      <c r="K63" s="4" t="str">
        <f ca="1">IF(
  _xlfn.XLOOKUP($D63 &amp; "-" &amp; J$2, 'TrainingReq (Ach)'!G:G, 'TrainingReq (Ach)'!F:F, "2-Year") = "Forever",
  "Valid",
  IF(J63="", "Not Trained",
     IF(J63 &lt; TODAY() - 1, "Expired",
        IF(J63 &lt;= TODAY() + 90, "Expiring", "Valid")
     )
  )
)</f>
        <v>Valid</v>
      </c>
      <c r="L63" s="4">
        <v>46933</v>
      </c>
      <c r="M63" s="4" t="str">
        <f ca="1">IF(
  _xlfn.XLOOKUP($D63 &amp; "-" &amp; L$2, TrainingMan!$G:$G, TrainingMan!$F:$F, "2-Year") = "Forever",
  "Valid",
  IF(L63="", "Not Trained",
     IF(L63 &lt; TODAY() - 1, "Expired",
        IF(L63 &lt;= TODAY() + 90, "Expiring", "Valid")
     )
  )
)</f>
        <v>Valid</v>
      </c>
      <c r="N63" s="4">
        <v>46933</v>
      </c>
      <c r="O63" s="4" t="str">
        <f ca="1">IF(
  _xlfn.XLOOKUP($D63 &amp; "-" &amp; N$2, TrainingMan!$G:$G, TrainingMan!$F:$F, "2-Year") = "Forever",
  "Valid",
  IF(N63="", "Not Trained",
     IF(N63 &lt; TODAY() - 1, "Expired",
        IF(N63 &lt;= TODAY() + 90, "Expiring", "Valid")
     )
  )
)</f>
        <v>Valid</v>
      </c>
      <c r="P63" s="4">
        <v>46933</v>
      </c>
      <c r="Q63" s="4" t="str">
        <f ca="1">IF(
  _xlfn.XLOOKUP($D63 &amp; "-" &amp; P$2, TrainingMan!$G:$G, TrainingMan!$F:$F, "2-Year") = "Forever",
  "Valid",
  IF(P63="", "Not Trained",
     IF(P63 &lt; TODAY() - 1, "Expired",
        IF(P63 &lt;= TODAY() + 90, "Expiring", "Valid")
     )
  )
)</f>
        <v>Valid</v>
      </c>
      <c r="R63" s="4">
        <v>46933</v>
      </c>
      <c r="S63" s="4" t="str">
        <f ca="1">IF(
  _xlfn.XLOOKUP($D63 &amp; "-" &amp; R$2, TrainingMan!$G:$G, TrainingMan!$F:$F, "2-Year") = "Forever",
  "Valid",
  IF(R63="", "Not Trained",
     IF(R63 &lt; TODAY() - 1, "Expired",
        IF(R63 &lt;= TODAY() + 90, "Expiring", "Valid")
     )
  )
)</f>
        <v>Valid</v>
      </c>
      <c r="T63" s="4">
        <v>46933</v>
      </c>
      <c r="U63" s="4" t="str">
        <f ca="1">IF(
  _xlfn.XLOOKUP($D63 &amp; "-" &amp; T$2, TrainingMan!$G:$G, TrainingMan!$F:$F, "2-Year") = "Forever",
  "Valid",
  IF(T63="", "Not Trained",
     IF(T63 &lt; TODAY() - 1, "Expired",
        IF(T63 &lt;= TODAY() + 90, "Expiring", "Valid")
     )
  )
)</f>
        <v>Valid</v>
      </c>
      <c r="V63" s="4">
        <v>46933</v>
      </c>
      <c r="W63" s="4" t="str">
        <f ca="1">IF(
  _xlfn.XLOOKUP($D63 &amp; "-" &amp; V$2, TrainingMan!$G:$G, TrainingMan!$F:$F, "2-Year") = "Forever",
  "Valid",
  IF(V63="", "Not Trained",
     IF(V63 &lt; TODAY() - 1, "Expired",
        IF(V63 &lt;= TODAY() + 90, "Expiring", "Valid")
     )
  )
)</f>
        <v>Valid</v>
      </c>
      <c r="X63" s="4">
        <v>46933</v>
      </c>
      <c r="Y63" s="4" t="str">
        <f ca="1">IF(
  _xlfn.XLOOKUP($D63 &amp; "-" &amp; X$2, TrainingMan!$G:$G, TrainingMan!$F:$F, "2-Year") = "Forever",
  "Valid",
  IF(X63="", "Not Trained",
     IF(X63 &lt; TODAY() - 1, "Expired",
        IF(X63 &lt;= TODAY() + 90, "Expiring", "Valid")
     )
  )
)</f>
        <v>Valid</v>
      </c>
      <c r="Z63" s="4">
        <v>45475</v>
      </c>
      <c r="AA63" s="4" t="str">
        <f ca="1">IF(LEN(TRIM(Z63)) = 0, "Not Trained",
  IF(_xlfn.XLOOKUP($D63 &amp; "-" &amp; Z$2, TrainingMan!$G:$G, TrainingMan!$F:$F, "2-Year") = "Forever", "Valid",
    IF(Z63 &lt; TODAY() - 1, "Expired",
      IF(Z63 &lt;= TODAY() + 90, "Expiring", "Valid")
    )
  )
)</f>
        <v>Valid</v>
      </c>
      <c r="AB63" s="4">
        <v>43303</v>
      </c>
      <c r="AC63" s="4">
        <v>44095</v>
      </c>
      <c r="AD63" s="4">
        <v>44827</v>
      </c>
      <c r="AE63" s="4">
        <v>45715</v>
      </c>
      <c r="AF63" s="4">
        <v>44903</v>
      </c>
      <c r="AG63" s="4"/>
      <c r="AH63" s="4"/>
      <c r="AI63" s="4"/>
      <c r="AJ63" s="4"/>
      <c r="AN63" s="4"/>
      <c r="AQ63" s="4"/>
      <c r="AR63" s="4"/>
      <c r="AS63" s="4"/>
      <c r="AT63" s="4"/>
      <c r="AU63" s="4"/>
      <c r="BB63" s="4">
        <v>45894</v>
      </c>
      <c r="BC63" s="4" t="s">
        <v>429</v>
      </c>
      <c r="BD63" s="4" t="s">
        <v>304</v>
      </c>
      <c r="BE63" s="4">
        <v>42033</v>
      </c>
      <c r="BF63" s="4"/>
      <c r="BG63" s="4"/>
      <c r="BH63" s="4"/>
      <c r="BI63" s="4">
        <v>44830</v>
      </c>
      <c r="BJ63" s="4" t="s">
        <v>140</v>
      </c>
      <c r="BK63" s="4" t="s">
        <v>147</v>
      </c>
      <c r="BL63" s="4"/>
      <c r="BM63" s="4"/>
      <c r="BN63" s="4"/>
      <c r="BO63" s="4"/>
      <c r="BP63" s="4"/>
      <c r="BQ63">
        <f>COUNTIF('TrainingReq (Ach)'!B:B,Table13[[#This Row],[Job Title]])</f>
        <v>15</v>
      </c>
      <c r="BR63" cm="1">
        <f t="array" aca="1" ref="BR6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3" s="5">
        <f t="shared" ca="1" si="0"/>
        <v>1</v>
      </c>
      <c r="BT63" t="s">
        <v>265</v>
      </c>
      <c r="BU63" t="s">
        <v>247</v>
      </c>
      <c r="BV63" t="s">
        <v>256</v>
      </c>
      <c r="BW63" s="4" t="s">
        <v>140</v>
      </c>
      <c r="BZ63" t="s">
        <v>430</v>
      </c>
      <c r="CC63" t="s">
        <v>431</v>
      </c>
      <c r="CD63" s="4">
        <v>46582</v>
      </c>
      <c r="CE63" s="4" t="str">
        <f ca="1">IF(
  _xlfn.XLOOKUP($D63 &amp; "-" &amp; CD$2, 'TrainingReq (Ach)'!$G:$G, 'TrainingReq (Ach)'!$F:$F, "2-Year") = "Forever",
  "Valid",
  IF(CD63="", "Not Trained",
     IF(CD63 &lt; TODAY() - 1, "Expired",
        IF(CD63 &lt;= TODAY() + 90, "Expiring", "Valid")
     )
  )
)</f>
        <v>Valid</v>
      </c>
      <c r="CF63" t="s">
        <v>250</v>
      </c>
      <c r="CG63" s="4">
        <v>53893</v>
      </c>
      <c r="CH63" s="4" t="str">
        <f ca="1">IF(
  _xlfn.XLOOKUP($D62 &amp; "-" &amp; CG$2, 'TrainingReq (Ach)'!$G:$G, 'TrainingReq (Ach)'!$F:$F, "2-Year") = "Forever",
  "Valid",
  IF(CG62="", "Not Trained",
     IF(CG62 &lt; TODAY() - 1, "Expired",
        IF(CG62 &lt;= TODAY() + 90, "Expiring", "Valid")
     )
  )
)</f>
        <v>Valid</v>
      </c>
      <c r="CI63" t="str">
        <f t="shared" si="1"/>
        <v>Eligible</v>
      </c>
      <c r="CJ63" t="str">
        <f t="shared" si="2"/>
        <v>Not eligible</v>
      </c>
    </row>
    <row r="64" spans="1:88" x14ac:dyDescent="0.25">
      <c r="A64">
        <v>62</v>
      </c>
      <c r="B64">
        <v>582682</v>
      </c>
      <c r="C64" t="s">
        <v>432</v>
      </c>
      <c r="D64" t="s">
        <v>18</v>
      </c>
      <c r="E64" t="s">
        <v>263</v>
      </c>
      <c r="F64" t="s">
        <v>422</v>
      </c>
      <c r="G64" t="s">
        <v>51</v>
      </c>
      <c r="H64" s="4">
        <v>46506</v>
      </c>
      <c r="I64" s="4" t="str">
        <f ca="1">IF(
  _xlfn.XLOOKUP($D64 &amp; "-" &amp; H$2, 'TrainingReq (Ach)'!G:G, 'TrainingReq (Ach)'!F:F, "2-Year") = "Forever",
  "Valid",
  IF(H64="", "Not Trained",
     IF(H64 &lt; TODAY() - 1, "Expired",
        IF(H64 &lt;= TODAY() + 90, "Expiring", "Valid")
     )
  )
)</f>
        <v>Valid</v>
      </c>
      <c r="J64" s="4">
        <v>46506</v>
      </c>
      <c r="K64" s="4" t="str">
        <f ca="1">IF(
  _xlfn.XLOOKUP($D64 &amp; "-" &amp; J$2, 'TrainingReq (Ach)'!G:G, 'TrainingReq (Ach)'!F:F, "2-Year") = "Forever",
  "Valid",
  IF(J64="", "Not Trained",
     IF(J64 &lt; TODAY() - 1, "Expired",
        IF(J64 &lt;= TODAY() + 90, "Expiring", "Valid")
     )
  )
)</f>
        <v>Valid</v>
      </c>
      <c r="L64" s="4">
        <v>46419</v>
      </c>
      <c r="M64" s="4" t="str">
        <f ca="1">IF(
  _xlfn.XLOOKUP($D64 &amp; "-" &amp; L$2, TrainingMan!$G:$G, TrainingMan!$F:$F, "2-Year") = "Forever",
  "Valid",
  IF(L64="", "Not Trained",
     IF(L64 &lt; TODAY() - 1, "Expired",
        IF(L64 &lt;= TODAY() + 90, "Expiring", "Valid")
     )
  )
)</f>
        <v>Valid</v>
      </c>
      <c r="N64" s="4">
        <v>46418</v>
      </c>
      <c r="O64" s="4" t="str">
        <f ca="1">IF(
  _xlfn.XLOOKUP($D64 &amp; "-" &amp; N$2, TrainingMan!$G:$G, TrainingMan!$F:$F, "2-Year") = "Forever",
  "Valid",
  IF(N64="", "Not Trained",
     IF(N64 &lt; TODAY() - 1, "Expired",
        IF(N64 &lt;= TODAY() + 90, "Expiring", "Valid")
     )
  )
)</f>
        <v>Valid</v>
      </c>
      <c r="P64" s="4">
        <v>46418</v>
      </c>
      <c r="Q64" s="4" t="str">
        <f ca="1">IF(
  _xlfn.XLOOKUP($D64 &amp; "-" &amp; P$2, TrainingMan!$G:$G, TrainingMan!$F:$F, "2-Year") = "Forever",
  "Valid",
  IF(P64="", "Not Trained",
     IF(P64 &lt; TODAY() - 1, "Expired",
        IF(P64 &lt;= TODAY() + 90, "Expiring", "Valid")
     )
  )
)</f>
        <v>Valid</v>
      </c>
      <c r="R64" s="4">
        <v>46418</v>
      </c>
      <c r="S64" s="4" t="str">
        <f ca="1">IF(
  _xlfn.XLOOKUP($D64 &amp; "-" &amp; R$2, TrainingMan!$G:$G, TrainingMan!$F:$F, "2-Year") = "Forever",
  "Valid",
  IF(R64="", "Not Trained",
     IF(R64 &lt; TODAY() - 1, "Expired",
        IF(R64 &lt;= TODAY() + 90, "Expiring", "Valid")
     )
  )
)</f>
        <v>Valid</v>
      </c>
      <c r="T64" s="4">
        <v>46418</v>
      </c>
      <c r="U64" s="4" t="str">
        <f ca="1">IF(
  _xlfn.XLOOKUP($D64 &amp; "-" &amp; T$2, TrainingMan!$G:$G, TrainingMan!$F:$F, "2-Year") = "Forever",
  "Valid",
  IF(T64="", "Not Trained",
     IF(T64 &lt; TODAY() - 1, "Expired",
        IF(T64 &lt;= TODAY() + 90, "Expiring", "Valid")
     )
  )
)</f>
        <v>Valid</v>
      </c>
      <c r="V64" s="4">
        <v>46418</v>
      </c>
      <c r="W64" s="4" t="str">
        <f ca="1">IF(
  _xlfn.XLOOKUP($D64 &amp; "-" &amp; V$2, TrainingMan!$G:$G, TrainingMan!$F:$F, "2-Year") = "Forever",
  "Valid",
  IF(V64="", "Not Trained",
     IF(V64 &lt; TODAY() - 1, "Expired",
        IF(V64 &lt;= TODAY() + 90, "Expiring", "Valid")
     )
  )
)</f>
        <v>Valid</v>
      </c>
      <c r="X64" s="4">
        <v>46418</v>
      </c>
      <c r="Y64" s="4" t="str">
        <f ca="1">IF(
  _xlfn.XLOOKUP($D64 &amp; "-" &amp; X$2, TrainingMan!$G:$G, TrainingMan!$F:$F, "2-Year") = "Forever",
  "Valid",
  IF(X64="", "Not Trained",
     IF(X64 &lt; TODAY() - 1, "Expired",
        IF(X64 &lt;= TODAY() + 90, "Expiring", "Valid")
     )
  )
)</f>
        <v>Valid</v>
      </c>
      <c r="Z64" s="4">
        <v>44857</v>
      </c>
      <c r="AA64" s="4" t="str">
        <f ca="1">IF(LEN(TRIM(Z64)) = 0, "Not Trained",
  IF(_xlfn.XLOOKUP($D64 &amp; "-" &amp; Z$2, TrainingMan!$G:$G, TrainingMan!$F:$F, "2-Year") = "Forever", "Valid",
    IF(Z64 &lt; TODAY() - 1, "Expired",
      IF(Z64 &lt;= TODAY() + 90, "Expiring", "Valid")
    )
  )
)</f>
        <v>Valid</v>
      </c>
      <c r="AB64" s="4">
        <v>44235</v>
      </c>
      <c r="AC64" s="4">
        <v>45737</v>
      </c>
      <c r="AD64" s="4">
        <v>44755</v>
      </c>
      <c r="AE64" s="4">
        <v>45183</v>
      </c>
      <c r="AF64" s="4">
        <v>45824</v>
      </c>
      <c r="AG64" s="4">
        <v>45861</v>
      </c>
      <c r="AH64" s="4"/>
      <c r="AI64" s="4"/>
      <c r="AJ64" s="4"/>
      <c r="AN64" s="4"/>
      <c r="AQ64" s="4"/>
      <c r="AR64" s="4"/>
      <c r="AS64" s="4"/>
      <c r="AT64" s="4"/>
      <c r="AU64" s="4"/>
      <c r="BB64" s="4">
        <v>46430</v>
      </c>
      <c r="BC64" s="4" t="s">
        <v>297</v>
      </c>
      <c r="BD64" s="4" t="s">
        <v>328</v>
      </c>
      <c r="BE64" s="4"/>
      <c r="BF64" s="4"/>
      <c r="BG64" s="4"/>
      <c r="BH64" s="4"/>
      <c r="BI64" s="4">
        <v>44473</v>
      </c>
      <c r="BJ64" s="4" t="s">
        <v>144</v>
      </c>
      <c r="BK64" s="4" t="s">
        <v>145</v>
      </c>
      <c r="BL64" s="4"/>
      <c r="BM64" s="4"/>
      <c r="BN64" s="4" t="s">
        <v>318</v>
      </c>
      <c r="BO64" s="4"/>
      <c r="BP64" s="4"/>
      <c r="BQ64">
        <f>COUNTIF('TrainingReq (Ach)'!B:B,Table13[[#This Row],[Job Title]])</f>
        <v>15</v>
      </c>
      <c r="BR64" cm="1">
        <f t="array" aca="1" ref="BR6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4" s="5">
        <f t="shared" ca="1" si="0"/>
        <v>1</v>
      </c>
      <c r="BT64" t="s">
        <v>246</v>
      </c>
      <c r="BU64" t="s">
        <v>247</v>
      </c>
      <c r="BV64" t="s">
        <v>270</v>
      </c>
      <c r="BW64" s="4" t="s">
        <v>144</v>
      </c>
      <c r="BX64" s="4" t="s">
        <v>145</v>
      </c>
      <c r="BZ64" t="s">
        <v>433</v>
      </c>
      <c r="CC64" t="s">
        <v>434</v>
      </c>
      <c r="CD64" s="4">
        <v>47165</v>
      </c>
      <c r="CE64" s="4" t="str">
        <f ca="1">IF(
  _xlfn.XLOOKUP($D64 &amp; "-" &amp; CD$2, 'TrainingReq (Ach)'!$G:$G, 'TrainingReq (Ach)'!$F:$F, "2-Year") = "Forever",
  "Valid",
  IF(CD64="", "Not Trained",
     IF(CD64 &lt; TODAY() - 1, "Expired",
        IF(CD64 &lt;= TODAY() + 90, "Expiring", "Valid")
     )
  )
)</f>
        <v>Valid</v>
      </c>
      <c r="CF64" t="s">
        <v>250</v>
      </c>
      <c r="CG64" s="4">
        <v>56081</v>
      </c>
      <c r="CH64" s="4" t="str">
        <f ca="1">IF(
  _xlfn.XLOOKUP($D63 &amp; "-" &amp; CG$2, 'TrainingReq (Ach)'!$G:$G, 'TrainingReq (Ach)'!$F:$F, "2-Year") = "Forever",
  "Valid",
  IF(CG63="", "Not Trained",
     IF(CG63 &lt; TODAY() - 1, "Expired",
        IF(CG63 &lt;= TODAY() + 90, "Expiring", "Valid")
     )
  )
)</f>
        <v>Valid</v>
      </c>
      <c r="CI64" t="str">
        <f t="shared" si="1"/>
        <v>Eligible</v>
      </c>
      <c r="CJ64" t="str">
        <f t="shared" si="2"/>
        <v>Eligible</v>
      </c>
    </row>
    <row r="65" spans="1:88" x14ac:dyDescent="0.25">
      <c r="A65">
        <v>63</v>
      </c>
      <c r="B65">
        <v>583733</v>
      </c>
      <c r="C65" t="s">
        <v>93</v>
      </c>
      <c r="D65" t="s">
        <v>18</v>
      </c>
      <c r="E65" t="s">
        <v>263</v>
      </c>
      <c r="F65" t="s">
        <v>422</v>
      </c>
      <c r="G65" t="s">
        <v>51</v>
      </c>
      <c r="H65" s="4">
        <v>46542</v>
      </c>
      <c r="I65" s="4" t="str">
        <f ca="1">IF(
  _xlfn.XLOOKUP($D65 &amp; "-" &amp; H$2, 'TrainingReq (Ach)'!G:G, 'TrainingReq (Ach)'!F:F, "2-Year") = "Forever",
  "Valid",
  IF(H65="", "Not Trained",
     IF(H65 &lt; TODAY() - 1, "Expired",
        IF(H65 &lt;= TODAY() + 90, "Expiring", "Valid")
     )
  )
)</f>
        <v>Valid</v>
      </c>
      <c r="J65" s="4">
        <v>46542</v>
      </c>
      <c r="K65" s="4" t="str">
        <f ca="1">IF(
  _xlfn.XLOOKUP($D65 &amp; "-" &amp; J$2, 'TrainingReq (Ach)'!G:G, 'TrainingReq (Ach)'!F:F, "2-Year") = "Forever",
  "Valid",
  IF(J65="", "Not Trained",
     IF(J65 &lt; TODAY() - 1, "Expired",
        IF(J65 &lt;= TODAY() + 90, "Expiring", "Valid")
     )
  )
)</f>
        <v>Valid</v>
      </c>
      <c r="L65" s="4">
        <v>46662</v>
      </c>
      <c r="M65" s="4" t="str">
        <f ca="1">IF(
  _xlfn.XLOOKUP($D65 &amp; "-" &amp; L$2, TrainingMan!$G:$G, TrainingMan!$F:$F, "2-Year") = "Forever",
  "Valid",
  IF(L65="", "Not Trained",
     IF(L65 &lt; TODAY() - 1, "Expired",
        IF(L65 &lt;= TODAY() + 90, "Expiring", "Valid")
     )
  )
)</f>
        <v>Valid</v>
      </c>
      <c r="N65" s="4">
        <v>46637</v>
      </c>
      <c r="O65" s="4" t="str">
        <f ca="1">IF(
  _xlfn.XLOOKUP($D65 &amp; "-" &amp; N$2, TrainingMan!$G:$G, TrainingMan!$F:$F, "2-Year") = "Forever",
  "Valid",
  IF(N65="", "Not Trained",
     IF(N65 &lt; TODAY() - 1, "Expired",
        IF(N65 &lt;= TODAY() + 90, "Expiring", "Valid")
     )
  )
)</f>
        <v>Valid</v>
      </c>
      <c r="P65" s="4">
        <v>46606</v>
      </c>
      <c r="Q65" s="4" t="str">
        <f ca="1">IF(
  _xlfn.XLOOKUP($D65 &amp; "-" &amp; P$2, TrainingMan!$G:$G, TrainingMan!$F:$F, "2-Year") = "Forever",
  "Valid",
  IF(P65="", "Not Trained",
     IF(P65 &lt; TODAY() - 1, "Expired",
        IF(P65 &lt;= TODAY() + 90, "Expiring", "Valid")
     )
  )
)</f>
        <v>Valid</v>
      </c>
      <c r="R65" s="4">
        <v>46637</v>
      </c>
      <c r="S65" s="4" t="str">
        <f ca="1">IF(
  _xlfn.XLOOKUP($D65 &amp; "-" &amp; R$2, TrainingMan!$G:$G, TrainingMan!$F:$F, "2-Year") = "Forever",
  "Valid",
  IF(R65="", "Not Trained",
     IF(R65 &lt; TODAY() - 1, "Expired",
        IF(R65 &lt;= TODAY() + 90, "Expiring", "Valid")
     )
  )
)</f>
        <v>Valid</v>
      </c>
      <c r="T65" s="4">
        <v>46646</v>
      </c>
      <c r="U65" s="4" t="str">
        <f ca="1">IF(
  _xlfn.XLOOKUP($D65 &amp; "-" &amp; T$2, TrainingMan!$G:$G, TrainingMan!$F:$F, "2-Year") = "Forever",
  "Valid",
  IF(T65="", "Not Trained",
     IF(T65 &lt; TODAY() - 1, "Expired",
        IF(T65 &lt;= TODAY() + 90, "Expiring", "Valid")
     )
  )
)</f>
        <v>Valid</v>
      </c>
      <c r="V65" s="4">
        <v>46318</v>
      </c>
      <c r="W65" s="4" t="str">
        <f ca="1">IF(
  _xlfn.XLOOKUP($D65 &amp; "-" &amp; V$2, TrainingMan!$G:$G, TrainingMan!$F:$F, "2-Year") = "Forever",
  "Valid",
  IF(V65="", "Not Trained",
     IF(V65 &lt; TODAY() - 1, "Expired",
        IF(V65 &lt;= TODAY() + 90, "Expiring", "Valid")
     )
  )
)</f>
        <v>Expiring</v>
      </c>
      <c r="X65" s="4">
        <v>46637</v>
      </c>
      <c r="Y65" s="4" t="str">
        <f ca="1">IF(
  _xlfn.XLOOKUP($D65 &amp; "-" &amp; X$2, TrainingMan!$G:$G, TrainingMan!$F:$F, "2-Year") = "Forever",
  "Valid",
  IF(X65="", "Not Trained",
     IF(X65 &lt; TODAY() - 1, "Expired",
        IF(X65 &lt;= TODAY() + 90, "Expiring", "Valid")
     )
  )
)</f>
        <v>Valid</v>
      </c>
      <c r="Z65" s="4">
        <v>45113</v>
      </c>
      <c r="AA65" s="4" t="str">
        <f ca="1">IF(LEN(TRIM(Z65)) = 0, "Not Trained",
  IF(_xlfn.XLOOKUP($D65 &amp; "-" &amp; Z$2, TrainingMan!$G:$G, TrainingMan!$F:$F, "2-Year") = "Forever", "Valid",
    IF(Z65 &lt; TODAY() - 1, "Expired",
      IF(Z65 &lt;= TODAY() + 90, "Expiring", "Valid")
    )
  )
)</f>
        <v>Valid</v>
      </c>
      <c r="AB65" s="4">
        <v>45396</v>
      </c>
      <c r="AC65" s="4">
        <v>46062</v>
      </c>
      <c r="AD65" s="4">
        <v>45000</v>
      </c>
      <c r="AE65" s="4"/>
      <c r="AF65" s="4"/>
      <c r="AG65" s="4"/>
      <c r="AH65" s="4"/>
      <c r="AI65" s="4"/>
      <c r="AJ65" s="4"/>
      <c r="AN65" s="4"/>
      <c r="AQ65" s="4"/>
      <c r="AR65" s="4"/>
      <c r="AS65" s="4"/>
      <c r="AT65" s="4"/>
      <c r="AU65" s="4"/>
      <c r="BB65" s="4">
        <v>46074</v>
      </c>
      <c r="BC65" s="4" t="s">
        <v>297</v>
      </c>
      <c r="BD65" s="4" t="s">
        <v>435</v>
      </c>
      <c r="BE65" s="4"/>
      <c r="BF65" s="4">
        <v>42982</v>
      </c>
      <c r="BG65" s="4"/>
      <c r="BH65" s="4"/>
      <c r="BI65" s="4">
        <v>45145</v>
      </c>
      <c r="BJ65" s="4" t="s">
        <v>140</v>
      </c>
      <c r="BK65" s="4"/>
      <c r="BL65" s="4"/>
      <c r="BM65" s="4"/>
      <c r="BN65" s="4"/>
      <c r="BO65" s="4"/>
      <c r="BP65" s="4"/>
      <c r="BQ65">
        <f>COUNTIF('TrainingReq (Ach)'!B:B,Table13[[#This Row],[Job Title]])</f>
        <v>15</v>
      </c>
      <c r="BR65" cm="1">
        <f t="array" aca="1" ref="BR6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5" s="5">
        <f t="shared" ca="1" si="0"/>
        <v>1</v>
      </c>
      <c r="BT65" t="s">
        <v>265</v>
      </c>
      <c r="BU65" t="s">
        <v>247</v>
      </c>
      <c r="BW65" s="4"/>
      <c r="CC65" t="s">
        <v>436</v>
      </c>
      <c r="CD65" s="4"/>
      <c r="CE65" s="4" t="str">
        <f ca="1">IF(
  _xlfn.XLOOKUP($D65 &amp; "-" &amp; CD$2, 'TrainingReq (Ach)'!$G:$G, 'TrainingReq (Ach)'!$F:$F, "2-Year") = "Forever",
  "Valid",
  IF(CD65="", "Not Trained",
     IF(CD65 &lt; TODAY() - 1, "Expired",
        IF(CD65 &lt;= TODAY() + 90, "Expiring", "Valid")
     )
  )
)</f>
        <v>Not Trained</v>
      </c>
      <c r="CF65" t="s">
        <v>250</v>
      </c>
      <c r="CG65" s="4">
        <v>56833</v>
      </c>
      <c r="CH65" s="4" t="str">
        <f ca="1">IF(
  _xlfn.XLOOKUP($D64 &amp; "-" &amp; CG$2, 'TrainingReq (Ach)'!$G:$G, 'TrainingReq (Ach)'!$F:$F, "2-Year") = "Forever",
  "Valid",
  IF(CG64="", "Not Trained",
     IF(CG64 &lt; TODAY() - 1, "Expired",
        IF(CG64 &lt;= TODAY() + 90, "Expiring", "Valid")
     )
  )
)</f>
        <v>Valid</v>
      </c>
      <c r="CI65" t="str">
        <f t="shared" si="1"/>
        <v>Not eligible</v>
      </c>
      <c r="CJ65" t="str">
        <f t="shared" si="2"/>
        <v>Not eligible</v>
      </c>
    </row>
    <row r="66" spans="1:88" x14ac:dyDescent="0.25">
      <c r="A66">
        <v>64</v>
      </c>
      <c r="B66">
        <v>533496</v>
      </c>
      <c r="C66" t="s">
        <v>74</v>
      </c>
      <c r="D66" t="s">
        <v>6</v>
      </c>
      <c r="E66" t="s">
        <v>243</v>
      </c>
      <c r="F66" t="s">
        <v>422</v>
      </c>
      <c r="G66" t="s">
        <v>51</v>
      </c>
      <c r="H66" s="4">
        <v>46560</v>
      </c>
      <c r="I66" s="4" t="str">
        <f ca="1">IF(
  _xlfn.XLOOKUP($D66 &amp; "-" &amp; H$2, 'TrainingReq (Ach)'!G:G, 'TrainingReq (Ach)'!F:F, "2-Year") = "Forever",
  "Valid",
  IF(H66="", "Not Trained",
     IF(H66 &lt; TODAY() - 1, "Expired",
        IF(H66 &lt;= TODAY() + 90, "Expiring", "Valid")
     )
  )
)</f>
        <v>Valid</v>
      </c>
      <c r="J66" s="4">
        <v>46560</v>
      </c>
      <c r="K66" s="4" t="str">
        <f ca="1">IF(
  _xlfn.XLOOKUP($D66 &amp; "-" &amp; J$2, 'TrainingReq (Ach)'!G:G, 'TrainingReq (Ach)'!F:F, "2-Year") = "Forever",
  "Valid",
  IF(J66="", "Not Trained",
     IF(J66 &lt; TODAY() - 1, "Expired",
        IF(J66 &lt;= TODAY() + 90, "Expiring", "Valid")
     )
  )
)</f>
        <v>Valid</v>
      </c>
      <c r="L66" s="4">
        <v>46374</v>
      </c>
      <c r="M66" s="4" t="str">
        <f ca="1">IF(
  _xlfn.XLOOKUP($D66 &amp; "-" &amp; L$2, TrainingMan!$G:$G, TrainingMan!$F:$F, "2-Year") = "Forever",
  "Valid",
  IF(L66="", "Not Trained",
     IF(L66 &lt; TODAY() - 1, "Expired",
        IF(L66 &lt;= TODAY() + 90, "Expiring", "Valid")
     )
  )
)</f>
        <v>Valid</v>
      </c>
      <c r="N66" s="4">
        <v>46374</v>
      </c>
      <c r="O66" s="4" t="str">
        <f ca="1">IF(
  _xlfn.XLOOKUP($D66 &amp; "-" &amp; N$2, TrainingMan!$G:$G, TrainingMan!$F:$F, "2-Year") = "Forever",
  "Valid",
  IF(N66="", "Not Trained",
     IF(N66 &lt; TODAY() - 1, "Expired",
        IF(N66 &lt;= TODAY() + 90, "Expiring", "Valid")
     )
  )
)</f>
        <v>Valid</v>
      </c>
      <c r="P66" s="4">
        <v>46374</v>
      </c>
      <c r="Q66" s="4" t="str">
        <f ca="1">IF(
  _xlfn.XLOOKUP($D66 &amp; "-" &amp; P$2, TrainingMan!$G:$G, TrainingMan!$F:$F, "2-Year") = "Forever",
  "Valid",
  IF(P66="", "Not Trained",
     IF(P66 &lt; TODAY() - 1, "Expired",
        IF(P66 &lt;= TODAY() + 90, "Expiring", "Valid")
     )
  )
)</f>
        <v>Valid</v>
      </c>
      <c r="R66" s="4">
        <v>46374</v>
      </c>
      <c r="S66" s="4" t="str">
        <f ca="1">IF(
  _xlfn.XLOOKUP($D66 &amp; "-" &amp; R$2, TrainingMan!$G:$G, TrainingMan!$F:$F, "2-Year") = "Forever",
  "Valid",
  IF(R66="", "Not Trained",
     IF(R66 &lt; TODAY() - 1, "Expired",
        IF(R66 &lt;= TODAY() + 90, "Expiring", "Valid")
     )
  )
)</f>
        <v>Valid</v>
      </c>
      <c r="T66" s="4">
        <v>46374</v>
      </c>
      <c r="U66" s="4" t="str">
        <f ca="1">IF(
  _xlfn.XLOOKUP($D66 &amp; "-" &amp; T$2, TrainingMan!$G:$G, TrainingMan!$F:$F, "2-Year") = "Forever",
  "Valid",
  IF(T66="", "Not Trained",
     IF(T66 &lt; TODAY() - 1, "Expired",
        IF(T66 &lt;= TODAY() + 90, "Expiring", "Valid")
     )
  )
)</f>
        <v>Valid</v>
      </c>
      <c r="V66" s="4">
        <v>46374</v>
      </c>
      <c r="W66" s="4" t="str">
        <f ca="1">IF(
  _xlfn.XLOOKUP($D66 &amp; "-" &amp; V$2, TrainingMan!$G:$G, TrainingMan!$F:$F, "2-Year") = "Forever",
  "Valid",
  IF(V66="", "Not Trained",
     IF(V66 &lt; TODAY() - 1, "Expired",
        IF(V66 &lt;= TODAY() + 90, "Expiring", "Valid")
     )
  )
)</f>
        <v>Valid</v>
      </c>
      <c r="X66" s="4">
        <v>46374</v>
      </c>
      <c r="Y66" s="4" t="str">
        <f ca="1">IF(
  _xlfn.XLOOKUP($D66 &amp; "-" &amp; X$2, TrainingMan!$G:$G, TrainingMan!$F:$F, "2-Year") = "Forever",
  "Valid",
  IF(X66="", "Not Trained",
     IF(X66 &lt; TODAY() - 1, "Expired",
        IF(X66 &lt;= TODAY() + 90, "Expiring", "Valid")
     )
  )
)</f>
        <v>Valid</v>
      </c>
      <c r="Z66" s="4">
        <v>45593</v>
      </c>
      <c r="AA66" s="4" t="str">
        <f ca="1">IF(LEN(TRIM(Z66)) = 0, "Not Trained",
  IF(_xlfn.XLOOKUP($D66 &amp; "-" &amp; Z$2, TrainingMan!$G:$G, TrainingMan!$F:$F, "2-Year") = "Forever", "Valid",
    IF(Z66 &lt; TODAY() - 1, "Expired",
      IF(Z66 &lt;= TODAY() + 90, "Expiring", "Valid")
    )
  )
)</f>
        <v>Valid</v>
      </c>
      <c r="AB66" s="4">
        <v>40856</v>
      </c>
      <c r="AC66" s="4">
        <v>43593</v>
      </c>
      <c r="AD66" s="4">
        <v>43001</v>
      </c>
      <c r="AE66" s="4"/>
      <c r="AF66" s="4">
        <v>45852</v>
      </c>
      <c r="AG66" s="4"/>
      <c r="AH66" s="4"/>
      <c r="AI66" s="4"/>
      <c r="AJ66" s="4"/>
      <c r="AN66" s="4"/>
      <c r="AQ66" s="4"/>
      <c r="AR66" s="4"/>
      <c r="AS66" s="4"/>
      <c r="AT66" s="4"/>
      <c r="AU66" s="4"/>
      <c r="BB66" s="4"/>
      <c r="BC66" s="4" t="s">
        <v>437</v>
      </c>
      <c r="BD66" s="4">
        <v>45979</v>
      </c>
      <c r="BE66" s="4"/>
      <c r="BF66" s="4"/>
      <c r="BG66" s="4"/>
      <c r="BH66" s="4"/>
      <c r="BI66" s="4">
        <v>42697</v>
      </c>
      <c r="BJ66" s="4" t="s">
        <v>149</v>
      </c>
      <c r="BK66" s="4"/>
      <c r="BL66" s="4"/>
      <c r="BM66" s="4"/>
      <c r="BN66" s="4"/>
      <c r="BO66" s="4"/>
      <c r="BP66" s="4"/>
      <c r="BQ66">
        <f>COUNTIF('TrainingReq (Ach)'!B:B,Table13[[#This Row],[Job Title]])</f>
        <v>15</v>
      </c>
      <c r="BR66" cm="1">
        <f t="array" aca="1" ref="BR6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66" s="5">
        <f t="shared" ca="1" si="0"/>
        <v>0.93333333333333335</v>
      </c>
      <c r="BT66" t="s">
        <v>438</v>
      </c>
      <c r="BU66" t="s">
        <v>247</v>
      </c>
      <c r="BV66" t="s">
        <v>256</v>
      </c>
      <c r="BW66" s="4" t="s">
        <v>149</v>
      </c>
      <c r="BZ66" t="s">
        <v>439</v>
      </c>
      <c r="CA66">
        <v>1</v>
      </c>
      <c r="CC66" t="s">
        <v>440</v>
      </c>
      <c r="CD66" s="4">
        <v>45945</v>
      </c>
      <c r="CE66" s="4" t="str">
        <f ca="1">IF(
  _xlfn.XLOOKUP($D66 &amp; "-" &amp; CD$2, 'TrainingReq (Ach)'!$G:$G, 'TrainingReq (Ach)'!$F:$F, "2-Year") = "Forever",
  "Valid",
  IF(CD66="", "Not Trained",
     IF(CD66 &lt; TODAY() - 1, "Expired",
        IF(CD66 &lt;= TODAY() + 90, "Expiring", "Valid")
     )
  )
)</f>
        <v>Expired</v>
      </c>
      <c r="CF66" t="s">
        <v>250</v>
      </c>
      <c r="CG66" s="4">
        <v>53440</v>
      </c>
      <c r="CH66" s="4" t="str">
        <f ca="1">IF(
  _xlfn.XLOOKUP($D65 &amp; "-" &amp; CG$2, 'TrainingReq (Ach)'!$G:$G, 'TrainingReq (Ach)'!$F:$F, "2-Year") = "Forever",
  "Valid",
  IF(CG65="", "Not Trained",
     IF(CG65 &lt; TODAY() - 1, "Expired",
        IF(CG65 &lt;= TODAY() + 90, "Expiring", "Valid")
     )
  )
)</f>
        <v>Valid</v>
      </c>
      <c r="CI66" t="str">
        <f t="shared" si="1"/>
        <v>Eligible</v>
      </c>
      <c r="CJ66" t="str">
        <f t="shared" si="2"/>
        <v>Not eligible</v>
      </c>
    </row>
    <row r="67" spans="1:88" x14ac:dyDescent="0.25">
      <c r="A67">
        <v>65</v>
      </c>
      <c r="B67">
        <v>533508</v>
      </c>
      <c r="C67" t="s">
        <v>441</v>
      </c>
      <c r="D67" t="s">
        <v>6</v>
      </c>
      <c r="E67" t="s">
        <v>243</v>
      </c>
      <c r="F67" t="s">
        <v>422</v>
      </c>
      <c r="G67" t="s">
        <v>51</v>
      </c>
      <c r="H67" s="4">
        <v>46647</v>
      </c>
      <c r="I67" s="4" t="str">
        <f ca="1">IF(
  _xlfn.XLOOKUP($D67 &amp; "-" &amp; H$2, 'TrainingReq (Ach)'!G:G, 'TrainingReq (Ach)'!F:F, "2-Year") = "Forever",
  "Valid",
  IF(H67="", "Not Trained",
     IF(H67 &lt; TODAY() - 1, "Expired",
        IF(H67 &lt;= TODAY() + 90, "Expiring", "Valid")
     )
  )
)</f>
        <v>Valid</v>
      </c>
      <c r="J67" s="4">
        <v>46647</v>
      </c>
      <c r="K67" s="4" t="str">
        <f ca="1">IF(
  _xlfn.XLOOKUP($D67 &amp; "-" &amp; J$2, 'TrainingReq (Ach)'!G:G, 'TrainingReq (Ach)'!F:F, "2-Year") = "Forever",
  "Valid",
  IF(J67="", "Not Trained",
     IF(J67 &lt; TODAY() - 1, "Expired",
        IF(J67 &lt;= TODAY() + 90, "Expiring", "Valid")
     )
  )
)</f>
        <v>Valid</v>
      </c>
      <c r="L67" s="4">
        <v>46254</v>
      </c>
      <c r="M67" s="4" t="str">
        <f ca="1">IF(
  _xlfn.XLOOKUP($D67 &amp; "-" &amp; L$2, TrainingMan!$G:$G, TrainingMan!$F:$F, "2-Year") = "Forever",
  "Valid",
  IF(L67="", "Not Trained",
     IF(L67 &lt; TODAY() - 1, "Expired",
        IF(L67 &lt;= TODAY() + 90, "Expiring", "Valid")
     )
  )
)</f>
        <v>Expiring</v>
      </c>
      <c r="N67" s="4">
        <v>46334</v>
      </c>
      <c r="O67" s="4" t="str">
        <f ca="1">IF(
  _xlfn.XLOOKUP($D67 &amp; "-" &amp; N$2, TrainingMan!$G:$G, TrainingMan!$F:$F, "2-Year") = "Forever",
  "Valid",
  IF(N67="", "Not Trained",
     IF(N67 &lt; TODAY() - 1, "Expired",
        IF(N67 &lt;= TODAY() + 90, "Expiring", "Valid")
     )
  )
)</f>
        <v>Expiring</v>
      </c>
      <c r="P67" s="4">
        <v>46334</v>
      </c>
      <c r="Q67" s="4" t="str">
        <f ca="1">IF(
  _xlfn.XLOOKUP($D67 &amp; "-" &amp; P$2, TrainingMan!$G:$G, TrainingMan!$F:$F, "2-Year") = "Forever",
  "Valid",
  IF(P67="", "Not Trained",
     IF(P67 &lt; TODAY() - 1, "Expired",
        IF(P67 &lt;= TODAY() + 90, "Expiring", "Valid")
     )
  )
)</f>
        <v>Expiring</v>
      </c>
      <c r="R67" s="4">
        <v>46544</v>
      </c>
      <c r="S67" s="4" t="str">
        <f ca="1">IF(
  _xlfn.XLOOKUP($D67 &amp; "-" &amp; R$2, TrainingMan!$G:$G, TrainingMan!$F:$F, "2-Year") = "Forever",
  "Valid",
  IF(R67="", "Not Trained",
     IF(R67 &lt; TODAY() - 1, "Expired",
        IF(R67 &lt;= TODAY() + 90, "Expiring", "Valid")
     )
  )
)</f>
        <v>Valid</v>
      </c>
      <c r="T67" s="4">
        <v>46334</v>
      </c>
      <c r="U67" s="4" t="str">
        <f ca="1">IF(
  _xlfn.XLOOKUP($D67 &amp; "-" &amp; T$2, TrainingMan!$G:$G, TrainingMan!$F:$F, "2-Year") = "Forever",
  "Valid",
  IF(T67="", "Not Trained",
     IF(T67 &lt; TODAY() - 1, "Expired",
        IF(T67 &lt;= TODAY() + 90, "Expiring", "Valid")
     )
  )
)</f>
        <v>Expiring</v>
      </c>
      <c r="V67" s="4">
        <v>46334</v>
      </c>
      <c r="W67" s="4" t="str">
        <f ca="1">IF(
  _xlfn.XLOOKUP($D67 &amp; "-" &amp; V$2, TrainingMan!$G:$G, TrainingMan!$F:$F, "2-Year") = "Forever",
  "Valid",
  IF(V67="", "Not Trained",
     IF(V67 &lt; TODAY() - 1, "Expired",
        IF(V67 &lt;= TODAY() + 90, "Expiring", "Valid")
     )
  )
)</f>
        <v>Expiring</v>
      </c>
      <c r="X67" s="4">
        <v>46544</v>
      </c>
      <c r="Y67" s="4" t="str">
        <f ca="1">IF(
  _xlfn.XLOOKUP($D67 &amp; "-" &amp; X$2, TrainingMan!$G:$G, TrainingMan!$F:$F, "2-Year") = "Forever",
  "Valid",
  IF(X67="", "Not Trained",
     IF(X67 &lt; TODAY() - 1, "Expired",
        IF(X67 &lt;= TODAY() + 90, "Expiring", "Valid")
     )
  )
)</f>
        <v>Valid</v>
      </c>
      <c r="Z67" s="4">
        <v>44728</v>
      </c>
      <c r="AA67" s="4" t="str">
        <f ca="1">IF(LEN(TRIM(Z67)) = 0, "Not Trained",
  IF(_xlfn.XLOOKUP($D67 &amp; "-" &amp; Z$2, TrainingMan!$G:$G, TrainingMan!$F:$F, "2-Year") = "Forever", "Valid",
    IF(Z67 &lt; TODAY() - 1, "Expired",
      IF(Z67 &lt;= TODAY() + 90, "Expiring", "Valid")
    )
  )
)</f>
        <v>Valid</v>
      </c>
      <c r="AB67" s="4">
        <v>40851</v>
      </c>
      <c r="AC67" s="4">
        <v>43653</v>
      </c>
      <c r="AD67" s="4">
        <v>43310</v>
      </c>
      <c r="AE67" s="4">
        <v>43512</v>
      </c>
      <c r="AF67" s="4">
        <v>45881</v>
      </c>
      <c r="AG67" s="4"/>
      <c r="AH67" s="4"/>
      <c r="AI67" s="4"/>
      <c r="AJ67" s="4"/>
      <c r="AN67" s="4"/>
      <c r="AQ67" s="4"/>
      <c r="AR67" s="4"/>
      <c r="AS67" s="4"/>
      <c r="AT67" s="4"/>
      <c r="AU67" s="4"/>
      <c r="BB67" s="4">
        <v>46318</v>
      </c>
      <c r="BC67" s="4" t="s">
        <v>289</v>
      </c>
      <c r="BD67" s="4"/>
      <c r="BE67" s="4"/>
      <c r="BF67" s="4"/>
      <c r="BG67" s="4"/>
      <c r="BH67" s="4"/>
      <c r="BI67" s="4">
        <v>42940</v>
      </c>
      <c r="BJ67" s="4" t="s">
        <v>145</v>
      </c>
      <c r="BK67" s="4" t="s">
        <v>146</v>
      </c>
      <c r="BL67" s="4"/>
      <c r="BM67" s="4"/>
      <c r="BN67" s="4"/>
      <c r="BO67" s="4"/>
      <c r="BP67" s="4"/>
      <c r="BQ67">
        <f>COUNTIF('TrainingReq (Ach)'!B:B,Table13[[#This Row],[Job Title]])</f>
        <v>15</v>
      </c>
      <c r="BR67" cm="1">
        <f t="array" aca="1" ref="BR6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67" s="5">
        <f t="shared" ref="BS67:BS130" ca="1" si="3">BR67/BQ67</f>
        <v>0.93333333333333335</v>
      </c>
      <c r="BT67" t="s">
        <v>338</v>
      </c>
      <c r="BU67" t="s">
        <v>247</v>
      </c>
      <c r="BV67" t="s">
        <v>256</v>
      </c>
      <c r="BW67" s="4" t="s">
        <v>145</v>
      </c>
      <c r="BZ67" t="s">
        <v>442</v>
      </c>
      <c r="CA67">
        <v>1</v>
      </c>
      <c r="CC67" t="s">
        <v>443</v>
      </c>
      <c r="CD67" s="4">
        <v>47108</v>
      </c>
      <c r="CE67" s="4" t="str">
        <f ca="1">IF(
  _xlfn.XLOOKUP($D67 &amp; "-" &amp; CD$2, 'TrainingReq (Ach)'!$G:$G, 'TrainingReq (Ach)'!$F:$F, "2-Year") = "Forever",
  "Valid",
  IF(CD67="", "Not Trained",
     IF(CD67 &lt; TODAY() - 1, "Expired",
        IF(CD67 &lt;= TODAY() + 90, "Expiring", "Valid")
     )
  )
)</f>
        <v>Valid</v>
      </c>
      <c r="CF67" t="s">
        <v>250</v>
      </c>
      <c r="CG67" s="4">
        <v>53653</v>
      </c>
      <c r="CH67" s="4" t="str">
        <f ca="1">IF(
  _xlfn.XLOOKUP($D66 &amp; "-" &amp; CG$2, 'TrainingReq (Ach)'!$G:$G, 'TrainingReq (Ach)'!$F:$F, "2-Year") = "Forever",
  "Valid",
  IF(CG66="", "Not Trained",
     IF(CG66 &lt; TODAY() - 1, "Expired",
        IF(CG66 &lt;= TODAY() + 90, "Expiring", "Valid")
     )
  )
)</f>
        <v>Valid</v>
      </c>
      <c r="CI67" t="str">
        <f t="shared" ref="CI67:CI130" si="4">IF(BW67&lt;&gt;"","Eligible","Not eligible")</f>
        <v>Eligible</v>
      </c>
      <c r="CJ67" t="str">
        <f t="shared" ref="CJ67:CJ130" si="5">IF(BX67&lt;&gt;"","Eligible","Not eligible")</f>
        <v>Not eligible</v>
      </c>
    </row>
    <row r="68" spans="1:88" x14ac:dyDescent="0.25">
      <c r="A68">
        <v>66</v>
      </c>
      <c r="B68">
        <v>581761</v>
      </c>
      <c r="C68" t="s">
        <v>444</v>
      </c>
      <c r="D68" t="s">
        <v>18</v>
      </c>
      <c r="E68" t="s">
        <v>263</v>
      </c>
      <c r="F68" t="s">
        <v>422</v>
      </c>
      <c r="G68" t="s">
        <v>51</v>
      </c>
      <c r="H68" s="4">
        <v>46820</v>
      </c>
      <c r="I68" s="4" t="str">
        <f ca="1">IF(
  _xlfn.XLOOKUP($D68 &amp; "-" &amp; H$2, 'TrainingReq (Ach)'!G:G, 'TrainingReq (Ach)'!F:F, "2-Year") = "Forever",
  "Valid",
  IF(H68="", "Not Trained",
     IF(H68 &lt; TODAY() - 1, "Expired",
        IF(H68 &lt;= TODAY() + 90, "Expiring", "Valid")
     )
  )
)</f>
        <v>Valid</v>
      </c>
      <c r="J68" s="4">
        <v>46820</v>
      </c>
      <c r="K68" s="4" t="str">
        <f ca="1">IF(
  _xlfn.XLOOKUP($D68 &amp; "-" &amp; J$2, 'TrainingReq (Ach)'!G:G, 'TrainingReq (Ach)'!F:F, "2-Year") = "Forever",
  "Valid",
  IF(J68="", "Not Trained",
     IF(J68 &lt; TODAY() - 1, "Expired",
        IF(J68 &lt;= TODAY() + 90, "Expiring", "Valid")
     )
  )
)</f>
        <v>Valid</v>
      </c>
      <c r="L68" s="4">
        <v>46813</v>
      </c>
      <c r="M68" s="4" t="str">
        <f ca="1">IF(
  _xlfn.XLOOKUP($D68 &amp; "-" &amp; L$2, TrainingMan!$G:$G, TrainingMan!$F:$F, "2-Year") = "Forever",
  "Valid",
  IF(L68="", "Not Trained",
     IF(L68 &lt; TODAY() - 1, "Expired",
        IF(L68 &lt;= TODAY() + 90, "Expiring", "Valid")
     )
  )
)</f>
        <v>Valid</v>
      </c>
      <c r="N68" s="4">
        <v>46813</v>
      </c>
      <c r="O68" s="4" t="str">
        <f ca="1">IF(
  _xlfn.XLOOKUP($D68 &amp; "-" &amp; N$2, TrainingMan!$G:$G, TrainingMan!$F:$F, "2-Year") = "Forever",
  "Valid",
  IF(N68="", "Not Trained",
     IF(N68 &lt; TODAY() - 1, "Expired",
        IF(N68 &lt;= TODAY() + 90, "Expiring", "Valid")
     )
  )
)</f>
        <v>Valid</v>
      </c>
      <c r="P68" s="4">
        <v>46813</v>
      </c>
      <c r="Q68" s="4" t="str">
        <f ca="1">IF(
  _xlfn.XLOOKUP($D68 &amp; "-" &amp; P$2, TrainingMan!$G:$G, TrainingMan!$F:$F, "2-Year") = "Forever",
  "Valid",
  IF(P68="", "Not Trained",
     IF(P68 &lt; TODAY() - 1, "Expired",
        IF(P68 &lt;= TODAY() + 90, "Expiring", "Valid")
     )
  )
)</f>
        <v>Valid</v>
      </c>
      <c r="R68" s="4">
        <v>46813</v>
      </c>
      <c r="S68" s="4" t="str">
        <f ca="1">IF(
  _xlfn.XLOOKUP($D68 &amp; "-" &amp; R$2, TrainingMan!$G:$G, TrainingMan!$F:$F, "2-Year") = "Forever",
  "Valid",
  IF(R68="", "Not Trained",
     IF(R68 &lt; TODAY() - 1, "Expired",
        IF(R68 &lt;= TODAY() + 90, "Expiring", "Valid")
     )
  )
)</f>
        <v>Valid</v>
      </c>
      <c r="T68" s="4">
        <v>46813</v>
      </c>
      <c r="U68" s="4" t="str">
        <f ca="1">IF(
  _xlfn.XLOOKUP($D68 &amp; "-" &amp; T$2, TrainingMan!$G:$G, TrainingMan!$F:$F, "2-Year") = "Forever",
  "Valid",
  IF(T68="", "Not Trained",
     IF(T68 &lt; TODAY() - 1, "Expired",
        IF(T68 &lt;= TODAY() + 90, "Expiring", "Valid")
     )
  )
)</f>
        <v>Valid</v>
      </c>
      <c r="V68" s="4">
        <v>46813</v>
      </c>
      <c r="W68" s="4" t="str">
        <f ca="1">IF(
  _xlfn.XLOOKUP($D68 &amp; "-" &amp; V$2, TrainingMan!$G:$G, TrainingMan!$F:$F, "2-Year") = "Forever",
  "Valid",
  IF(V68="", "Not Trained",
     IF(V68 &lt; TODAY() - 1, "Expired",
        IF(V68 &lt;= TODAY() + 90, "Expiring", "Valid")
     )
  )
)</f>
        <v>Valid</v>
      </c>
      <c r="X68" s="4">
        <v>46813</v>
      </c>
      <c r="Y68" s="4" t="str">
        <f ca="1">IF(
  _xlfn.XLOOKUP($D68 &amp; "-" &amp; X$2, TrainingMan!$G:$G, TrainingMan!$F:$F, "2-Year") = "Forever",
  "Valid",
  IF(X68="", "Not Trained",
     IF(X68 &lt; TODAY() - 1, "Expired",
        IF(X68 &lt;= TODAY() + 90, "Expiring", "Valid")
     )
  )
)</f>
        <v>Valid</v>
      </c>
      <c r="Z68" s="4">
        <v>45453</v>
      </c>
      <c r="AA68" s="4" t="str">
        <f ca="1">IF(LEN(TRIM(Z68)) = 0, "Not Trained",
  IF(_xlfn.XLOOKUP($D68 &amp; "-" &amp; Z$2, TrainingMan!$G:$G, TrainingMan!$F:$F, "2-Year") = "Forever", "Valid",
    IF(Z68 &lt; TODAY() - 1, "Expired",
      IF(Z68 &lt;= TODAY() + 90, "Expiring", "Valid")
    )
  )
)</f>
        <v>Valid</v>
      </c>
      <c r="AB68" s="4">
        <v>45164</v>
      </c>
      <c r="AC68" s="4">
        <v>45583</v>
      </c>
      <c r="AD68" s="4">
        <v>44589</v>
      </c>
      <c r="AE68" s="4">
        <v>45135</v>
      </c>
      <c r="AF68" s="4">
        <v>44720</v>
      </c>
      <c r="AG68" s="4"/>
      <c r="AH68" s="4"/>
      <c r="AI68" s="4"/>
      <c r="AJ68" s="4"/>
      <c r="AN68" s="4"/>
      <c r="AQ68" s="4"/>
      <c r="AR68" s="4"/>
      <c r="AS68" s="4"/>
      <c r="AT68" s="4"/>
      <c r="AU68" s="4"/>
      <c r="BB68" s="4">
        <v>46444</v>
      </c>
      <c r="BC68" s="4" t="s">
        <v>264</v>
      </c>
      <c r="BD68" s="4" t="s">
        <v>359</v>
      </c>
      <c r="BE68" s="4"/>
      <c r="BF68" s="4"/>
      <c r="BG68" s="4"/>
      <c r="BH68" s="4"/>
      <c r="BI68" s="4">
        <v>44284</v>
      </c>
      <c r="BJ68" s="4" t="s">
        <v>151</v>
      </c>
      <c r="BK68" s="4" t="s">
        <v>144</v>
      </c>
      <c r="BL68" s="4"/>
      <c r="BM68" s="4"/>
      <c r="BN68" s="4" t="s">
        <v>445</v>
      </c>
      <c r="BO68" s="4"/>
      <c r="BP68" s="4"/>
      <c r="BQ68">
        <f>COUNTIF('TrainingReq (Ach)'!B:B,Table13[[#This Row],[Job Title]])</f>
        <v>15</v>
      </c>
      <c r="BR68" cm="1">
        <f t="array" aca="1" ref="BR6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68" s="5">
        <f t="shared" ca="1" si="3"/>
        <v>1</v>
      </c>
      <c r="BT68" t="s">
        <v>246</v>
      </c>
      <c r="BU68" t="s">
        <v>247</v>
      </c>
      <c r="BV68" t="s">
        <v>256</v>
      </c>
      <c r="BW68" s="4" t="s">
        <v>151</v>
      </c>
      <c r="BZ68" t="s">
        <v>446</v>
      </c>
      <c r="CC68" t="s">
        <v>447</v>
      </c>
      <c r="CD68" s="4">
        <v>47059</v>
      </c>
      <c r="CE68" s="4" t="str">
        <f ca="1">IF(
  _xlfn.XLOOKUP($D68 &amp; "-" &amp; CD$2, 'TrainingReq (Ach)'!$G:$G, 'TrainingReq (Ach)'!$F:$F, "2-Year") = "Forever",
  "Valid",
  IF(CD68="", "Not Trained",
     IF(CD68 &lt; TODAY() - 1, "Expired",
        IF(CD68 &lt;= TODAY() + 90, "Expiring", "Valid")
     )
  )
)</f>
        <v>Valid</v>
      </c>
      <c r="CF68" t="s">
        <v>250</v>
      </c>
      <c r="CG68" s="4">
        <v>55446</v>
      </c>
      <c r="CH68" s="4" t="str">
        <f ca="1">IF(
  _xlfn.XLOOKUP($D67 &amp; "-" &amp; CG$2, 'TrainingReq (Ach)'!$G:$G, 'TrainingReq (Ach)'!$F:$F, "2-Year") = "Forever",
  "Valid",
  IF(CG67="", "Not Trained",
     IF(CG67 &lt; TODAY() - 1, "Expired",
        IF(CG67 &lt;= TODAY() + 90, "Expiring", "Valid")
     )
  )
)</f>
        <v>Valid</v>
      </c>
      <c r="CI68" t="str">
        <f t="shared" si="4"/>
        <v>Eligible</v>
      </c>
      <c r="CJ68" t="str">
        <f t="shared" si="5"/>
        <v>Not eligible</v>
      </c>
    </row>
    <row r="69" spans="1:88" x14ac:dyDescent="0.25">
      <c r="A69">
        <v>67</v>
      </c>
      <c r="B69">
        <v>584035</v>
      </c>
      <c r="C69" t="s">
        <v>94</v>
      </c>
      <c r="D69" t="s">
        <v>18</v>
      </c>
      <c r="E69" t="s">
        <v>263</v>
      </c>
      <c r="F69" t="s">
        <v>422</v>
      </c>
      <c r="G69" t="s">
        <v>51</v>
      </c>
      <c r="H69" s="4">
        <v>46914</v>
      </c>
      <c r="I69" s="4" t="str">
        <f ca="1">IF(
  _xlfn.XLOOKUP($D69 &amp; "-" &amp; H$2, 'TrainingReq (Ach)'!G:G, 'TrainingReq (Ach)'!F:F, "2-Year") = "Forever",
  "Valid",
  IF(H69="", "Not Trained",
     IF(H69 &lt; TODAY() - 1, "Expired",
        IF(H69 &lt;= TODAY() + 90, "Expiring", "Valid")
     )
  )
)</f>
        <v>Valid</v>
      </c>
      <c r="J69" s="4">
        <v>46914</v>
      </c>
      <c r="K69" s="4" t="str">
        <f ca="1">IF(
  _xlfn.XLOOKUP($D69 &amp; "-" &amp; J$2, 'TrainingReq (Ach)'!G:G, 'TrainingReq (Ach)'!F:F, "2-Year") = "Forever",
  "Valid",
  IF(J69="", "Not Trained",
     IF(J69 &lt; TODAY() - 1, "Expired",
        IF(J69 &lt;= TODAY() + 90, "Expiring", "Valid")
     )
  )
)</f>
        <v>Valid</v>
      </c>
      <c r="L69" s="4">
        <v>46271</v>
      </c>
      <c r="M69" s="4" t="str">
        <f ca="1">IF(
  _xlfn.XLOOKUP($D69 &amp; "-" &amp; L$2, TrainingMan!$G:$G, TrainingMan!$F:$F, "2-Year") = "Forever",
  "Valid",
  IF(L69="", "Not Trained",
     IF(L69 &lt; TODAY() - 1, "Expired",
        IF(L69 &lt;= TODAY() + 90, "Expiring", "Valid")
     )
  )
)</f>
        <v>Expiring</v>
      </c>
      <c r="N69" s="4">
        <v>46242</v>
      </c>
      <c r="O69" s="4" t="str">
        <f ca="1">IF(
  _xlfn.XLOOKUP($D69 &amp; "-" &amp; N$2, TrainingMan!$G:$G, TrainingMan!$F:$F, "2-Year") = "Forever",
  "Valid",
  IF(N69="", "Not Trained",
     IF(N69 &lt; TODAY() - 1, "Expired",
        IF(N69 &lt;= TODAY() + 90, "Expiring", "Valid")
     )
  )
)</f>
        <v>Expired</v>
      </c>
      <c r="P69" s="4">
        <v>46242</v>
      </c>
      <c r="Q69" s="4" t="str">
        <f ca="1">IF(
  _xlfn.XLOOKUP($D69 &amp; "-" &amp; P$2, TrainingMan!$G:$G, TrainingMan!$F:$F, "2-Year") = "Forever",
  "Valid",
  IF(P69="", "Not Trained",
     IF(P69 &lt; TODAY() - 1, "Expired",
        IF(P69 &lt;= TODAY() + 90, "Expiring", "Valid")
     )
  )
)</f>
        <v>Expired</v>
      </c>
      <c r="R69" s="4">
        <v>46242</v>
      </c>
      <c r="S69" s="4" t="str">
        <f ca="1">IF(
  _xlfn.XLOOKUP($D69 &amp; "-" &amp; R$2, TrainingMan!$G:$G, TrainingMan!$F:$F, "2-Year") = "Forever",
  "Valid",
  IF(R69="", "Not Trained",
     IF(R69 &lt; TODAY() - 1, "Expired",
        IF(R69 &lt;= TODAY() + 90, "Expiring", "Valid")
     )
  )
)</f>
        <v>Expired</v>
      </c>
      <c r="T69" s="4">
        <v>46243</v>
      </c>
      <c r="U69" s="4" t="str">
        <f ca="1">IF(
  _xlfn.XLOOKUP($D69 &amp; "-" &amp; T$2, TrainingMan!$G:$G, TrainingMan!$F:$F, "2-Year") = "Forever",
  "Valid",
  IF(T69="", "Not Trained",
     IF(T69 &lt; TODAY() - 1, "Expired",
        IF(T69 &lt;= TODAY() + 90, "Expiring", "Valid")
     )
  )
)</f>
        <v>Expired</v>
      </c>
      <c r="V69" s="4">
        <v>46302</v>
      </c>
      <c r="W69" s="4" t="str">
        <f ca="1">IF(
  _xlfn.XLOOKUP($D69 &amp; "-" &amp; V$2, TrainingMan!$G:$G, TrainingMan!$F:$F, "2-Year") = "Forever",
  "Valid",
  IF(V69="", "Not Trained",
     IF(V69 &lt; TODAY() - 1, "Expired",
        IF(V69 &lt;= TODAY() + 90, "Expiring", "Valid")
     )
  )
)</f>
        <v>Expiring</v>
      </c>
      <c r="X69" s="4">
        <v>46257</v>
      </c>
      <c r="Y69" s="4" t="str">
        <f ca="1">IF(
  _xlfn.XLOOKUP($D69 &amp; "-" &amp; X$2, TrainingMan!$G:$G, TrainingMan!$F:$F, "2-Year") = "Forever",
  "Valid",
  IF(X69="", "Not Trained",
     IF(X69 &lt; TODAY() - 1, "Expired",
        IF(X69 &lt;= TODAY() + 90, "Expiring", "Valid")
     )
  )
)</f>
        <v>Expiring</v>
      </c>
      <c r="Z69" s="4">
        <v>46222</v>
      </c>
      <c r="AA69" s="4" t="str">
        <f ca="1">IF(LEN(TRIM(Z69)) = 0, "Not Trained",
  IF(_xlfn.XLOOKUP($D69 &amp; "-" &amp; Z$2, TrainingMan!$G:$G, TrainingMan!$F:$F, "2-Year") = "Forever", "Valid",
    IF(Z69 &lt; TODAY() - 1, "Expired",
      IF(Z69 &lt;= TODAY() + 90, "Expiring", "Valid")
    )
  )
)</f>
        <v>Valid</v>
      </c>
      <c r="AB69" s="4">
        <v>45929</v>
      </c>
      <c r="AC69" s="4"/>
      <c r="AD69" s="4">
        <v>46122</v>
      </c>
      <c r="AE69" s="4"/>
      <c r="AF69" s="4"/>
      <c r="AG69" s="4"/>
      <c r="AH69" s="4"/>
      <c r="AI69" s="4"/>
      <c r="AJ69" s="4"/>
      <c r="AN69" s="4"/>
      <c r="AQ69" s="4"/>
      <c r="AR69" s="4"/>
      <c r="AS69" s="4"/>
      <c r="AT69" s="4"/>
      <c r="AU69" s="4"/>
      <c r="BB69" s="4"/>
      <c r="BC69" s="4"/>
      <c r="BD69" s="4" t="s">
        <v>448</v>
      </c>
      <c r="BE69" s="4"/>
      <c r="BF69" s="4"/>
      <c r="BG69" s="4"/>
      <c r="BH69" s="4"/>
      <c r="BI69" s="4">
        <v>46041</v>
      </c>
      <c r="BJ69" s="4" t="s">
        <v>145</v>
      </c>
      <c r="BK69" s="4"/>
      <c r="BL69" s="4"/>
      <c r="BM69" s="4"/>
      <c r="BN69" s="4"/>
      <c r="BO69" s="4"/>
      <c r="BP69" s="4"/>
      <c r="BQ69">
        <f>COUNTIF('TrainingReq (Ach)'!B:B,Table13[[#This Row],[Job Title]])</f>
        <v>15</v>
      </c>
      <c r="BR69" cm="1">
        <f t="array" aca="1" ref="BR6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69" s="5">
        <f t="shared" ca="1" si="3"/>
        <v>0.8666666666666667</v>
      </c>
      <c r="BT69" t="s">
        <v>364</v>
      </c>
      <c r="BU69" t="s">
        <v>247</v>
      </c>
      <c r="BV69" t="s">
        <v>256</v>
      </c>
      <c r="BW69" s="4"/>
      <c r="CC69" t="s">
        <v>449</v>
      </c>
      <c r="CD69" s="4"/>
      <c r="CE69" s="4" t="str">
        <f ca="1">IF(
  _xlfn.XLOOKUP($D69 &amp; "-" &amp; CD$2, 'TrainingReq (Ach)'!$G:$G, 'TrainingReq (Ach)'!$F:$F, "2-Year") = "Forever",
  "Valid",
  IF(CD69="", "Not Trained",
     IF(CD69 &lt; TODAY() - 1, "Expired",
        IF(CD69 &lt;= TODAY() + 90, "Expiring", "Valid")
     )
  )
)</f>
        <v>Not Trained</v>
      </c>
      <c r="CF69" t="s">
        <v>250</v>
      </c>
      <c r="CG69" s="4"/>
      <c r="CH69" s="4" t="str">
        <f ca="1">IF(
  _xlfn.XLOOKUP($D68 &amp; "-" &amp; CG$2, 'TrainingReq (Ach)'!$G:$G, 'TrainingReq (Ach)'!$F:$F, "2-Year") = "Forever",
  "Valid",
  IF(CG68="", "Not Trained",
     IF(CG68 &lt; TODAY() - 1, "Expired",
        IF(CG68 &lt;= TODAY() + 90, "Expiring", "Valid")
     )
  )
)</f>
        <v>Valid</v>
      </c>
      <c r="CI69" t="str">
        <f t="shared" si="4"/>
        <v>Not eligible</v>
      </c>
      <c r="CJ69" t="str">
        <f t="shared" si="5"/>
        <v>Not eligible</v>
      </c>
    </row>
    <row r="70" spans="1:88" x14ac:dyDescent="0.25">
      <c r="A70">
        <v>68</v>
      </c>
      <c r="B70">
        <v>582687</v>
      </c>
      <c r="C70" t="s">
        <v>84</v>
      </c>
      <c r="D70" t="s">
        <v>18</v>
      </c>
      <c r="E70" t="s">
        <v>263</v>
      </c>
      <c r="F70" t="s">
        <v>422</v>
      </c>
      <c r="G70" t="s">
        <v>51</v>
      </c>
      <c r="H70" s="4">
        <v>46862</v>
      </c>
      <c r="I70" s="4" t="str">
        <f ca="1">IF(
  _xlfn.XLOOKUP($D70 &amp; "-" &amp; H$2, 'TrainingReq (Ach)'!G:G, 'TrainingReq (Ach)'!F:F, "2-Year") = "Forever",
  "Valid",
  IF(H70="", "Not Trained",
     IF(H70 &lt; TODAY() - 1, "Expired",
        IF(H70 &lt;= TODAY() + 90, "Expiring", "Valid")
     )
  )
)</f>
        <v>Valid</v>
      </c>
      <c r="J70" s="4">
        <v>46862</v>
      </c>
      <c r="K70" s="4" t="str">
        <f ca="1">IF(
  _xlfn.XLOOKUP($D70 &amp; "-" &amp; J$2, 'TrainingReq (Ach)'!G:G, 'TrainingReq (Ach)'!F:F, "2-Year") = "Forever",
  "Valid",
  IF(J70="", "Not Trained",
     IF(J70 &lt; TODAY() - 1, "Expired",
        IF(J70 &lt;= TODAY() + 90, "Expiring", "Valid")
     )
  )
)</f>
        <v>Valid</v>
      </c>
      <c r="L70" s="4">
        <v>46904</v>
      </c>
      <c r="M70" s="4" t="str">
        <f ca="1">IF(
  _xlfn.XLOOKUP($D70 &amp; "-" &amp; L$2, TrainingMan!$G:$G, TrainingMan!$F:$F, "2-Year") = "Forever",
  "Valid",
  IF(L70="", "Not Trained",
     IF(L70 &lt; TODAY() - 1, "Expired",
        IF(L70 &lt;= TODAY() + 90, "Expiring", "Valid")
     )
  )
)</f>
        <v>Valid</v>
      </c>
      <c r="N70" s="4">
        <v>46904</v>
      </c>
      <c r="O70" s="4" t="str">
        <f ca="1">IF(
  _xlfn.XLOOKUP($D70 &amp; "-" &amp; N$2, TrainingMan!$G:$G, TrainingMan!$F:$F, "2-Year") = "Forever",
  "Valid",
  IF(N70="", "Not Trained",
     IF(N70 &lt; TODAY() - 1, "Expired",
        IF(N70 &lt;= TODAY() + 90, "Expiring", "Valid")
     )
  )
)</f>
        <v>Valid</v>
      </c>
      <c r="P70" s="4">
        <v>46904</v>
      </c>
      <c r="Q70" s="4" t="str">
        <f ca="1">IF(
  _xlfn.XLOOKUP($D70 &amp; "-" &amp; P$2, TrainingMan!$G:$G, TrainingMan!$F:$F, "2-Year") = "Forever",
  "Valid",
  IF(P70="", "Not Trained",
     IF(P70 &lt; TODAY() - 1, "Expired",
        IF(P70 &lt;= TODAY() + 90, "Expiring", "Valid")
     )
  )
)</f>
        <v>Valid</v>
      </c>
      <c r="R70" s="4">
        <v>46904</v>
      </c>
      <c r="S70" s="4" t="str">
        <f ca="1">IF(
  _xlfn.XLOOKUP($D70 &amp; "-" &amp; R$2, TrainingMan!$G:$G, TrainingMan!$F:$F, "2-Year") = "Forever",
  "Valid",
  IF(R70="", "Not Trained",
     IF(R70 &lt; TODAY() - 1, "Expired",
        IF(R70 &lt;= TODAY() + 90, "Expiring", "Valid")
     )
  )
)</f>
        <v>Valid</v>
      </c>
      <c r="T70" s="4">
        <v>46904</v>
      </c>
      <c r="U70" s="4" t="str">
        <f ca="1">IF(
  _xlfn.XLOOKUP($D70 &amp; "-" &amp; T$2, TrainingMan!$G:$G, TrainingMan!$F:$F, "2-Year") = "Forever",
  "Valid",
  IF(T70="", "Not Trained",
     IF(T70 &lt; TODAY() - 1, "Expired",
        IF(T70 &lt;= TODAY() + 90, "Expiring", "Valid")
     )
  )
)</f>
        <v>Valid</v>
      </c>
      <c r="V70" s="4">
        <v>46902</v>
      </c>
      <c r="W70" s="4" t="str">
        <f ca="1">IF(
  _xlfn.XLOOKUP($D70 &amp; "-" &amp; V$2, TrainingMan!$G:$G, TrainingMan!$F:$F, "2-Year") = "Forever",
  "Valid",
  IF(V70="", "Not Trained",
     IF(V70 &lt; TODAY() - 1, "Expired",
        IF(V70 &lt;= TODAY() + 90, "Expiring", "Valid")
     )
  )
)</f>
        <v>Valid</v>
      </c>
      <c r="X70" s="4">
        <v>46904</v>
      </c>
      <c r="Y70" s="4" t="str">
        <f ca="1">IF(
  _xlfn.XLOOKUP($D70 &amp; "-" &amp; X$2, TrainingMan!$G:$G, TrainingMan!$F:$F, "2-Year") = "Forever",
  "Valid",
  IF(X70="", "Not Trained",
     IF(X70 &lt; TODAY() - 1, "Expired",
        IF(X70 &lt;= TODAY() + 90, "Expiring", "Valid")
     )
  )
)</f>
        <v>Valid</v>
      </c>
      <c r="Z70" s="4">
        <v>45496</v>
      </c>
      <c r="AA70" s="4" t="str">
        <f ca="1">IF(LEN(TRIM(Z70)) = 0, "Not Trained",
  IF(_xlfn.XLOOKUP($D70 &amp; "-" &amp; Z$2, TrainingMan!$G:$G, TrainingMan!$F:$F, "2-Year") = "Forever", "Valid",
    IF(Z70 &lt; TODAY() - 1, "Expired",
      IF(Z70 &lt;= TODAY() + 90, "Expiring", "Valid")
    )
  )
)</f>
        <v>Valid</v>
      </c>
      <c r="AB70" s="4">
        <v>43889</v>
      </c>
      <c r="AC70" s="4">
        <v>45985</v>
      </c>
      <c r="AD70" s="4"/>
      <c r="AE70" s="4"/>
      <c r="AF70" s="4"/>
      <c r="AG70" s="4"/>
      <c r="AH70" s="4"/>
      <c r="AI70" s="4"/>
      <c r="AJ70" s="4"/>
      <c r="AN70" s="4"/>
      <c r="AQ70" s="4"/>
      <c r="AR70" s="4"/>
      <c r="AS70" s="4"/>
      <c r="AT70" s="4"/>
      <c r="AU70" s="4"/>
      <c r="BB70" s="4">
        <v>45866</v>
      </c>
      <c r="BC70" s="4" t="s">
        <v>386</v>
      </c>
      <c r="BD70" s="4" t="s">
        <v>275</v>
      </c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>
        <f>COUNTIF('TrainingReq (Ach)'!B:B,Table13[[#This Row],[Job Title]])</f>
        <v>15</v>
      </c>
      <c r="BR70" cm="1">
        <f t="array" aca="1" ref="BR7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70" s="5">
        <f t="shared" ca="1" si="3"/>
        <v>0.93333333333333335</v>
      </c>
      <c r="BT70" t="s">
        <v>319</v>
      </c>
      <c r="BU70" t="s">
        <v>247</v>
      </c>
      <c r="BV70" t="s">
        <v>270</v>
      </c>
      <c r="BW70" s="4"/>
      <c r="CC70" t="s">
        <v>450</v>
      </c>
      <c r="CD70" s="4"/>
      <c r="CE70" s="4" t="str">
        <f ca="1">IF(
  _xlfn.XLOOKUP($D70 &amp; "-" &amp; CD$2, 'TrainingReq (Ach)'!$G:$G, 'TrainingReq (Ach)'!$F:$F, "2-Year") = "Forever",
  "Valid",
  IF(CD70="", "Not Trained",
     IF(CD70 &lt; TODAY() - 1, "Expired",
        IF(CD70 &lt;= TODAY() + 90, "Expiring", "Valid")
     )
  )
)</f>
        <v>Not Trained</v>
      </c>
      <c r="CF70" t="s">
        <v>250</v>
      </c>
      <c r="CG70" s="4">
        <v>56018</v>
      </c>
      <c r="CH70" s="4" t="str">
        <f ca="1">IF(
  _xlfn.XLOOKUP($D69 &amp; "-" &amp; CG$2, 'TrainingReq (Ach)'!$G:$G, 'TrainingReq (Ach)'!$F:$F, "2-Year") = "Forever",
  "Valid",
  IF(CG69="", "Not Trained",
     IF(CG69 &lt; TODAY() - 1, "Expired",
        IF(CG69 &lt;= TODAY() + 90, "Expiring", "Valid")
     )
  )
)</f>
        <v>Not Trained</v>
      </c>
      <c r="CI70" t="str">
        <f t="shared" si="4"/>
        <v>Not eligible</v>
      </c>
      <c r="CJ70" t="str">
        <f t="shared" si="5"/>
        <v>Not eligible</v>
      </c>
    </row>
    <row r="71" spans="1:88" x14ac:dyDescent="0.25">
      <c r="A71">
        <v>69</v>
      </c>
      <c r="B71">
        <v>582684</v>
      </c>
      <c r="C71" t="s">
        <v>89</v>
      </c>
      <c r="D71" t="s">
        <v>18</v>
      </c>
      <c r="E71" t="s">
        <v>263</v>
      </c>
      <c r="F71" t="s">
        <v>422</v>
      </c>
      <c r="G71" t="s">
        <v>51</v>
      </c>
      <c r="H71" s="4">
        <v>46890</v>
      </c>
      <c r="I71" s="4" t="str">
        <f ca="1">IF(
  _xlfn.XLOOKUP($D71 &amp; "-" &amp; H$2, 'TrainingReq (Ach)'!G:G, 'TrainingReq (Ach)'!F:F, "2-Year") = "Forever",
  "Valid",
  IF(H71="", "Not Trained",
     IF(H71 &lt; TODAY() - 1, "Expired",
        IF(H71 &lt;= TODAY() + 90, "Expiring", "Valid")
     )
  )
)</f>
        <v>Valid</v>
      </c>
      <c r="J71" s="4">
        <v>46890</v>
      </c>
      <c r="K71" s="4" t="str">
        <f ca="1">IF(
  _xlfn.XLOOKUP($D71 &amp; "-" &amp; J$2, 'TrainingReq (Ach)'!G:G, 'TrainingReq (Ach)'!F:F, "2-Year") = "Forever",
  "Valid",
  IF(J71="", "Not Trained",
     IF(J71 &lt; TODAY() - 1, "Expired",
        IF(J71 &lt;= TODAY() + 90, "Expiring", "Valid")
     )
  )
)</f>
        <v>Valid</v>
      </c>
      <c r="L71" s="4">
        <v>46898</v>
      </c>
      <c r="M71" s="4" t="str">
        <f ca="1">IF(
  _xlfn.XLOOKUP($D71 &amp; "-" &amp; L$2, TrainingMan!$G:$G, TrainingMan!$F:$F, "2-Year") = "Forever",
  "Valid",
  IF(L71="", "Not Trained",
     IF(L71 &lt; TODAY() - 1, "Expired",
        IF(L71 &lt;= TODAY() + 90, "Expiring", "Valid")
     )
  )
)</f>
        <v>Valid</v>
      </c>
      <c r="N71" s="4">
        <v>46898</v>
      </c>
      <c r="O71" s="4" t="str">
        <f ca="1">IF(
  _xlfn.XLOOKUP($D71 &amp; "-" &amp; N$2, TrainingMan!$G:$G, TrainingMan!$F:$F, "2-Year") = "Forever",
  "Valid",
  IF(N71="", "Not Trained",
     IF(N71 &lt; TODAY() - 1, "Expired",
        IF(N71 &lt;= TODAY() + 90, "Expiring", "Valid")
     )
  )
)</f>
        <v>Valid</v>
      </c>
      <c r="P71" s="4">
        <v>46898</v>
      </c>
      <c r="Q71" s="4" t="str">
        <f ca="1">IF(
  _xlfn.XLOOKUP($D71 &amp; "-" &amp; P$2, TrainingMan!$G:$G, TrainingMan!$F:$F, "2-Year") = "Forever",
  "Valid",
  IF(P71="", "Not Trained",
     IF(P71 &lt; TODAY() - 1, "Expired",
        IF(P71 &lt;= TODAY() + 90, "Expiring", "Valid")
     )
  )
)</f>
        <v>Valid</v>
      </c>
      <c r="R71" s="4">
        <v>46898</v>
      </c>
      <c r="S71" s="4" t="str">
        <f ca="1">IF(
  _xlfn.XLOOKUP($D71 &amp; "-" &amp; R$2, TrainingMan!$G:$G, TrainingMan!$F:$F, "2-Year") = "Forever",
  "Valid",
  IF(R71="", "Not Trained",
     IF(R71 &lt; TODAY() - 1, "Expired",
        IF(R71 &lt;= TODAY() + 90, "Expiring", "Valid")
     )
  )
)</f>
        <v>Valid</v>
      </c>
      <c r="T71" s="4">
        <v>46898</v>
      </c>
      <c r="U71" s="4" t="str">
        <f ca="1">IF(
  _xlfn.XLOOKUP($D71 &amp; "-" &amp; T$2, TrainingMan!$G:$G, TrainingMan!$F:$F, "2-Year") = "Forever",
  "Valid",
  IF(T71="", "Not Trained",
     IF(T71 &lt; TODAY() - 1, "Expired",
        IF(T71 &lt;= TODAY() + 90, "Expiring", "Valid")
     )
  )
)</f>
        <v>Valid</v>
      </c>
      <c r="V71" s="4">
        <v>46898</v>
      </c>
      <c r="W71" s="4" t="str">
        <f ca="1">IF(
  _xlfn.XLOOKUP($D71 &amp; "-" &amp; V$2, TrainingMan!$G:$G, TrainingMan!$F:$F, "2-Year") = "Forever",
  "Valid",
  IF(V71="", "Not Trained",
     IF(V71 &lt; TODAY() - 1, "Expired",
        IF(V71 &lt;= TODAY() + 90, "Expiring", "Valid")
     )
  )
)</f>
        <v>Valid</v>
      </c>
      <c r="X71" s="4">
        <v>46898</v>
      </c>
      <c r="Y71" s="4" t="str">
        <f ca="1">IF(
  _xlfn.XLOOKUP($D71 &amp; "-" &amp; X$2, TrainingMan!$G:$G, TrainingMan!$F:$F, "2-Year") = "Forever",
  "Valid",
  IF(X71="", "Not Trained",
     IF(X71 &lt; TODAY() - 1, "Expired",
        IF(X71 &lt;= TODAY() + 90, "Expiring", "Valid")
     )
  )
)</f>
        <v>Valid</v>
      </c>
      <c r="Z71" s="4">
        <v>45435</v>
      </c>
      <c r="AA71" s="4" t="str">
        <f ca="1">IF(LEN(TRIM(Z71)) = 0, "Not Trained",
  IF(_xlfn.XLOOKUP($D71 &amp; "-" &amp; Z$2, TrainingMan!$G:$G, TrainingMan!$F:$F, "2-Year") = "Forever", "Valid",
    IF(Z71 &lt; TODAY() - 1, "Expired",
      IF(Z71 &lt;= TODAY() + 90, "Expiring", "Valid")
    )
  )
)</f>
        <v>Valid</v>
      </c>
      <c r="AB71" s="4">
        <v>44235</v>
      </c>
      <c r="AC71" s="4">
        <v>45856</v>
      </c>
      <c r="AD71" s="4">
        <v>44736</v>
      </c>
      <c r="AE71" s="4"/>
      <c r="AF71" s="4">
        <v>46153</v>
      </c>
      <c r="AG71" s="4"/>
      <c r="AH71" s="4"/>
      <c r="AI71" s="4"/>
      <c r="AJ71" s="4"/>
      <c r="AN71" s="4"/>
      <c r="AQ71" s="4"/>
      <c r="AR71" s="4"/>
      <c r="AS71" s="4"/>
      <c r="AT71" s="4"/>
      <c r="AU71" s="4"/>
      <c r="BB71" s="4">
        <v>45957</v>
      </c>
      <c r="BC71" s="4"/>
      <c r="BD71" s="4" t="s">
        <v>275</v>
      </c>
      <c r="BE71" s="4"/>
      <c r="BF71" s="4"/>
      <c r="BG71" s="4"/>
      <c r="BH71" s="4"/>
      <c r="BI71" s="4">
        <v>44459</v>
      </c>
      <c r="BJ71" s="4" t="s">
        <v>140</v>
      </c>
      <c r="BK71" s="4" t="s">
        <v>148</v>
      </c>
      <c r="BL71" s="4"/>
      <c r="BM71" s="4"/>
      <c r="BN71" s="4"/>
      <c r="BO71" s="4"/>
      <c r="BP71" s="4"/>
      <c r="BQ71">
        <f>COUNTIF('TrainingReq (Ach)'!B:B,Table13[[#This Row],[Job Title]])</f>
        <v>15</v>
      </c>
      <c r="BR71" cm="1">
        <f t="array" aca="1" ref="BR7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71" s="5">
        <f t="shared" ca="1" si="3"/>
        <v>1</v>
      </c>
      <c r="BT71" t="s">
        <v>265</v>
      </c>
      <c r="BU71" t="s">
        <v>247</v>
      </c>
      <c r="BV71" t="s">
        <v>270</v>
      </c>
      <c r="BW71" s="4" t="s">
        <v>140</v>
      </c>
      <c r="BZ71" t="s">
        <v>451</v>
      </c>
      <c r="CC71" t="s">
        <v>452</v>
      </c>
      <c r="CD71" s="4">
        <v>47305</v>
      </c>
      <c r="CE71" s="4" t="str">
        <f ca="1">IF(
  _xlfn.XLOOKUP($D71 &amp; "-" &amp; CD$2, 'TrainingReq (Ach)'!$G:$G, 'TrainingReq (Ach)'!$F:$F, "2-Year") = "Forever",
  "Valid",
  IF(CD71="", "Not Trained",
     IF(CD71 &lt; TODAY() - 1, "Expired",
        IF(CD71 &lt;= TODAY() + 90, "Expiring", "Valid")
     )
  )
)</f>
        <v>Valid</v>
      </c>
      <c r="CF71" t="s">
        <v>250</v>
      </c>
      <c r="CG71" s="4">
        <v>55649</v>
      </c>
      <c r="CH71" s="4" t="str">
        <f ca="1">IF(
  _xlfn.XLOOKUP($D70 &amp; "-" &amp; CG$2, 'TrainingReq (Ach)'!$G:$G, 'TrainingReq (Ach)'!$F:$F, "2-Year") = "Forever",
  "Valid",
  IF(CG70="", "Not Trained",
     IF(CG70 &lt; TODAY() - 1, "Expired",
        IF(CG70 &lt;= TODAY() + 90, "Expiring", "Valid")
     )
  )
)</f>
        <v>Valid</v>
      </c>
      <c r="CI71" t="str">
        <f t="shared" si="4"/>
        <v>Eligible</v>
      </c>
      <c r="CJ71" t="str">
        <f t="shared" si="5"/>
        <v>Not eligible</v>
      </c>
    </row>
    <row r="72" spans="1:88" x14ac:dyDescent="0.25">
      <c r="A72">
        <v>70</v>
      </c>
      <c r="B72">
        <v>533478</v>
      </c>
      <c r="C72" t="s">
        <v>76</v>
      </c>
      <c r="D72" t="s">
        <v>18</v>
      </c>
      <c r="E72" t="s">
        <v>263</v>
      </c>
      <c r="F72" t="s">
        <v>422</v>
      </c>
      <c r="G72" t="s">
        <v>51</v>
      </c>
      <c r="H72" s="4">
        <v>46890</v>
      </c>
      <c r="I72" s="4" t="str">
        <f ca="1">IF(
  _xlfn.XLOOKUP($D72 &amp; "-" &amp; H$2, 'TrainingReq (Ach)'!G:G, 'TrainingReq (Ach)'!F:F, "2-Year") = "Forever",
  "Valid",
  IF(H72="", "Not Trained",
     IF(H72 &lt; TODAY() - 1, "Expired",
        IF(H72 &lt;= TODAY() + 90, "Expiring", "Valid")
     )
  )
)</f>
        <v>Valid</v>
      </c>
      <c r="J72" s="4">
        <v>46890</v>
      </c>
      <c r="K72" s="4" t="str">
        <f ca="1">IF(
  _xlfn.XLOOKUP($D72 &amp; "-" &amp; J$2, 'TrainingReq (Ach)'!G:G, 'TrainingReq (Ach)'!F:F, "2-Year") = "Forever",
  "Valid",
  IF(J72="", "Not Trained",
     IF(J72 &lt; TODAY() - 1, "Expired",
        IF(J72 &lt;= TODAY() + 90, "Expiring", "Valid")
     )
  )
)</f>
        <v>Valid</v>
      </c>
      <c r="L72" s="4">
        <v>46383</v>
      </c>
      <c r="M72" s="4" t="str">
        <f ca="1">IF(
  _xlfn.XLOOKUP($D72 &amp; "-" &amp; L$2, TrainingMan!$G:$G, TrainingMan!$F:$F, "2-Year") = "Forever",
  "Valid",
  IF(L72="", "Not Trained",
     IF(L72 &lt; TODAY() - 1, "Expired",
        IF(L72 &lt;= TODAY() + 90, "Expiring", "Valid")
     )
  )
)</f>
        <v>Valid</v>
      </c>
      <c r="N72" s="4">
        <v>46383</v>
      </c>
      <c r="O72" s="4" t="str">
        <f ca="1">IF(
  _xlfn.XLOOKUP($D72 &amp; "-" &amp; N$2, TrainingMan!$G:$G, TrainingMan!$F:$F, "2-Year") = "Forever",
  "Valid",
  IF(N72="", "Not Trained",
     IF(N72 &lt; TODAY() - 1, "Expired",
        IF(N72 &lt;= TODAY() + 90, "Expiring", "Valid")
     )
  )
)</f>
        <v>Valid</v>
      </c>
      <c r="P72" s="4">
        <v>46383</v>
      </c>
      <c r="Q72" s="4" t="str">
        <f ca="1">IF(
  _xlfn.XLOOKUP($D72 &amp; "-" &amp; P$2, TrainingMan!$G:$G, TrainingMan!$F:$F, "2-Year") = "Forever",
  "Valid",
  IF(P72="", "Not Trained",
     IF(P72 &lt; TODAY() - 1, "Expired",
        IF(P72 &lt;= TODAY() + 90, "Expiring", "Valid")
     )
  )
)</f>
        <v>Valid</v>
      </c>
      <c r="R72" s="4">
        <v>46383</v>
      </c>
      <c r="S72" s="4" t="str">
        <f ca="1">IF(
  _xlfn.XLOOKUP($D72 &amp; "-" &amp; R$2, TrainingMan!$G:$G, TrainingMan!$F:$F, "2-Year") = "Forever",
  "Valid",
  IF(R72="", "Not Trained",
     IF(R72 &lt; TODAY() - 1, "Expired",
        IF(R72 &lt;= TODAY() + 90, "Expiring", "Valid")
     )
  )
)</f>
        <v>Valid</v>
      </c>
      <c r="T72" s="4">
        <v>46383</v>
      </c>
      <c r="U72" s="4" t="str">
        <f ca="1">IF(
  _xlfn.XLOOKUP($D72 &amp; "-" &amp; T$2, TrainingMan!$G:$G, TrainingMan!$F:$F, "2-Year") = "Forever",
  "Valid",
  IF(T72="", "Not Trained",
     IF(T72 &lt; TODAY() - 1, "Expired",
        IF(T72 &lt;= TODAY() + 90, "Expiring", "Valid")
     )
  )
)</f>
        <v>Valid</v>
      </c>
      <c r="V72" s="4">
        <v>46383</v>
      </c>
      <c r="W72" s="4" t="str">
        <f ca="1">IF(
  _xlfn.XLOOKUP($D72 &amp; "-" &amp; V$2, TrainingMan!$G:$G, TrainingMan!$F:$F, "2-Year") = "Forever",
  "Valid",
  IF(V72="", "Not Trained",
     IF(V72 &lt; TODAY() - 1, "Expired",
        IF(V72 &lt;= TODAY() + 90, "Expiring", "Valid")
     )
  )
)</f>
        <v>Valid</v>
      </c>
      <c r="X72" s="4">
        <v>46383</v>
      </c>
      <c r="Y72" s="4" t="str">
        <f ca="1">IF(
  _xlfn.XLOOKUP($D72 &amp; "-" &amp; X$2, TrainingMan!$G:$G, TrainingMan!$F:$F, "2-Year") = "Forever",
  "Valid",
  IF(X72="", "Not Trained",
     IF(X72 &lt; TODAY() - 1, "Expired",
        IF(X72 &lt;= TODAY() + 90, "Expiring", "Valid")
     )
  )
)</f>
        <v>Valid</v>
      </c>
      <c r="Z72" s="4">
        <v>45593</v>
      </c>
      <c r="AA72" s="4" t="str">
        <f ca="1">IF(LEN(TRIM(Z72)) = 0, "Not Trained",
  IF(_xlfn.XLOOKUP($D72 &amp; "-" &amp; Z$2, TrainingMan!$G:$G, TrainingMan!$F:$F, "2-Year") = "Forever", "Valid",
    IF(Z72 &lt; TODAY() - 1, "Expired",
      IF(Z72 &lt;= TODAY() + 90, "Expiring", "Valid")
    )
  )
)</f>
        <v>Valid</v>
      </c>
      <c r="AB72" s="4">
        <v>41587</v>
      </c>
      <c r="AC72" s="4">
        <v>43177</v>
      </c>
      <c r="AD72" s="4">
        <v>43203</v>
      </c>
      <c r="AE72" s="4">
        <v>42782</v>
      </c>
      <c r="AF72" s="4"/>
      <c r="AG72" s="4"/>
      <c r="AH72" s="4"/>
      <c r="AI72" s="4"/>
      <c r="AJ72" s="4"/>
      <c r="AN72" s="4"/>
      <c r="AQ72" s="4"/>
      <c r="AR72" s="4"/>
      <c r="AS72" s="4"/>
      <c r="AT72" s="4"/>
      <c r="AU72" s="4"/>
      <c r="BB72" s="4">
        <v>46465</v>
      </c>
      <c r="BC72" s="4" t="s">
        <v>415</v>
      </c>
      <c r="BD72" s="4">
        <v>45821</v>
      </c>
      <c r="BE72" s="4"/>
      <c r="BF72" s="4"/>
      <c r="BG72" s="4"/>
      <c r="BH72" s="4"/>
      <c r="BI72" s="4">
        <v>42522</v>
      </c>
      <c r="BJ72" s="4" t="s">
        <v>151</v>
      </c>
      <c r="BK72" s="4"/>
      <c r="BL72" s="4"/>
      <c r="BM72" s="4"/>
      <c r="BN72" s="4"/>
      <c r="BO72" s="4"/>
      <c r="BP72" s="4"/>
      <c r="BQ72">
        <f>COUNTIF('TrainingReq (Ach)'!B:B,Table13[[#This Row],[Job Title]])</f>
        <v>15</v>
      </c>
      <c r="BR72" cm="1">
        <f t="array" aca="1" ref="BR7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72" s="5">
        <f t="shared" ca="1" si="3"/>
        <v>1</v>
      </c>
      <c r="BT72" t="s">
        <v>246</v>
      </c>
      <c r="BU72" t="s">
        <v>247</v>
      </c>
      <c r="BV72" t="s">
        <v>270</v>
      </c>
      <c r="BW72" s="4"/>
      <c r="CC72" t="s">
        <v>453</v>
      </c>
      <c r="CD72" s="4"/>
      <c r="CE72" s="4" t="str">
        <f ca="1">IF(
  _xlfn.XLOOKUP($D72 &amp; "-" &amp; CD$2, 'TrainingReq (Ach)'!$G:$G, 'TrainingReq (Ach)'!$F:$F, "2-Year") = "Forever",
  "Valid",
  IF(CD72="", "Not Trained",
     IF(CD72 &lt; TODAY() - 1, "Expired",
        IF(CD72 &lt;= TODAY() + 90, "Expiring", "Valid")
     )
  )
)</f>
        <v>Not Trained</v>
      </c>
      <c r="CF72" t="s">
        <v>250</v>
      </c>
      <c r="CG72" s="4">
        <v>53600</v>
      </c>
      <c r="CH72" s="4" t="str">
        <f ca="1">IF(
  _xlfn.XLOOKUP($D71 &amp; "-" &amp; CG$2, 'TrainingReq (Ach)'!$G:$G, 'TrainingReq (Ach)'!$F:$F, "2-Year") = "Forever",
  "Valid",
  IF(CG71="", "Not Trained",
     IF(CG71 &lt; TODAY() - 1, "Expired",
        IF(CG71 &lt;= TODAY() + 90, "Expiring", "Valid")
     )
  )
)</f>
        <v>Valid</v>
      </c>
      <c r="CI72" t="str">
        <f t="shared" si="4"/>
        <v>Not eligible</v>
      </c>
      <c r="CJ72" t="str">
        <f t="shared" si="5"/>
        <v>Not eligible</v>
      </c>
    </row>
    <row r="73" spans="1:88" x14ac:dyDescent="0.25">
      <c r="A73">
        <v>71</v>
      </c>
      <c r="B73">
        <v>532984</v>
      </c>
      <c r="C73" t="s">
        <v>454</v>
      </c>
      <c r="D73" t="s">
        <v>22</v>
      </c>
      <c r="E73" t="s">
        <v>285</v>
      </c>
      <c r="F73" t="s">
        <v>422</v>
      </c>
      <c r="G73" t="s">
        <v>51</v>
      </c>
      <c r="H73" s="4">
        <v>46961</v>
      </c>
      <c r="I73" s="4" t="str">
        <f ca="1">IF(
  _xlfn.XLOOKUP($D73 &amp; "-" &amp; H$2, 'TrainingReq (Ach)'!G:G, 'TrainingReq (Ach)'!F:F, "2-Year") = "Forever",
  "Valid",
  IF(H73="", "Not Trained",
     IF(H73 &lt; TODAY() - 1, "Expired",
        IF(H73 &lt;= TODAY() + 90, "Expiring", "Valid")
     )
  )
)</f>
        <v>Valid</v>
      </c>
      <c r="J73" s="4">
        <v>46961</v>
      </c>
      <c r="K73" s="4" t="str">
        <f ca="1">IF(
  _xlfn.XLOOKUP($D73 &amp; "-" &amp; J$2, 'TrainingReq (Ach)'!G:G, 'TrainingReq (Ach)'!F:F, "2-Year") = "Forever",
  "Valid",
  IF(J73="", "Not Trained",
     IF(J73 &lt; TODAY() - 1, "Expired",
        IF(J73 &lt;= TODAY() + 90, "Expiring", "Valid")
     )
  )
)</f>
        <v>Valid</v>
      </c>
      <c r="L73" s="4">
        <v>46308</v>
      </c>
      <c r="M73" s="4" t="str">
        <f ca="1">IF(
  _xlfn.XLOOKUP($D73 &amp; "-" &amp; L$2, TrainingMan!$G:$G, TrainingMan!$F:$F, "2-Year") = "Forever",
  "Valid",
  IF(L73="", "Not Trained",
     IF(L73 &lt; TODAY() - 1, "Expired",
        IF(L73 &lt;= TODAY() + 90, "Expiring", "Valid")
     )
  )
)</f>
        <v>Valid</v>
      </c>
      <c r="N73" s="4">
        <v>46308</v>
      </c>
      <c r="O73" s="4" t="str">
        <f ca="1">IF(
  _xlfn.XLOOKUP($D73 &amp; "-" &amp; N$2, TrainingMan!$G:$G, TrainingMan!$F:$F, "2-Year") = "Forever",
  "Valid",
  IF(N73="", "Not Trained",
     IF(N73 &lt; TODAY() - 1, "Expired",
        IF(N73 &lt;= TODAY() + 90, "Expiring", "Valid")
     )
  )
)</f>
        <v>Expiring</v>
      </c>
      <c r="P73" s="4">
        <v>46308</v>
      </c>
      <c r="Q73" s="4" t="str">
        <f ca="1">IF(
  _xlfn.XLOOKUP($D73 &amp; "-" &amp; P$2, TrainingMan!$G:$G, TrainingMan!$F:$F, "2-Year") = "Forever",
  "Valid",
  IF(P73="", "Not Trained",
     IF(P73 &lt; TODAY() - 1, "Expired",
        IF(P73 &lt;= TODAY() + 90, "Expiring", "Valid")
     )
  )
)</f>
        <v>Expiring</v>
      </c>
      <c r="R73" s="4">
        <v>46316</v>
      </c>
      <c r="S73" s="4" t="str">
        <f ca="1">IF(
  _xlfn.XLOOKUP($D73 &amp; "-" &amp; R$2, TrainingMan!$G:$G, TrainingMan!$F:$F, "2-Year") = "Forever",
  "Valid",
  IF(R73="", "Not Trained",
     IF(R73 &lt; TODAY() - 1, "Expired",
        IF(R73 &lt;= TODAY() + 90, "Expiring", "Valid")
     )
  )
)</f>
        <v>Expiring</v>
      </c>
      <c r="T73" s="4">
        <v>46308</v>
      </c>
      <c r="U73" s="4" t="str">
        <f ca="1">IF(
  _xlfn.XLOOKUP($D73 &amp; "-" &amp; T$2, TrainingMan!$G:$G, TrainingMan!$F:$F, "2-Year") = "Forever",
  "Valid",
  IF(T73="", "Not Trained",
     IF(T73 &lt; TODAY() - 1, "Expired",
        IF(T73 &lt;= TODAY() + 90, "Expiring", "Valid")
     )
  )
)</f>
        <v>Expiring</v>
      </c>
      <c r="V73" s="4">
        <v>46638</v>
      </c>
      <c r="W73" s="4" t="str">
        <f ca="1">IF(
  _xlfn.XLOOKUP($D73 &amp; "-" &amp; V$2, TrainingMan!$G:$G, TrainingMan!$F:$F, "2-Year") = "Forever",
  "Valid",
  IF(V73="", "Not Trained",
     IF(V73 &lt; TODAY() - 1, "Expired",
        IF(V73 &lt;= TODAY() + 90, "Expiring", "Valid")
     )
  )
)</f>
        <v>Valid</v>
      </c>
      <c r="X73" s="4">
        <v>46638</v>
      </c>
      <c r="Y73" s="4" t="str">
        <f ca="1">IF(
  _xlfn.XLOOKUP($D73 &amp; "-" &amp; X$2, TrainingMan!$G:$G, TrainingMan!$F:$F, "2-Year") = "Forever",
  "Valid",
  IF(X73="", "Not Trained",
     IF(X73 &lt; TODAY() - 1, "Expired",
        IF(X73 &lt;= TODAY() + 90, "Expiring", "Valid")
     )
  )
)</f>
        <v>Valid</v>
      </c>
      <c r="Z73" s="4">
        <v>44242</v>
      </c>
      <c r="AA73" s="4" t="str">
        <f ca="1">IF(LEN(TRIM(Z73)) = 0, "Not Trained",
  IF(_xlfn.XLOOKUP($D73 &amp; "-" &amp; Z$2, TrainingMan!$G:$G, TrainingMan!$F:$F, "2-Year") = "Forever", "Valid",
    IF(Z73 &lt; TODAY() - 1, "Expired",
      IF(Z73 &lt;= TODAY() + 90, "Expiring", "Valid")
    )
  )
)</f>
        <v>Valid</v>
      </c>
      <c r="AB73" s="4">
        <v>40142</v>
      </c>
      <c r="AC73" s="4">
        <v>42146</v>
      </c>
      <c r="AD73" s="4">
        <v>43573</v>
      </c>
      <c r="AE73" s="4">
        <v>42508</v>
      </c>
      <c r="AF73" s="4">
        <v>44496</v>
      </c>
      <c r="AG73" s="4">
        <v>42874</v>
      </c>
      <c r="AH73" s="4" t="s">
        <v>455</v>
      </c>
      <c r="AI73" s="4"/>
      <c r="AJ73" s="4"/>
      <c r="AN73" s="4"/>
      <c r="AP73" s="4">
        <v>45882</v>
      </c>
      <c r="AQ73" s="4">
        <v>45495</v>
      </c>
      <c r="AR73" s="4">
        <v>45731</v>
      </c>
      <c r="AS73" s="4">
        <v>45696</v>
      </c>
      <c r="AT73" s="4"/>
      <c r="AU73" s="4"/>
      <c r="BB73" s="4"/>
      <c r="BC73" s="4"/>
      <c r="BD73" s="4" t="s">
        <v>456</v>
      </c>
      <c r="BE73" s="4"/>
      <c r="BF73" s="4"/>
      <c r="BG73" s="4"/>
      <c r="BH73" s="4"/>
      <c r="BI73" s="4">
        <v>40674</v>
      </c>
      <c r="BJ73" s="4" t="s">
        <v>144</v>
      </c>
      <c r="BK73" t="s">
        <v>154</v>
      </c>
      <c r="BL73" s="4"/>
      <c r="BM73" s="4"/>
      <c r="BN73" s="4"/>
      <c r="BO73" s="4"/>
      <c r="BP73" s="4"/>
      <c r="BQ73">
        <f>COUNTIF('TrainingReq (Ach)'!B:B,Table13[[#This Row],[Job Title]])</f>
        <v>14</v>
      </c>
      <c r="BR73" cm="1">
        <f t="array" aca="1" ref="BR7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73" s="5">
        <f t="shared" ca="1" si="3"/>
        <v>1</v>
      </c>
      <c r="BT73" t="s">
        <v>246</v>
      </c>
      <c r="BU73" t="s">
        <v>238</v>
      </c>
      <c r="BV73" t="s">
        <v>256</v>
      </c>
      <c r="BW73" s="4" t="s">
        <v>144</v>
      </c>
      <c r="BX73" t="s">
        <v>154</v>
      </c>
      <c r="BZ73" t="s">
        <v>457</v>
      </c>
      <c r="CC73" t="s">
        <v>458</v>
      </c>
      <c r="CD73" s="4">
        <v>47317</v>
      </c>
      <c r="CE73" s="4" t="str">
        <f ca="1">IF(
  _xlfn.XLOOKUP($D73 &amp; "-" &amp; CD$2, 'TrainingReq (Ach)'!$G:$G, 'TrainingReq (Ach)'!$F:$F, "2-Year") = "Forever",
  "Valid",
  IF(CD73="", "Not Trained",
     IF(CD73 &lt; TODAY() - 1, "Expired",
        IF(CD73 &lt;= TODAY() + 90, "Expiring", "Valid")
     )
  )
)</f>
        <v>Valid</v>
      </c>
      <c r="CF73" t="s">
        <v>250</v>
      </c>
      <c r="CG73" s="4">
        <v>48457</v>
      </c>
      <c r="CH73" s="4" t="str">
        <f ca="1">IF(
  _xlfn.XLOOKUP($D72 &amp; "-" &amp; CG$2, 'TrainingReq (Ach)'!$G:$G, 'TrainingReq (Ach)'!$F:$F, "2-Year") = "Forever",
  "Valid",
  IF(CG72="", "Not Trained",
     IF(CG72 &lt; TODAY() - 1, "Expired",
        IF(CG72 &lt;= TODAY() + 90, "Expiring", "Valid")
     )
  )
)</f>
        <v>Valid</v>
      </c>
      <c r="CI73" t="str">
        <f t="shared" si="4"/>
        <v>Eligible</v>
      </c>
      <c r="CJ73" t="str">
        <f t="shared" si="5"/>
        <v>Eligible</v>
      </c>
    </row>
    <row r="74" spans="1:88" x14ac:dyDescent="0.25">
      <c r="A74">
        <v>72</v>
      </c>
      <c r="B74">
        <v>533520</v>
      </c>
      <c r="C74" t="s">
        <v>459</v>
      </c>
      <c r="D74" t="s">
        <v>6</v>
      </c>
      <c r="E74" t="s">
        <v>243</v>
      </c>
      <c r="F74" t="s">
        <v>422</v>
      </c>
      <c r="G74" t="s">
        <v>51</v>
      </c>
      <c r="H74" s="4">
        <v>46361</v>
      </c>
      <c r="I74" s="4" t="str">
        <f ca="1">IF(
  _xlfn.XLOOKUP($D74 &amp; "-" &amp; H$2, 'TrainingReq (Ach)'!G:G, 'TrainingReq (Ach)'!F:F, "2-Year") = "Forever",
  "Valid",
  IF(H74="", "Not Trained",
     IF(H74 &lt; TODAY() - 1, "Expired",
        IF(H74 &lt;= TODAY() + 90, "Expiring", "Valid")
     )
  )
)</f>
        <v>Valid</v>
      </c>
      <c r="J74" s="4">
        <v>46361</v>
      </c>
      <c r="K74" s="4" t="str">
        <f ca="1">IF(
  _xlfn.XLOOKUP($D74 &amp; "-" &amp; J$2, 'TrainingReq (Ach)'!G:G, 'TrainingReq (Ach)'!F:F, "2-Year") = "Forever",
  "Valid",
  IF(J74="", "Not Trained",
     IF(J74 &lt; TODAY() - 1, "Expired",
        IF(J74 &lt;= TODAY() + 90, "Expiring", "Valid")
     )
  )
)</f>
        <v>Valid</v>
      </c>
      <c r="L74" s="4">
        <v>46949</v>
      </c>
      <c r="M74" s="4" t="str">
        <f ca="1">IF(
  _xlfn.XLOOKUP($D74 &amp; "-" &amp; L$2, TrainingMan!$G:$G, TrainingMan!$F:$F, "2-Year") = "Forever",
  "Valid",
  IF(L74="", "Not Trained",
     IF(L74 &lt; TODAY() - 1, "Expired",
        IF(L74 &lt;= TODAY() + 90, "Expiring", "Valid")
     )
  )
)</f>
        <v>Valid</v>
      </c>
      <c r="N74" s="4">
        <v>46949</v>
      </c>
      <c r="O74" s="4" t="str">
        <f ca="1">IF(
  _xlfn.XLOOKUP($D74 &amp; "-" &amp; N$2, TrainingMan!$G:$G, TrainingMan!$F:$F, "2-Year") = "Forever",
  "Valid",
  IF(N74="", "Not Trained",
     IF(N74 &lt; TODAY() - 1, "Expired",
        IF(N74 &lt;= TODAY() + 90, "Expiring", "Valid")
     )
  )
)</f>
        <v>Valid</v>
      </c>
      <c r="P74" s="4">
        <v>46949</v>
      </c>
      <c r="Q74" s="4" t="str">
        <f ca="1">IF(
  _xlfn.XLOOKUP($D74 &amp; "-" &amp; P$2, TrainingMan!$G:$G, TrainingMan!$F:$F, "2-Year") = "Forever",
  "Valid",
  IF(P74="", "Not Trained",
     IF(P74 &lt; TODAY() - 1, "Expired",
        IF(P74 &lt;= TODAY() + 90, "Expiring", "Valid")
     )
  )
)</f>
        <v>Valid</v>
      </c>
      <c r="R74" s="4">
        <v>46959</v>
      </c>
      <c r="S74" s="4" t="str">
        <f ca="1">IF(
  _xlfn.XLOOKUP($D74 &amp; "-" &amp; R$2, TrainingMan!$G:$G, TrainingMan!$F:$F, "2-Year") = "Forever",
  "Valid",
  IF(R74="", "Not Trained",
     IF(R74 &lt; TODAY() - 1, "Expired",
        IF(R74 &lt;= TODAY() + 90, "Expiring", "Valid")
     )
  )
)</f>
        <v>Valid</v>
      </c>
      <c r="T74" s="4">
        <v>46949</v>
      </c>
      <c r="U74" s="4" t="str">
        <f ca="1">IF(
  _xlfn.XLOOKUP($D74 &amp; "-" &amp; T$2, TrainingMan!$G:$G, TrainingMan!$F:$F, "2-Year") = "Forever",
  "Valid",
  IF(T74="", "Not Trained",
     IF(T74 &lt; TODAY() - 1, "Expired",
        IF(T74 &lt;= TODAY() + 90, "Expiring", "Valid")
     )
  )
)</f>
        <v>Valid</v>
      </c>
      <c r="V74" s="4">
        <v>46949</v>
      </c>
      <c r="W74" s="4" t="str">
        <f ca="1">IF(
  _xlfn.XLOOKUP($D74 &amp; "-" &amp; V$2, TrainingMan!$G:$G, TrainingMan!$F:$F, "2-Year") = "Forever",
  "Valid",
  IF(V74="", "Not Trained",
     IF(V74 &lt; TODAY() - 1, "Expired",
        IF(V74 &lt;= TODAY() + 90, "Expiring", "Valid")
     )
  )
)</f>
        <v>Valid</v>
      </c>
      <c r="X74" s="4">
        <v>46949</v>
      </c>
      <c r="Y74" s="4" t="str">
        <f ca="1">IF(
  _xlfn.XLOOKUP($D74 &amp; "-" &amp; X$2, TrainingMan!$G:$G, TrainingMan!$F:$F, "2-Year") = "Forever",
  "Valid",
  IF(X74="", "Not Trained",
     IF(X74 &lt; TODAY() - 1, "Expired",
        IF(X74 &lt;= TODAY() + 90, "Expiring", "Valid")
     )
  )
)</f>
        <v>Valid</v>
      </c>
      <c r="Z74" s="4">
        <v>44474</v>
      </c>
      <c r="AA74" s="4" t="str">
        <f ca="1">IF(LEN(TRIM(Z74)) = 0, "Not Trained",
  IF(_xlfn.XLOOKUP($D74 &amp; "-" &amp; Z$2, TrainingMan!$G:$G, TrainingMan!$F:$F, "2-Year") = "Forever", "Valid",
    IF(Z74 &lt; TODAY() - 1, "Expired",
      IF(Z74 &lt;= TODAY() + 90, "Expiring", "Valid")
    )
  )
)</f>
        <v>Valid</v>
      </c>
      <c r="AB74" s="4">
        <v>40856</v>
      </c>
      <c r="AC74" s="4">
        <v>42975</v>
      </c>
      <c r="AD74" s="4">
        <v>43030</v>
      </c>
      <c r="AE74" s="4">
        <v>43527</v>
      </c>
      <c r="AF74" s="4">
        <v>45990</v>
      </c>
      <c r="AG74" s="4">
        <v>43228</v>
      </c>
      <c r="AH74" s="4"/>
      <c r="AI74" s="4"/>
      <c r="AJ74" s="4"/>
      <c r="AN74" s="4"/>
      <c r="AQ74" s="4"/>
      <c r="AR74" s="4"/>
      <c r="AS74" s="4"/>
      <c r="AT74" s="4"/>
      <c r="AU74" s="4"/>
      <c r="BB74" s="4">
        <v>46041</v>
      </c>
      <c r="BC74" s="4" t="s">
        <v>352</v>
      </c>
      <c r="BD74" s="4">
        <v>45976</v>
      </c>
      <c r="BE74" s="4"/>
      <c r="BF74" s="4"/>
      <c r="BG74" s="4"/>
      <c r="BH74" s="4"/>
      <c r="BI74" s="4">
        <v>42662</v>
      </c>
      <c r="BJ74" s="4" t="s">
        <v>144</v>
      </c>
      <c r="BK74" s="4"/>
      <c r="BL74" s="4"/>
      <c r="BM74" s="4"/>
      <c r="BN74" s="4"/>
      <c r="BO74" s="4"/>
      <c r="BP74" s="4"/>
      <c r="BQ74">
        <f>COUNTIF('TrainingReq (Ach)'!B:B,Table13[[#This Row],[Job Title]])</f>
        <v>15</v>
      </c>
      <c r="BR74" cm="1">
        <f t="array" aca="1" ref="BR7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74" s="5">
        <f t="shared" ca="1" si="3"/>
        <v>1</v>
      </c>
      <c r="BT74" t="s">
        <v>338</v>
      </c>
      <c r="BU74" t="s">
        <v>247</v>
      </c>
      <c r="BV74" t="s">
        <v>256</v>
      </c>
      <c r="BW74" s="4" t="s">
        <v>144</v>
      </c>
      <c r="BZ74" t="s">
        <v>460</v>
      </c>
      <c r="CA74">
        <v>1</v>
      </c>
      <c r="CC74" t="s">
        <v>461</v>
      </c>
      <c r="CD74" s="4">
        <v>46893</v>
      </c>
      <c r="CE74" s="4" t="str">
        <f ca="1">IF(
  _xlfn.XLOOKUP($D74 &amp; "-" &amp; CD$2, 'TrainingReq (Ach)'!$G:$G, 'TrainingReq (Ach)'!$F:$F, "2-Year") = "Forever",
  "Valid",
  IF(CD74="", "Not Trained",
     IF(CD74 &lt; TODAY() - 1, "Expired",
        IF(CD74 &lt;= TODAY() + 90, "Expiring", "Valid")
     )
  )
)</f>
        <v>Valid</v>
      </c>
      <c r="CF74" t="s">
        <v>250</v>
      </c>
      <c r="CG74" s="4">
        <v>52691</v>
      </c>
      <c r="CH74" s="4" t="str">
        <f ca="1">IF(
  _xlfn.XLOOKUP($D73 &amp; "-" &amp; CG$2, 'TrainingReq (Ach)'!$G:$G, 'TrainingReq (Ach)'!$F:$F, "2-Year") = "Forever",
  "Valid",
  IF(CG73="", "Not Trained",
     IF(CG73 &lt; TODAY() - 1, "Expired",
        IF(CG73 &lt;= TODAY() + 90, "Expiring", "Valid")
     )
  )
)</f>
        <v>Valid</v>
      </c>
      <c r="CI74" t="str">
        <f t="shared" si="4"/>
        <v>Eligible</v>
      </c>
      <c r="CJ74" t="str">
        <f t="shared" si="5"/>
        <v>Not eligible</v>
      </c>
    </row>
    <row r="75" spans="1:88" x14ac:dyDescent="0.25">
      <c r="A75">
        <v>73</v>
      </c>
      <c r="B75">
        <v>533485</v>
      </c>
      <c r="C75" t="s">
        <v>462</v>
      </c>
      <c r="D75" t="s">
        <v>8</v>
      </c>
      <c r="E75" t="s">
        <v>463</v>
      </c>
      <c r="F75" t="s">
        <v>422</v>
      </c>
      <c r="G75" t="s">
        <v>51</v>
      </c>
      <c r="H75" s="4">
        <v>46361</v>
      </c>
      <c r="I75" s="4" t="str">
        <f ca="1">IF(
  _xlfn.XLOOKUP($D75 &amp; "-" &amp; H$2, 'TrainingReq (Ach)'!G:G, 'TrainingReq (Ach)'!F:F, "2-Year") = "Forever",
  "Valid",
  IF(H75="", "Not Trained",
     IF(H75 &lt; TODAY() - 1, "Expired",
        IF(H75 &lt;= TODAY() + 90, "Expiring", "Valid")
     )
  )
)</f>
        <v>Valid</v>
      </c>
      <c r="J75" s="4">
        <v>46361</v>
      </c>
      <c r="K75" s="4" t="str">
        <f ca="1">IF(
  _xlfn.XLOOKUP($D75 &amp; "-" &amp; J$2, 'TrainingReq (Ach)'!G:G, 'TrainingReq (Ach)'!F:F, "2-Year") = "Forever",
  "Valid",
  IF(J75="", "Not Trained",
     IF(J75 &lt; TODAY() - 1, "Expired",
        IF(J75 &lt;= TODAY() + 90, "Expiring", "Valid")
     )
  )
)</f>
        <v>Valid</v>
      </c>
      <c r="L75" s="4">
        <v>46923</v>
      </c>
      <c r="M75" s="4" t="str">
        <f ca="1">IF(
  _xlfn.XLOOKUP($D75 &amp; "-" &amp; L$2, TrainingMan!$G:$G, TrainingMan!$F:$F, "2-Year") = "Forever",
  "Valid",
  IF(L75="", "Not Trained",
     IF(L75 &lt; TODAY() - 1, "Expired",
        IF(L75 &lt;= TODAY() + 90, "Expiring", "Valid")
     )
  )
)</f>
        <v>Valid</v>
      </c>
      <c r="N75" s="4">
        <v>46547</v>
      </c>
      <c r="O75" s="4" t="str">
        <f ca="1">IF(
  _xlfn.XLOOKUP($D75 &amp; "-" &amp; N$2, TrainingMan!$G:$G, TrainingMan!$F:$F, "2-Year") = "Forever",
  "Valid",
  IF(N75="", "Not Trained",
     IF(N75 &lt; TODAY() - 1, "Expired",
        IF(N75 &lt;= TODAY() + 90, "Expiring", "Valid")
     )
  )
)</f>
        <v>Valid</v>
      </c>
      <c r="P75" s="4">
        <v>46547</v>
      </c>
      <c r="Q75" s="4" t="str">
        <f ca="1">IF(
  _xlfn.XLOOKUP($D75 &amp; "-" &amp; P$2, TrainingMan!$G:$G, TrainingMan!$F:$F, "2-Year") = "Forever",
  "Valid",
  IF(P75="", "Not Trained",
     IF(P75 &lt; TODAY() - 1, "Expired",
        IF(P75 &lt;= TODAY() + 90, "Expiring", "Valid")
     )
  )
)</f>
        <v>Valid</v>
      </c>
      <c r="R75" s="4">
        <v>46547</v>
      </c>
      <c r="S75" s="4" t="str">
        <f ca="1">IF(
  _xlfn.XLOOKUP($D75 &amp; "-" &amp; R$2, TrainingMan!$G:$G, TrainingMan!$F:$F, "2-Year") = "Forever",
  "Valid",
  IF(R75="", "Not Trained",
     IF(R75 &lt; TODAY() - 1, "Expired",
        IF(R75 &lt;= TODAY() + 90, "Expiring", "Valid")
     )
  )
)</f>
        <v>Valid</v>
      </c>
      <c r="T75" s="4">
        <v>46547</v>
      </c>
      <c r="U75" s="4" t="str">
        <f ca="1">IF(
  _xlfn.XLOOKUP($D75 &amp; "-" &amp; T$2, TrainingMan!$G:$G, TrainingMan!$F:$F, "2-Year") = "Forever",
  "Valid",
  IF(T75="", "Not Trained",
     IF(T75 &lt; TODAY() - 1, "Expired",
        IF(T75 &lt;= TODAY() + 90, "Expiring", "Valid")
     )
  )
)</f>
        <v>Valid</v>
      </c>
      <c r="V75" s="4">
        <v>46547</v>
      </c>
      <c r="W75" s="4" t="str">
        <f ca="1">IF(
  _xlfn.XLOOKUP($D75 &amp; "-" &amp; V$2, TrainingMan!$G:$G, TrainingMan!$F:$F, "2-Year") = "Forever",
  "Valid",
  IF(V75="", "Not Trained",
     IF(V75 &lt; TODAY() - 1, "Expired",
        IF(V75 &lt;= TODAY() + 90, "Expiring", "Valid")
     )
  )
)</f>
        <v>Valid</v>
      </c>
      <c r="X75" s="4">
        <v>46923</v>
      </c>
      <c r="Y75" s="4" t="str">
        <f ca="1">IF(
  _xlfn.XLOOKUP($D75 &amp; "-" &amp; X$2, TrainingMan!$G:$G, TrainingMan!$F:$F, "2-Year") = "Forever",
  "Valid",
  IF(X75="", "Not Trained",
     IF(X75 &lt; TODAY() - 1, "Expired",
        IF(X75 &lt;= TODAY() + 90, "Expiring", "Valid")
     )
  )
)</f>
        <v>Valid</v>
      </c>
      <c r="Z75" s="4">
        <v>44987</v>
      </c>
      <c r="AA75" s="4" t="str">
        <f ca="1">IF(LEN(TRIM(Z75)) = 0, "Not Trained",
  IF(_xlfn.XLOOKUP($D75 &amp; "-" &amp; Z$2, TrainingMan!$G:$G, TrainingMan!$F:$F, "2-Year") = "Forever", "Valid",
    IF(Z75 &lt; TODAY() - 1, "Expired",
      IF(Z75 &lt;= TODAY() + 90, "Expiring", "Valid")
    )
  )
)</f>
        <v>Valid</v>
      </c>
      <c r="AB75" s="4">
        <v>40851</v>
      </c>
      <c r="AC75" s="4">
        <v>43310</v>
      </c>
      <c r="AD75" s="4">
        <v>43490</v>
      </c>
      <c r="AE75" s="4">
        <v>45789</v>
      </c>
      <c r="AF75" s="4">
        <v>44906</v>
      </c>
      <c r="AG75" s="4">
        <v>44971</v>
      </c>
      <c r="AH75" s="4"/>
      <c r="AI75" s="4"/>
      <c r="AJ75" s="4"/>
      <c r="AN75" s="4"/>
      <c r="AQ75" s="4"/>
      <c r="AR75" s="4"/>
      <c r="AS75" s="4"/>
      <c r="AT75" s="4"/>
      <c r="AU75" s="4"/>
      <c r="AZ75" t="s">
        <v>464</v>
      </c>
      <c r="BB75" s="4">
        <v>45999</v>
      </c>
      <c r="BC75" s="4" t="s">
        <v>289</v>
      </c>
      <c r="BD75" s="4" t="s">
        <v>254</v>
      </c>
      <c r="BE75" s="4"/>
      <c r="BF75" s="4"/>
      <c r="BG75" s="4"/>
      <c r="BH75" s="4"/>
      <c r="BI75" s="4">
        <v>42606</v>
      </c>
      <c r="BJ75" s="4" t="s">
        <v>151</v>
      </c>
      <c r="BK75" s="4"/>
      <c r="BL75" s="4"/>
      <c r="BM75" s="4"/>
      <c r="BN75" s="4" t="s">
        <v>324</v>
      </c>
      <c r="BO75" s="4"/>
      <c r="BP75" s="4"/>
      <c r="BQ75">
        <f>COUNTIF('TrainingReq (Ach)'!B:B,Table13[[#This Row],[Job Title]])</f>
        <v>17</v>
      </c>
      <c r="BR75" cm="1">
        <f t="array" aca="1" ref="BR7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17</v>
      </c>
      <c r="BS75" s="5">
        <f t="shared" ca="1" si="3"/>
        <v>1</v>
      </c>
      <c r="BT75" t="s">
        <v>338</v>
      </c>
      <c r="BU75" t="s">
        <v>247</v>
      </c>
      <c r="BV75" t="s">
        <v>256</v>
      </c>
      <c r="BW75" s="4" t="s">
        <v>151</v>
      </c>
      <c r="BZ75" t="s">
        <v>465</v>
      </c>
      <c r="CA75">
        <v>1</v>
      </c>
      <c r="CB75" s="26" t="s">
        <v>466</v>
      </c>
      <c r="CC75" t="s">
        <v>467</v>
      </c>
      <c r="CD75" s="4">
        <v>47054</v>
      </c>
      <c r="CE75" s="4" t="str">
        <f ca="1">IF(
  _xlfn.XLOOKUP($D75 &amp; "-" &amp; CD$2, 'TrainingReq (Ach)'!$G:$G, 'TrainingReq (Ach)'!$F:$F, "2-Year") = "Forever",
  "Valid",
  IF(CD75="", "Not Trained",
     IF(CD75 &lt; TODAY() - 1, "Expired",
        IF(CD75 &lt;= TODAY() + 90, "Expiring", "Valid")
     )
  )
)</f>
        <v>Valid</v>
      </c>
      <c r="CF75" t="s">
        <v>250</v>
      </c>
      <c r="CG75" s="4">
        <v>54174</v>
      </c>
      <c r="CH75" s="4" t="str">
        <f ca="1">IF(
  _xlfn.XLOOKUP($D74 &amp; "-" &amp; CG$2, 'TrainingReq (Ach)'!$G:$G, 'TrainingReq (Ach)'!$F:$F, "2-Year") = "Forever",
  "Valid",
  IF(CG74="", "Not Trained",
     IF(CG74 &lt; TODAY() - 1, "Expired",
        IF(CG74 &lt;= TODAY() + 90, "Expiring", "Valid")
     )
  )
)</f>
        <v>Valid</v>
      </c>
      <c r="CI75" t="str">
        <f t="shared" si="4"/>
        <v>Eligible</v>
      </c>
      <c r="CJ75" t="str">
        <f t="shared" si="5"/>
        <v>Not eligible</v>
      </c>
    </row>
    <row r="76" spans="1:88" x14ac:dyDescent="0.25">
      <c r="A76">
        <v>74</v>
      </c>
      <c r="B76">
        <v>584253</v>
      </c>
      <c r="C76" t="s">
        <v>468</v>
      </c>
      <c r="D76" t="s">
        <v>15</v>
      </c>
      <c r="E76" t="s">
        <v>263</v>
      </c>
      <c r="F76" t="s">
        <v>422</v>
      </c>
      <c r="G76" t="s">
        <v>51</v>
      </c>
      <c r="H76" s="4">
        <v>46409</v>
      </c>
      <c r="I76" s="4" t="str">
        <f ca="1">IF(
  _xlfn.XLOOKUP($D76 &amp; "-" &amp; H$2, 'TrainingReq (Ach)'!G:G, 'TrainingReq (Ach)'!F:F, "2-Year") = "Forever",
  "Valid",
  IF(H76="", "Not Trained",
     IF(H76 &lt; TODAY() - 1, "Expired",
        IF(H76 &lt;= TODAY() + 90, "Expiring", "Valid")
     )
  )
)</f>
        <v>Valid</v>
      </c>
      <c r="J76" s="4">
        <v>46432</v>
      </c>
      <c r="K76" s="4" t="str">
        <f ca="1">IF(
  _xlfn.XLOOKUP($D76 &amp; "-" &amp; J$2, 'TrainingReq (Ach)'!G:G, 'TrainingReq (Ach)'!F:F, "2-Year") = "Forever",
  "Valid",
  IF(J76="", "Not Trained",
     IF(J76 &lt; TODAY() - 1, "Expired",
        IF(J76 &lt;= TODAY() + 90, "Expiring", "Valid")
     )
  )
)</f>
        <v>Valid</v>
      </c>
      <c r="L76" s="4">
        <v>46451</v>
      </c>
      <c r="M76" s="4" t="str">
        <f ca="1">IF(
  _xlfn.XLOOKUP($D76 &amp; "-" &amp; L$2, TrainingMan!$G:$G, TrainingMan!$F:$F, "2-Year") = "Forever",
  "Valid",
  IF(L76="", "Not Trained",
     IF(L76 &lt; TODAY() - 1, "Expired",
        IF(L76 &lt;= TODAY() + 90, "Expiring", "Valid")
     )
  )
)</f>
        <v>Valid</v>
      </c>
      <c r="N76" s="4">
        <v>46456</v>
      </c>
      <c r="O76" s="4" t="str">
        <f ca="1">IF(
  _xlfn.XLOOKUP($D76 &amp; "-" &amp; N$2, TrainingMan!$G:$G, TrainingMan!$F:$F, "2-Year") = "Forever",
  "Valid",
  IF(N76="", "Not Trained",
     IF(N76 &lt; TODAY() - 1, "Expired",
        IF(N76 &lt;= TODAY() + 90, "Expiring", "Valid")
     )
  )
)</f>
        <v>Valid</v>
      </c>
      <c r="P76" s="4">
        <v>46456</v>
      </c>
      <c r="Q76" s="4" t="str">
        <f ca="1">IF(
  _xlfn.XLOOKUP($D76 &amp; "-" &amp; P$2, TrainingMan!$G:$G, TrainingMan!$F:$F, "2-Year") = "Forever",
  "Valid",
  IF(P76="", "Not Trained",
     IF(P76 &lt; TODAY() - 1, "Expired",
        IF(P76 &lt;= TODAY() + 90, "Expiring", "Valid")
     )
  )
)</f>
        <v>Valid</v>
      </c>
      <c r="R76" s="4">
        <v>46456</v>
      </c>
      <c r="S76" s="4" t="str">
        <f ca="1">IF(
  _xlfn.XLOOKUP($D76 &amp; "-" &amp; R$2, TrainingMan!$G:$G, TrainingMan!$F:$F, "2-Year") = "Forever",
  "Valid",
  IF(R76="", "Not Trained",
     IF(R76 &lt; TODAY() - 1, "Expired",
        IF(R76 &lt;= TODAY() + 90, "Expiring", "Valid")
     )
  )
)</f>
        <v>Valid</v>
      </c>
      <c r="T76" s="4">
        <v>46457</v>
      </c>
      <c r="U76" s="4" t="str">
        <f ca="1">IF(
  _xlfn.XLOOKUP($D76 &amp; "-" &amp; T$2, TrainingMan!$G:$G, TrainingMan!$F:$F, "2-Year") = "Forever",
  "Valid",
  IF(T76="", "Not Trained",
     IF(T76 &lt; TODAY() - 1, "Expired",
        IF(T76 &lt;= TODAY() + 90, "Expiring", "Valid")
     )
  )
)</f>
        <v>Valid</v>
      </c>
      <c r="V76" s="4">
        <v>46458</v>
      </c>
      <c r="W76" s="4" t="str">
        <f ca="1">IF(
  _xlfn.XLOOKUP($D76 &amp; "-" &amp; V$2, TrainingMan!$G:$G, TrainingMan!$F:$F, "2-Year") = "Forever",
  "Valid",
  IF(V76="", "Not Trained",
     IF(V76 &lt; TODAY() - 1, "Expired",
        IF(V76 &lt;= TODAY() + 90, "Expiring", "Valid")
     )
  )
)</f>
        <v>Valid</v>
      </c>
      <c r="X76" s="4">
        <v>46501</v>
      </c>
      <c r="Y76" s="4" t="str">
        <f ca="1">IF(
  _xlfn.XLOOKUP($D76 &amp; "-" &amp; X$2, TrainingMan!$G:$G, TrainingMan!$F:$F, "2-Year") = "Forever",
  "Valid",
  IF(X76="", "Not Trained",
     IF(X76 &lt; TODAY() - 1, "Expired",
        IF(X76 &lt;= TODAY() + 90, "Expiring", "Valid")
     )
  )
)</f>
        <v>Valid</v>
      </c>
      <c r="Z76" s="4">
        <v>45853</v>
      </c>
      <c r="AA76" s="4" t="str">
        <f ca="1">IF(LEN(TRIM(Z76)) = 0, "Not Trained",
  IF(_xlfn.XLOOKUP($D76 &amp; "-" &amp; Z$2, TrainingMan!$G:$G, TrainingMan!$F:$F, "2-Year") = "Forever", "Valid",
    IF(Z76 &lt; TODAY() - 1, "Expired",
      IF(Z76 &lt;= TODAY() + 90, "Expiring", "Valid")
    )
  )
)</f>
        <v>Valid</v>
      </c>
      <c r="AB76" s="4">
        <v>46116</v>
      </c>
      <c r="AC76" s="4"/>
      <c r="AD76" s="4"/>
      <c r="AE76" s="4"/>
      <c r="AF76" s="4"/>
      <c r="AG76" s="4"/>
      <c r="AH76" s="4"/>
      <c r="AI76" s="4"/>
      <c r="AJ76" s="4"/>
      <c r="AN76" s="4"/>
      <c r="AQ76" s="4"/>
      <c r="AR76" s="4"/>
      <c r="AS76" s="4"/>
      <c r="AT76" s="4"/>
      <c r="AU76" s="4"/>
      <c r="BB76" s="4">
        <v>45922</v>
      </c>
      <c r="BC76" s="4"/>
      <c r="BD76" s="4" t="s">
        <v>300</v>
      </c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>
        <f>COUNTIF('TrainingReq (Ach)'!B:B,Table13[[#This Row],[Job Title]])</f>
        <v>13</v>
      </c>
      <c r="BR76" cm="1">
        <f t="array" aca="1" ref="BR7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76" s="5">
        <f t="shared" ca="1" si="3"/>
        <v>0.92307692307692313</v>
      </c>
      <c r="BT76" t="s">
        <v>301</v>
      </c>
      <c r="BU76" t="s">
        <v>247</v>
      </c>
      <c r="BV76" t="s">
        <v>270</v>
      </c>
      <c r="BW76" s="4"/>
      <c r="CC76" t="s">
        <v>469</v>
      </c>
      <c r="CD76" s="4"/>
      <c r="CE76" s="4" t="str">
        <f ca="1">IF(
  _xlfn.XLOOKUP($D76 &amp; "-" &amp; CD$2, 'TrainingReq (Ach)'!$G:$G, 'TrainingReq (Ach)'!$F:$F, "2-Year") = "Forever",
  "Valid",
  IF(CD76="", "Not Trained",
     IF(CD76 &lt; TODAY() - 1, "Expired",
        IF(CD76 &lt;= TODAY() + 90, "Expiring", "Valid")
     )
  )
)</f>
        <v>Not Trained</v>
      </c>
      <c r="CF76" t="s">
        <v>250</v>
      </c>
      <c r="CG76" s="4"/>
      <c r="CH76" s="4" t="str">
        <f ca="1">IF(
  _xlfn.XLOOKUP($D75 &amp; "-" &amp; CG$2, 'TrainingReq (Ach)'!$G:$G, 'TrainingReq (Ach)'!$F:$F, "2-Year") = "Forever",
  "Valid",
  IF(CG75="", "Not Trained",
     IF(CG75 &lt; TODAY() - 1, "Expired",
        IF(CG75 &lt;= TODAY() + 90, "Expiring", "Valid")
     )
  )
)</f>
        <v>Valid</v>
      </c>
      <c r="CI76" t="str">
        <f t="shared" si="4"/>
        <v>Not eligible</v>
      </c>
      <c r="CJ76" t="str">
        <f t="shared" si="5"/>
        <v>Not eligible</v>
      </c>
    </row>
    <row r="77" spans="1:88" x14ac:dyDescent="0.25">
      <c r="A77">
        <v>75</v>
      </c>
      <c r="B77">
        <v>782746</v>
      </c>
      <c r="C77" t="s">
        <v>470</v>
      </c>
      <c r="D77" t="s">
        <v>23</v>
      </c>
      <c r="E77" t="s">
        <v>303</v>
      </c>
      <c r="F77" t="s">
        <v>422</v>
      </c>
      <c r="G77" t="s">
        <v>51</v>
      </c>
      <c r="H77" s="4">
        <v>46487</v>
      </c>
      <c r="I77" s="4" t="str">
        <f ca="1">IF(
  _xlfn.XLOOKUP($D77 &amp; "-" &amp; H$2, 'TrainingReq (Ach)'!G:G, 'TrainingReq (Ach)'!F:F, "2-Year") = "Forever",
  "Valid",
  IF(H77="", "Not Trained",
     IF(H77 &lt; TODAY() - 1, "Expired",
        IF(H77 &lt;= TODAY() + 90, "Expiring", "Valid")
     )
  )
)</f>
        <v>Valid</v>
      </c>
      <c r="J77" s="4">
        <v>46520</v>
      </c>
      <c r="K77" s="4" t="str">
        <f ca="1">IF(
  _xlfn.XLOOKUP($D77 &amp; "-" &amp; J$2, 'TrainingReq (Ach)'!G:G, 'TrainingReq (Ach)'!F:F, "2-Year") = "Forever",
  "Valid",
  IF(J77="", "Not Trained",
     IF(J77 &lt; TODAY() - 1, "Expired",
        IF(J77 &lt;= TODAY() + 90, "Expiring", "Valid")
     )
  )
)</f>
        <v>Valid</v>
      </c>
      <c r="L77" s="4">
        <f>Table13[[#This Row],[Mandatory for Supporting]]</f>
        <v>44986</v>
      </c>
      <c r="M77" s="4" t="str">
        <f ca="1">IF(
  _xlfn.XLOOKUP($D77 &amp; "-" &amp; L$2, TrainingMan!$G:$G, TrainingMan!$F:$F, "2-Year") = "Forever",
  "Valid",
  IF(L77="", "Not Trained",
     IF(L77 &lt; TODAY() - 1, "Expired",
        IF(L77 &lt;= TODAY() + 90, "Expiring", "Valid")
     )
  )
)</f>
        <v>Valid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>
        <v>45877</v>
      </c>
      <c r="AA77" s="4"/>
      <c r="AB77" s="4">
        <v>45850</v>
      </c>
      <c r="AC77" s="4"/>
      <c r="AD77" s="4"/>
      <c r="AE77" s="4"/>
      <c r="AF77" s="4"/>
      <c r="AG77" s="4"/>
      <c r="AH77" s="4"/>
      <c r="AI77" s="4"/>
      <c r="AJ77" s="4"/>
      <c r="AN77" s="4"/>
      <c r="AQ77" s="4"/>
      <c r="AR77" s="4"/>
      <c r="AS77" s="4"/>
      <c r="AT77" s="4"/>
      <c r="AU77" s="4"/>
      <c r="BB77" s="4">
        <v>45133</v>
      </c>
      <c r="BC77" s="4"/>
      <c r="BD77" s="4">
        <v>45819</v>
      </c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>
        <v>44986</v>
      </c>
      <c r="BQ77">
        <f>COUNTIF('TrainingReq (Ach)'!B:B,Table13[[#This Row],[Job Title]])</f>
        <v>3</v>
      </c>
      <c r="BR77" cm="1">
        <f t="array" aca="1" ref="BR7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77" s="5">
        <f t="shared" ca="1" si="3"/>
        <v>1</v>
      </c>
      <c r="BT77" t="s">
        <v>311</v>
      </c>
      <c r="BU77" t="s">
        <v>247</v>
      </c>
      <c r="BW77" s="4"/>
      <c r="CD77" s="4"/>
      <c r="CE77" s="4" t="str">
        <f ca="1">IF(
  _xlfn.XLOOKUP($D77 &amp; "-" &amp; CD$2, 'TrainingReq (Ach)'!$G:$G, 'TrainingReq (Ach)'!$F:$F, "2-Year") = "Forever",
  "Valid",
  IF(CD77="", "Not Trained",
     IF(CD77 &lt; TODAY() - 1, "Expired",
        IF(CD77 &lt;= TODAY() + 90, "Expiring", "Valid")
     )
  )
)</f>
        <v>Not Trained</v>
      </c>
      <c r="CF77" t="s">
        <v>250</v>
      </c>
      <c r="CG77" s="4"/>
      <c r="CH77" s="4" t="str">
        <f ca="1">IF(
  _xlfn.XLOOKUP($D76 &amp; "-" &amp; CG$2, 'TrainingReq (Ach)'!$G:$G, 'TrainingReq (Ach)'!$F:$F, "2-Year") = "Forever",
  "Valid",
  IF(CG76="", "Not Trained",
     IF(CG76 &lt; TODAY() - 1, "Expired",
        IF(CG76 &lt;= TODAY() + 90, "Expiring", "Valid")
     )
  )
)</f>
        <v>Not Trained</v>
      </c>
      <c r="CI77" t="str">
        <f t="shared" si="4"/>
        <v>Not eligible</v>
      </c>
      <c r="CJ77" t="str">
        <f t="shared" si="5"/>
        <v>Not eligible</v>
      </c>
    </row>
    <row r="78" spans="1:88" x14ac:dyDescent="0.25">
      <c r="A78">
        <v>76</v>
      </c>
      <c r="B78">
        <v>782747</v>
      </c>
      <c r="C78" t="s">
        <v>471</v>
      </c>
      <c r="D78" t="s">
        <v>23</v>
      </c>
      <c r="E78" t="s">
        <v>303</v>
      </c>
      <c r="F78" t="s">
        <v>422</v>
      </c>
      <c r="G78" t="s">
        <v>51</v>
      </c>
      <c r="H78" s="4">
        <v>46487</v>
      </c>
      <c r="I78" s="4" t="str">
        <f ca="1">IF(
  _xlfn.XLOOKUP($D78 &amp; "-" &amp; H$2, 'TrainingReq (Ach)'!G:G, 'TrainingReq (Ach)'!F:F, "2-Year") = "Forever",
  "Valid",
  IF(H78="", "Not Trained",
     IF(H78 &lt; TODAY() - 1, "Expired",
        IF(H78 &lt;= TODAY() + 90, "Expiring", "Valid")
     )
  )
)</f>
        <v>Valid</v>
      </c>
      <c r="J78" s="4">
        <v>46506</v>
      </c>
      <c r="K78" s="4" t="str">
        <f ca="1">IF(
  _xlfn.XLOOKUP($D78 &amp; "-" &amp; J$2, 'TrainingReq (Ach)'!G:G, 'TrainingReq (Ach)'!F:F, "2-Year") = "Forever",
  "Valid",
  IF(J78="", "Not Trained",
     IF(J78 &lt; TODAY() - 1, "Expired",
        IF(J78 &lt;= TODAY() + 90, "Expiring", "Valid")
     )
  )
)</f>
        <v>Valid</v>
      </c>
      <c r="L78" s="4">
        <f>Table13[[#This Row],[Mandatory for Supporting]]</f>
        <v>44986</v>
      </c>
      <c r="M78" s="4" t="str">
        <f ca="1">IF(
  _xlfn.XLOOKUP($D78 &amp; "-" &amp; L$2, TrainingMan!$G:$G, TrainingMan!$F:$F, "2-Year") = "Forever",
  "Valid",
  IF(L78="", "Not Trained",
     IF(L78 &lt; TODAY() - 1, "Expired",
        IF(L78 &lt;= TODAY() + 90, "Expiring", "Valid")
     )
  )
)</f>
        <v>Valid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>
        <v>45817</v>
      </c>
      <c r="AC78" s="4"/>
      <c r="AD78" s="4"/>
      <c r="AE78" s="4"/>
      <c r="AF78" s="4"/>
      <c r="AG78" s="4"/>
      <c r="AH78" s="4"/>
      <c r="AI78" s="4"/>
      <c r="AJ78" s="4"/>
      <c r="AN78" s="4"/>
      <c r="AQ78" s="4"/>
      <c r="AR78" s="4"/>
      <c r="AS78" s="4"/>
      <c r="AT78" s="4"/>
      <c r="AU78" s="4"/>
      <c r="BB78" s="4">
        <v>45119</v>
      </c>
      <c r="BC78" s="4"/>
      <c r="BD78" s="4">
        <v>45855</v>
      </c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>
        <v>44986</v>
      </c>
      <c r="BQ78">
        <f>COUNTIF('TrainingReq (Ach)'!B:B,Table13[[#This Row],[Job Title]])</f>
        <v>3</v>
      </c>
      <c r="BR78" cm="1">
        <f t="array" aca="1" ref="BR7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78" s="5">
        <f t="shared" ca="1" si="3"/>
        <v>1</v>
      </c>
      <c r="BT78" t="s">
        <v>311</v>
      </c>
      <c r="BU78" t="s">
        <v>247</v>
      </c>
      <c r="BW78" s="4"/>
      <c r="CD78" s="4"/>
      <c r="CE78" s="4" t="str">
        <f ca="1">IF(
  _xlfn.XLOOKUP($D78 &amp; "-" &amp; CD$2, 'TrainingReq (Ach)'!$G:$G, 'TrainingReq (Ach)'!$F:$F, "2-Year") = "Forever",
  "Valid",
  IF(CD78="", "Not Trained",
     IF(CD78 &lt; TODAY() - 1, "Expired",
        IF(CD78 &lt;= TODAY() + 90, "Expiring", "Valid")
     )
  )
)</f>
        <v>Not Trained</v>
      </c>
      <c r="CF78" t="s">
        <v>250</v>
      </c>
      <c r="CG78" s="4"/>
      <c r="CH78" s="4" t="str">
        <f ca="1">IF(
  _xlfn.XLOOKUP($D77 &amp; "-" &amp; CG$2, 'TrainingReq (Ach)'!$G:$G, 'TrainingReq (Ach)'!$F:$F, "2-Year") = "Forever",
  "Valid",
  IF(CG77="", "Not Trained",
     IF(CG77 &lt; TODAY() - 1, "Expired",
        IF(CG77 &lt;= TODAY() + 90, "Expiring", "Valid")
     )
  )
)</f>
        <v>Not Trained</v>
      </c>
      <c r="CI78" t="str">
        <f t="shared" si="4"/>
        <v>Not eligible</v>
      </c>
      <c r="CJ78" t="str">
        <f t="shared" si="5"/>
        <v>Not eligible</v>
      </c>
    </row>
    <row r="79" spans="1:88" x14ac:dyDescent="0.25">
      <c r="A79">
        <v>77</v>
      </c>
      <c r="B79">
        <v>783025</v>
      </c>
      <c r="C79" t="s">
        <v>472</v>
      </c>
      <c r="D79" t="s">
        <v>23</v>
      </c>
      <c r="E79" t="s">
        <v>303</v>
      </c>
      <c r="F79" t="s">
        <v>422</v>
      </c>
      <c r="G79" t="s">
        <v>51</v>
      </c>
      <c r="H79" s="4">
        <v>46697</v>
      </c>
      <c r="I79" s="4" t="str">
        <f ca="1">IF(
  _xlfn.XLOOKUP($D79 &amp; "-" &amp; H$2, 'TrainingReq (Ach)'!G:G, 'TrainingReq (Ach)'!F:F, "2-Year") = "Forever",
  "Valid",
  IF(H79="", "Not Trained",
     IF(H79 &lt; TODAY() - 1, "Expired",
        IF(H79 &lt;= TODAY() + 90, "Expiring", "Valid")
     )
  )
)</f>
        <v>Valid</v>
      </c>
      <c r="J79" s="4">
        <v>46655</v>
      </c>
      <c r="K79" s="4" t="str">
        <f ca="1">IF(
  _xlfn.XLOOKUP($D79 &amp; "-" &amp; J$2, 'TrainingReq (Ach)'!G:G, 'TrainingReq (Ach)'!F:F, "2-Year") = "Forever",
  "Valid",
  IF(J79="", "Not Trained",
     IF(J79 &lt; TODAY() - 1, "Expired",
        IF(J79 &lt;= TODAY() + 90, "Expiring", "Valid")
     )
  )
)</f>
        <v>Valid</v>
      </c>
      <c r="L79" s="4">
        <f>Table13[[#This Row],[Mandatory for Supporting]]</f>
        <v>45265</v>
      </c>
      <c r="M79" s="4" t="str">
        <f ca="1">IF(
  _xlfn.XLOOKUP($D79 &amp; "-" &amp; L$2, TrainingMan!$G:$G, TrainingMan!$F:$F, "2-Year") = "Forever",
  "Valid",
  IF(L79="", "Not Trained",
     IF(L79 &lt; TODAY() - 1, "Expired",
        IF(L79 &lt;= TODAY() + 90, "Expiring", "Valid")
     )
  )
)</f>
        <v>Valid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>
        <v>46004</v>
      </c>
      <c r="AC79" s="4"/>
      <c r="AD79" s="4"/>
      <c r="AE79" s="4"/>
      <c r="AF79" s="4"/>
      <c r="AG79" s="4"/>
      <c r="AH79" s="4"/>
      <c r="AI79" s="4"/>
      <c r="AJ79" s="4"/>
      <c r="AN79" s="4"/>
      <c r="AQ79" s="4"/>
      <c r="AR79" s="4"/>
      <c r="AS79" s="4"/>
      <c r="AT79" s="4"/>
      <c r="AU79" s="4"/>
      <c r="BB79" s="4">
        <v>45894</v>
      </c>
      <c r="BC79" s="4"/>
      <c r="BD79" s="4" t="s">
        <v>313</v>
      </c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>
        <v>45265</v>
      </c>
      <c r="BQ79">
        <f>COUNTIF('TrainingReq (Ach)'!B:B,Table13[[#This Row],[Job Title]])</f>
        <v>3</v>
      </c>
      <c r="BR79" cm="1">
        <f t="array" aca="1" ref="BR7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79" s="5">
        <f t="shared" ca="1" si="3"/>
        <v>1</v>
      </c>
      <c r="BT79" t="s">
        <v>314</v>
      </c>
      <c r="BU79" t="s">
        <v>247</v>
      </c>
      <c r="BW79" s="4"/>
      <c r="CD79" s="4"/>
      <c r="CE79" s="4" t="str">
        <f ca="1">IF(
  _xlfn.XLOOKUP($D79 &amp; "-" &amp; CD$2, 'TrainingReq (Ach)'!$G:$G, 'TrainingReq (Ach)'!$F:$F, "2-Year") = "Forever",
  "Valid",
  IF(CD79="", "Not Trained",
     IF(CD79 &lt; TODAY() - 1, "Expired",
        IF(CD79 &lt;= TODAY() + 90, "Expiring", "Valid")
     )
  )
)</f>
        <v>Not Trained</v>
      </c>
      <c r="CF79" t="s">
        <v>250</v>
      </c>
      <c r="CG79" s="4"/>
      <c r="CH79" s="4" t="str">
        <f ca="1">IF(
  _xlfn.XLOOKUP($D78 &amp; "-" &amp; CG$2, 'TrainingReq (Ach)'!$G:$G, 'TrainingReq (Ach)'!$F:$F, "2-Year") = "Forever",
  "Valid",
  IF(CG78="", "Not Trained",
     IF(CG78 &lt; TODAY() - 1, "Expired",
        IF(CG78 &lt;= TODAY() + 90, "Expiring", "Valid")
     )
  )
)</f>
        <v>Not Trained</v>
      </c>
      <c r="CI79" t="str">
        <f t="shared" si="4"/>
        <v>Not eligible</v>
      </c>
      <c r="CJ79" t="str">
        <f t="shared" si="5"/>
        <v>Not eligible</v>
      </c>
    </row>
    <row r="80" spans="1:88" x14ac:dyDescent="0.25">
      <c r="A80">
        <v>78</v>
      </c>
      <c r="B80">
        <v>580788</v>
      </c>
      <c r="C80" t="s">
        <v>473</v>
      </c>
      <c r="D80" t="s">
        <v>15</v>
      </c>
      <c r="E80" t="s">
        <v>292</v>
      </c>
      <c r="F80" t="s">
        <v>474</v>
      </c>
      <c r="G80" t="s">
        <v>52</v>
      </c>
      <c r="H80" s="4">
        <v>46491</v>
      </c>
      <c r="I80" s="4" t="str">
        <f ca="1">IF(
  _xlfn.XLOOKUP($D80 &amp; "-" &amp; H$2, 'TrainingReq (Ach)'!G:G, 'TrainingReq (Ach)'!F:F, "2-Year") = "Forever",
  "Valid",
  IF(H80="", "Not Trained",
     IF(H80 &lt; TODAY() - 1, "Expired",
        IF(H80 &lt;= TODAY() + 90, "Expiring", "Valid")
     )
  )
)</f>
        <v>Valid</v>
      </c>
      <c r="J80" s="4">
        <v>46491</v>
      </c>
      <c r="K80" s="4" t="str">
        <f ca="1">IF(
  _xlfn.XLOOKUP($D80 &amp; "-" &amp; J$2, 'TrainingReq (Ach)'!G:G, 'TrainingReq (Ach)'!F:F, "2-Year") = "Forever",
  "Valid",
  IF(J80="", "Not Trained",
     IF(J80 &lt; TODAY() - 1, "Expired",
        IF(J80 &lt;= TODAY() + 90, "Expiring", "Valid")
     )
  )
)</f>
        <v>Valid</v>
      </c>
      <c r="L80" s="4">
        <v>46549</v>
      </c>
      <c r="M80" s="4" t="str">
        <f ca="1">IF(
  _xlfn.XLOOKUP($D80 &amp; "-" &amp; L$2, TrainingMan!$G:$G, TrainingMan!$F:$F, "2-Year") = "Forever",
  "Valid",
  IF(L80="", "Not Trained",
     IF(L80 &lt; TODAY() - 1, "Expired",
        IF(L80 &lt;= TODAY() + 90, "Expiring", "Valid")
     )
  )
)</f>
        <v>Valid</v>
      </c>
      <c r="N80" s="4">
        <v>46549</v>
      </c>
      <c r="O80" s="4" t="str">
        <f ca="1">IF(
  _xlfn.XLOOKUP($D80 &amp; "-" &amp; N$2, TrainingMan!$G:$G, TrainingMan!$F:$F, "2-Year") = "Forever",
  "Valid",
  IF(N80="", "Not Trained",
     IF(N80 &lt; TODAY() - 1, "Expired",
        IF(N80 &lt;= TODAY() + 90, "Expiring", "Valid")
     )
  )
)</f>
        <v>Valid</v>
      </c>
      <c r="P80" s="4">
        <v>46260</v>
      </c>
      <c r="Q80" s="4" t="str">
        <f ca="1">IF(
  _xlfn.XLOOKUP($D80 &amp; "-" &amp; P$2, TrainingMan!$G:$G, TrainingMan!$F:$F, "2-Year") = "Forever",
  "Valid",
  IF(P80="", "Not Trained",
     IF(P80 &lt; TODAY() - 1, "Expired",
        IF(P80 &lt;= TODAY() + 90, "Expiring", "Valid")
     )
  )
)</f>
        <v>Expiring</v>
      </c>
      <c r="R80" s="4">
        <v>46549</v>
      </c>
      <c r="S80" s="4" t="str">
        <f ca="1">IF(
  _xlfn.XLOOKUP($D80 &amp; "-" &amp; R$2, TrainingMan!$G:$G, TrainingMan!$F:$F, "2-Year") = "Forever",
  "Valid",
  IF(R80="", "Not Trained",
     IF(R80 &lt; TODAY() - 1, "Expired",
        IF(R80 &lt;= TODAY() + 90, "Expiring", "Valid")
     )
  )
)</f>
        <v>Valid</v>
      </c>
      <c r="T80" s="4">
        <v>46579</v>
      </c>
      <c r="U80" s="4" t="str">
        <f ca="1">IF(
  _xlfn.XLOOKUP($D80 &amp; "-" &amp; T$2, TrainingMan!$G:$G, TrainingMan!$F:$F, "2-Year") = "Forever",
  "Valid",
  IF(T80="", "Not Trained",
     IF(T80 &lt; TODAY() - 1, "Expired",
        IF(T80 &lt;= TODAY() + 90, "Expiring", "Valid")
     )
  )
)</f>
        <v>Valid</v>
      </c>
      <c r="V80" s="4">
        <v>46260</v>
      </c>
      <c r="W80" s="4" t="str">
        <f ca="1">IF(
  _xlfn.XLOOKUP($D80 &amp; "-" &amp; V$2, TrainingMan!$G:$G, TrainingMan!$F:$F, "2-Year") = "Forever",
  "Valid",
  IF(V80="", "Not Trained",
     IF(V80 &lt; TODAY() - 1, "Expired",
        IF(V80 &lt;= TODAY() + 90, "Expiring", "Valid")
     )
  )
)</f>
        <v>Expiring</v>
      </c>
      <c r="X80" s="4">
        <v>46579</v>
      </c>
      <c r="Y80" s="4" t="str">
        <f ca="1">IF(
  _xlfn.XLOOKUP($D80 &amp; "-" &amp; X$2, TrainingMan!$G:$G, TrainingMan!$F:$F, "2-Year") = "Forever",
  "Valid",
  IF(X80="", "Not Trained",
     IF(X80 &lt; TODAY() - 1, "Expired",
        IF(X80 &lt;= TODAY() + 90, "Expiring", "Valid")
     )
  )
)</f>
        <v>Valid</v>
      </c>
      <c r="Z80" s="4">
        <v>44460</v>
      </c>
      <c r="AA80" s="4" t="str">
        <f ca="1">IF(LEN(TRIM(Z80)) = 0, "Not Trained",
  IF(_xlfn.XLOOKUP($D80 &amp; "-" &amp; Z$2, TrainingMan!$G:$G, TrainingMan!$F:$F, "2-Year") = "Forever", "Valid",
    IF(Z80 &lt; TODAY() - 1, "Expired",
      IF(Z80 &lt;= TODAY() + 90, "Expiring", "Valid")
    )
  )
)</f>
        <v>Valid</v>
      </c>
      <c r="AB80" s="4">
        <v>43280</v>
      </c>
      <c r="AC80" s="4">
        <v>43870</v>
      </c>
      <c r="AD80" s="4">
        <v>44909</v>
      </c>
      <c r="AE80" s="4">
        <v>45359</v>
      </c>
      <c r="AF80" s="4">
        <v>45217</v>
      </c>
      <c r="AG80" s="4">
        <v>46197</v>
      </c>
      <c r="AH80" s="4"/>
      <c r="AI80" s="4"/>
      <c r="AJ80" s="4"/>
      <c r="AN80" s="4"/>
      <c r="AQ80" s="4"/>
      <c r="AR80" s="4"/>
      <c r="AS80" s="4"/>
      <c r="AT80" s="4"/>
      <c r="AU80" s="4"/>
      <c r="BB80" s="4">
        <v>46039</v>
      </c>
      <c r="BC80" s="4" t="s">
        <v>253</v>
      </c>
      <c r="BD80" s="4" t="s">
        <v>236</v>
      </c>
      <c r="BE80" s="4">
        <v>41513</v>
      </c>
      <c r="BF80" s="4"/>
      <c r="BG80" s="4"/>
      <c r="BH80" s="4"/>
      <c r="BI80" s="4">
        <v>44533</v>
      </c>
      <c r="BJ80" s="4" t="s">
        <v>140</v>
      </c>
      <c r="BK80" s="4" t="s">
        <v>147</v>
      </c>
      <c r="BL80" s="4"/>
      <c r="BM80" s="4"/>
      <c r="BN80" s="4"/>
      <c r="BO80" s="4"/>
      <c r="BP80" s="4"/>
      <c r="BQ80">
        <f>COUNTIF('TrainingReq (Ach)'!B:B,Table13[[#This Row],[Job Title]])</f>
        <v>13</v>
      </c>
      <c r="BR80" cm="1">
        <f t="array" aca="1" ref="BR8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80" s="5">
        <f t="shared" ca="1" si="3"/>
        <v>1</v>
      </c>
      <c r="BT80" t="s">
        <v>246</v>
      </c>
      <c r="BU80" t="s">
        <v>247</v>
      </c>
      <c r="BV80" t="s">
        <v>256</v>
      </c>
      <c r="BW80" s="4" t="s">
        <v>140</v>
      </c>
      <c r="BZ80" t="s">
        <v>475</v>
      </c>
      <c r="CC80" t="s">
        <v>476</v>
      </c>
      <c r="CD80" s="4">
        <v>46409</v>
      </c>
      <c r="CE80" s="4" t="str">
        <f ca="1">IF(
  _xlfn.XLOOKUP($D80 &amp; "-" &amp; CD$2, 'TrainingReq (Ach)'!$G:$G, 'TrainingReq (Ach)'!$F:$F, "2-Year") = "Forever",
  "Valid",
  IF(CD80="", "Not Trained",
     IF(CD80 &lt; TODAY() - 1, "Expired",
        IF(CD80 &lt;= TODAY() + 90, "Expiring", "Valid")
     )
  )
)</f>
        <v>Valid</v>
      </c>
      <c r="CF80" t="s">
        <v>250</v>
      </c>
      <c r="CG80" s="4">
        <v>54650</v>
      </c>
      <c r="CH80" s="4" t="str">
        <f ca="1">IF(
  _xlfn.XLOOKUP($D79 &amp; "-" &amp; CG$2, 'TrainingReq (Ach)'!$G:$G, 'TrainingReq (Ach)'!$F:$F, "2-Year") = "Forever",
  "Valid",
  IF(CG79="", "Not Trained",
     IF(CG79 &lt; TODAY() - 1, "Expired",
        IF(CG79 &lt;= TODAY() + 90, "Expiring", "Valid")
     )
  )
)</f>
        <v>Not Trained</v>
      </c>
      <c r="CI80" t="str">
        <f t="shared" si="4"/>
        <v>Eligible</v>
      </c>
      <c r="CJ80" t="str">
        <f t="shared" si="5"/>
        <v>Not eligible</v>
      </c>
    </row>
    <row r="81" spans="1:88" x14ac:dyDescent="0.25">
      <c r="A81">
        <v>79</v>
      </c>
      <c r="B81">
        <v>580791</v>
      </c>
      <c r="C81" t="s">
        <v>477</v>
      </c>
      <c r="D81" t="s">
        <v>6</v>
      </c>
      <c r="E81" t="s">
        <v>292</v>
      </c>
      <c r="F81" t="s">
        <v>474</v>
      </c>
      <c r="G81" t="s">
        <v>52</v>
      </c>
      <c r="H81" s="4">
        <v>46647</v>
      </c>
      <c r="I81" s="4" t="str">
        <f ca="1">IF(
  _xlfn.XLOOKUP($D81 &amp; "-" &amp; H$2, 'TrainingReq (Ach)'!G:G, 'TrainingReq (Ach)'!F:F, "2-Year") = "Forever",
  "Valid",
  IF(H81="", "Not Trained",
     IF(H81 &lt; TODAY() - 1, "Expired",
        IF(H81 &lt;= TODAY() + 90, "Expiring", "Valid")
     )
  )
)</f>
        <v>Valid</v>
      </c>
      <c r="J81" s="4">
        <v>46647</v>
      </c>
      <c r="K81" s="4" t="str">
        <f ca="1">IF(
  _xlfn.XLOOKUP($D81 &amp; "-" &amp; J$2, 'TrainingReq (Ach)'!G:G, 'TrainingReq (Ach)'!F:F, "2-Year") = "Forever",
  "Valid",
  IF(J81="", "Not Trained",
     IF(J81 &lt; TODAY() - 1, "Expired",
        IF(J81 &lt;= TODAY() + 90, "Expiring", "Valid")
     )
  )
)</f>
        <v>Valid</v>
      </c>
      <c r="L81" s="4">
        <v>46664</v>
      </c>
      <c r="M81" s="4" t="str">
        <f ca="1">IF(
  _xlfn.XLOOKUP($D81 &amp; "-" &amp; L$2, TrainingMan!$G:$G, TrainingMan!$F:$F, "2-Year") = "Forever",
  "Valid",
  IF(L81="", "Not Trained",
     IF(L81 &lt; TODAY() - 1, "Expired",
        IF(L81 &lt;= TODAY() + 90, "Expiring", "Valid")
     )
  )
)</f>
        <v>Valid</v>
      </c>
      <c r="N81" s="4">
        <v>46664</v>
      </c>
      <c r="O81" s="4" t="str">
        <f ca="1">IF(
  _xlfn.XLOOKUP($D81 &amp; "-" &amp; N$2, TrainingMan!$G:$G, TrainingMan!$F:$F, "2-Year") = "Forever",
  "Valid",
  IF(N81="", "Not Trained",
     IF(N81 &lt; TODAY() - 1, "Expired",
        IF(N81 &lt;= TODAY() + 90, "Expiring", "Valid")
     )
  )
)</f>
        <v>Valid</v>
      </c>
      <c r="P81" s="4">
        <v>46910</v>
      </c>
      <c r="Q81" s="4" t="str">
        <f ca="1">IF(
  _xlfn.XLOOKUP($D81 &amp; "-" &amp; P$2, TrainingMan!$G:$G, TrainingMan!$F:$F, "2-Year") = "Forever",
  "Valid",
  IF(P81="", "Not Trained",
     IF(P81 &lt; TODAY() - 1, "Expired",
        IF(P81 &lt;= TODAY() + 90, "Expiring", "Valid")
     )
  )
)</f>
        <v>Valid</v>
      </c>
      <c r="R81" s="4">
        <v>46664</v>
      </c>
      <c r="S81" s="4" t="str">
        <f ca="1">IF(
  _xlfn.XLOOKUP($D81 &amp; "-" &amp; R$2, TrainingMan!$G:$G, TrainingMan!$F:$F, "2-Year") = "Forever",
  "Valid",
  IF(R81="", "Not Trained",
     IF(R81 &lt; TODAY() - 1, "Expired",
        IF(R81 &lt;= TODAY() + 90, "Expiring", "Valid")
     )
  )
)</f>
        <v>Valid</v>
      </c>
      <c r="T81" s="4">
        <v>46664</v>
      </c>
      <c r="U81" s="4" t="str">
        <f ca="1">IF(
  _xlfn.XLOOKUP($D81 &amp; "-" &amp; T$2, TrainingMan!$G:$G, TrainingMan!$F:$F, "2-Year") = "Forever",
  "Valid",
  IF(T81="", "Not Trained",
     IF(T81 &lt; TODAY() - 1, "Expired",
        IF(T81 &lt;= TODAY() + 90, "Expiring", "Valid")
     )
  )
)</f>
        <v>Valid</v>
      </c>
      <c r="V81" s="4">
        <v>46910</v>
      </c>
      <c r="W81" s="4" t="str">
        <f ca="1">IF(
  _xlfn.XLOOKUP($D81 &amp; "-" &amp; V$2, TrainingMan!$G:$G, TrainingMan!$F:$F, "2-Year") = "Forever",
  "Valid",
  IF(V81="", "Not Trained",
     IF(V81 &lt; TODAY() - 1, "Expired",
        IF(V81 &lt;= TODAY() + 90, "Expiring", "Valid")
     )
  )
)</f>
        <v>Valid</v>
      </c>
      <c r="X81" s="4">
        <v>46415</v>
      </c>
      <c r="Y81" s="4" t="str">
        <f ca="1">IF(
  _xlfn.XLOOKUP($D81 &amp; "-" &amp; X$2, TrainingMan!$G:$G, TrainingMan!$F:$F, "2-Year") = "Forever",
  "Valid",
  IF(X81="", "Not Trained",
     IF(X81 &lt; TODAY() - 1, "Expired",
        IF(X81 &lt;= TODAY() + 90, "Expiring", "Valid")
     )
  )
)</f>
        <v>Valid</v>
      </c>
      <c r="Z81" s="4">
        <v>45003</v>
      </c>
      <c r="AA81" s="4" t="str">
        <f ca="1">IF(LEN(TRIM(Z81)) = 0, "Not Trained",
  IF(_xlfn.XLOOKUP($D81 &amp; "-" &amp; Z$2, TrainingMan!$G:$G, TrainingMan!$F:$F, "2-Year") = "Forever", "Valid",
    IF(Z81 &lt; TODAY() - 1, "Expired",
      IF(Z81 &lt;= TODAY() + 90, "Expiring", "Valid")
    )
  )
)</f>
        <v>Valid</v>
      </c>
      <c r="AB81" s="4">
        <v>43660</v>
      </c>
      <c r="AC81" s="4">
        <v>43842</v>
      </c>
      <c r="AD81" s="4">
        <v>44617</v>
      </c>
      <c r="AE81" s="4">
        <v>45183</v>
      </c>
      <c r="AF81" s="4">
        <v>43287</v>
      </c>
      <c r="AG81" s="4">
        <v>46001</v>
      </c>
      <c r="AH81" s="4"/>
      <c r="AI81" s="4"/>
      <c r="AJ81" s="4"/>
      <c r="AN81" s="4"/>
      <c r="AQ81" s="4"/>
      <c r="AR81" s="4"/>
      <c r="AS81" s="4"/>
      <c r="AT81" s="4">
        <v>46048</v>
      </c>
      <c r="AU81" s="4"/>
      <c r="BB81" s="4">
        <v>46074</v>
      </c>
      <c r="BC81" s="4" t="s">
        <v>268</v>
      </c>
      <c r="BD81" s="4" t="s">
        <v>294</v>
      </c>
      <c r="BE81" s="4">
        <v>41513</v>
      </c>
      <c r="BF81" s="4"/>
      <c r="BG81" s="4"/>
      <c r="BH81" s="4"/>
      <c r="BI81" s="4">
        <v>45614</v>
      </c>
      <c r="BJ81" s="4" t="s">
        <v>144</v>
      </c>
      <c r="BK81" s="4" t="s">
        <v>151</v>
      </c>
      <c r="BL81" s="4"/>
      <c r="BM81" s="4"/>
      <c r="BN81" s="4">
        <v>46129</v>
      </c>
      <c r="BO81" s="4"/>
      <c r="BP81" s="4"/>
      <c r="BQ81">
        <f>COUNTIF('TrainingReq (Ach)'!B:B,Table13[[#This Row],[Job Title]])</f>
        <v>15</v>
      </c>
      <c r="BR81" cm="1">
        <f t="array" aca="1" ref="BR8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1" s="5">
        <f t="shared" ca="1" si="3"/>
        <v>1</v>
      </c>
      <c r="BT81" t="s">
        <v>246</v>
      </c>
      <c r="BU81" t="s">
        <v>247</v>
      </c>
      <c r="BV81" t="s">
        <v>256</v>
      </c>
      <c r="BW81" s="4" t="s">
        <v>144</v>
      </c>
      <c r="BZ81" t="s">
        <v>478</v>
      </c>
      <c r="CC81" t="s">
        <v>479</v>
      </c>
      <c r="CD81" s="4">
        <v>47210</v>
      </c>
      <c r="CE81" s="4" t="str">
        <f ca="1">IF(
  _xlfn.XLOOKUP($D81 &amp; "-" &amp; CD$2, 'TrainingReq (Ach)'!$G:$G, 'TrainingReq (Ach)'!$F:$F, "2-Year") = "Forever",
  "Valid",
  IF(CD81="", "Not Trained",
     IF(CD81 &lt; TODAY() - 1, "Expired",
        IF(CD81 &lt;= TODAY() + 90, "Expiring", "Valid")
     )
  )
)</f>
        <v>Valid</v>
      </c>
      <c r="CF81" t="s">
        <v>250</v>
      </c>
      <c r="CG81" s="4">
        <v>54960</v>
      </c>
      <c r="CH81" s="4" t="str">
        <f ca="1">IF(
  _xlfn.XLOOKUP($D80 &amp; "-" &amp; CG$2, 'TrainingReq (Ach)'!$G:$G, 'TrainingReq (Ach)'!$F:$F, "2-Year") = "Forever",
  "Valid",
  IF(CG80="", "Not Trained",
     IF(CG80 &lt; TODAY() - 1, "Expired",
        IF(CG80 &lt;= TODAY() + 90, "Expiring", "Valid")
     )
  )
)</f>
        <v>Valid</v>
      </c>
      <c r="CI81" t="str">
        <f t="shared" si="4"/>
        <v>Eligible</v>
      </c>
      <c r="CJ81" t="str">
        <f t="shared" si="5"/>
        <v>Not eligible</v>
      </c>
    </row>
    <row r="82" spans="1:88" x14ac:dyDescent="0.25">
      <c r="A82">
        <v>80</v>
      </c>
      <c r="B82">
        <v>583737</v>
      </c>
      <c r="C82" t="s">
        <v>480</v>
      </c>
      <c r="D82" t="s">
        <v>18</v>
      </c>
      <c r="E82" t="s">
        <v>263</v>
      </c>
      <c r="F82" t="s">
        <v>474</v>
      </c>
      <c r="G82" t="s">
        <v>52</v>
      </c>
      <c r="H82" s="4">
        <v>46514</v>
      </c>
      <c r="I82" s="4" t="str">
        <f ca="1">IF(
  _xlfn.XLOOKUP($D82 &amp; "-" &amp; H$2, 'TrainingReq (Ach)'!G:G, 'TrainingReq (Ach)'!F:F, "2-Year") = "Forever",
  "Valid",
  IF(H82="", "Not Trained",
     IF(H82 &lt; TODAY() - 1, "Expired",
        IF(H82 &lt;= TODAY() + 90, "Expiring", "Valid")
     )
  )
)</f>
        <v>Valid</v>
      </c>
      <c r="J82" s="4">
        <v>46514</v>
      </c>
      <c r="K82" s="4" t="str">
        <f ca="1">IF(
  _xlfn.XLOOKUP($D82 &amp; "-" &amp; J$2, 'TrainingReq (Ach)'!G:G, 'TrainingReq (Ach)'!F:F, "2-Year") = "Forever",
  "Valid",
  IF(J82="", "Not Trained",
     IF(J82 &lt; TODAY() - 1, "Expired",
        IF(J82 &lt;= TODAY() + 90, "Expiring", "Valid")
     )
  )
)</f>
        <v>Valid</v>
      </c>
      <c r="L82" s="4">
        <v>46772</v>
      </c>
      <c r="M82" s="4" t="str">
        <f ca="1">IF(
  _xlfn.XLOOKUP($D82 &amp; "-" &amp; L$2, TrainingMan!$G:$G, TrainingMan!$F:$F, "2-Year") = "Forever",
  "Valid",
  IF(L82="", "Not Trained",
     IF(L82 &lt; TODAY() - 1, "Expired",
        IF(L82 &lt;= TODAY() + 90, "Expiring", "Valid")
     )
  )
)</f>
        <v>Valid</v>
      </c>
      <c r="N82" s="4">
        <v>46519</v>
      </c>
      <c r="O82" s="4" t="str">
        <f ca="1">IF(
  _xlfn.XLOOKUP($D82 &amp; "-" &amp; N$2, TrainingMan!$G:$G, TrainingMan!$F:$F, "2-Year") = "Forever",
  "Valid",
  IF(N82="", "Not Trained",
     IF(N82 &lt; TODAY() - 1, "Expired",
        IF(N82 &lt;= TODAY() + 90, "Expiring", "Valid")
     )
  )
)</f>
        <v>Valid</v>
      </c>
      <c r="P82" s="4">
        <v>46519</v>
      </c>
      <c r="Q82" s="4" t="str">
        <f ca="1">IF(
  _xlfn.XLOOKUP($D82 &amp; "-" &amp; P$2, TrainingMan!$G:$G, TrainingMan!$F:$F, "2-Year") = "Forever",
  "Valid",
  IF(P82="", "Not Trained",
     IF(P82 &lt; TODAY() - 1, "Expired",
        IF(P82 &lt;= TODAY() + 90, "Expiring", "Valid")
     )
  )
)</f>
        <v>Valid</v>
      </c>
      <c r="R82" s="4">
        <v>46519</v>
      </c>
      <c r="S82" s="4" t="str">
        <f ca="1">IF(
  _xlfn.XLOOKUP($D82 &amp; "-" &amp; R$2, TrainingMan!$G:$G, TrainingMan!$F:$F, "2-Year") = "Forever",
  "Valid",
  IF(R82="", "Not Trained",
     IF(R82 &lt; TODAY() - 1, "Expired",
        IF(R82 &lt;= TODAY() + 90, "Expiring", "Valid")
     )
  )
)</f>
        <v>Valid</v>
      </c>
      <c r="T82" s="4">
        <v>46519</v>
      </c>
      <c r="U82" s="4" t="str">
        <f ca="1">IF(
  _xlfn.XLOOKUP($D82 &amp; "-" &amp; T$2, TrainingMan!$G:$G, TrainingMan!$F:$F, "2-Year") = "Forever",
  "Valid",
  IF(T82="", "Not Trained",
     IF(T82 &lt; TODAY() - 1, "Expired",
        IF(T82 &lt;= TODAY() + 90, "Expiring", "Valid")
     )
  )
)</f>
        <v>Valid</v>
      </c>
      <c r="V82" s="4">
        <v>46519</v>
      </c>
      <c r="W82" s="4" t="str">
        <f ca="1">IF(
  _xlfn.XLOOKUP($D82 &amp; "-" &amp; V$2, TrainingMan!$G:$G, TrainingMan!$F:$F, "2-Year") = "Forever",
  "Valid",
  IF(V82="", "Not Trained",
     IF(V82 &lt; TODAY() - 1, "Expired",
        IF(V82 &lt;= TODAY() + 90, "Expiring", "Valid")
     )
  )
)</f>
        <v>Valid</v>
      </c>
      <c r="X82" s="4">
        <v>46519</v>
      </c>
      <c r="Y82" s="4" t="str">
        <f ca="1">IF(
  _xlfn.XLOOKUP($D82 &amp; "-" &amp; X$2, TrainingMan!$G:$G, TrainingMan!$F:$F, "2-Year") = "Forever",
  "Valid",
  IF(X82="", "Not Trained",
     IF(X82 &lt; TODAY() - 1, "Expired",
        IF(X82 &lt;= TODAY() + 90, "Expiring", "Valid")
     )
  )
)</f>
        <v>Valid</v>
      </c>
      <c r="Z82" s="4">
        <v>45113</v>
      </c>
      <c r="AA82" s="4" t="str">
        <f ca="1">IF(LEN(TRIM(Z82)) = 0, "Not Trained",
  IF(_xlfn.XLOOKUP($D82 &amp; "-" &amp; Z$2, TrainingMan!$G:$G, TrainingMan!$F:$F, "2-Year") = "Forever", "Valid",
    IF(Z82 &lt; TODAY() - 1, "Expired",
      IF(Z82 &lt;= TODAY() + 90, "Expiring", "Valid")
    )
  )
)</f>
        <v>Valid</v>
      </c>
      <c r="AB82" s="4">
        <v>45452</v>
      </c>
      <c r="AC82" s="4">
        <v>45985</v>
      </c>
      <c r="AD82" s="4">
        <v>45702</v>
      </c>
      <c r="AE82" s="4"/>
      <c r="AF82" s="4">
        <v>45943</v>
      </c>
      <c r="AG82" s="4"/>
      <c r="AH82" s="4"/>
      <c r="AI82" s="4"/>
      <c r="AJ82" s="4"/>
      <c r="AN82" s="4"/>
      <c r="AQ82" s="4"/>
      <c r="AR82" s="4"/>
      <c r="AS82" s="4"/>
      <c r="AT82" s="4"/>
      <c r="AU82" s="4"/>
      <c r="BB82" s="4">
        <v>46284</v>
      </c>
      <c r="BC82" s="4" t="s">
        <v>264</v>
      </c>
      <c r="BD82" s="4" t="s">
        <v>381</v>
      </c>
      <c r="BE82" s="4"/>
      <c r="BF82" s="4">
        <v>42989</v>
      </c>
      <c r="BG82" s="4"/>
      <c r="BH82" s="4"/>
      <c r="BI82" s="4">
        <v>44965</v>
      </c>
      <c r="BJ82" s="4" t="s">
        <v>145</v>
      </c>
      <c r="BK82" s="4"/>
      <c r="BL82" s="4"/>
      <c r="BM82" s="4"/>
      <c r="BN82" s="4"/>
      <c r="BO82" s="4"/>
      <c r="BP82" s="4"/>
      <c r="BQ82">
        <f>COUNTIF('TrainingReq (Ach)'!B:B,Table13[[#This Row],[Job Title]])</f>
        <v>15</v>
      </c>
      <c r="BR82" cm="1">
        <f t="array" aca="1" ref="BR8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2" s="5">
        <f t="shared" ca="1" si="3"/>
        <v>1</v>
      </c>
      <c r="BT82" t="s">
        <v>265</v>
      </c>
      <c r="BU82" t="s">
        <v>247</v>
      </c>
      <c r="BV82" t="s">
        <v>270</v>
      </c>
      <c r="BW82" s="4" t="s">
        <v>145</v>
      </c>
      <c r="BZ82">
        <v>12254</v>
      </c>
      <c r="CC82" t="s">
        <v>481</v>
      </c>
      <c r="CD82" s="4"/>
      <c r="CE82" s="4" t="str">
        <f ca="1">IF(
  _xlfn.XLOOKUP($D82 &amp; "-" &amp; CD$2, 'TrainingReq (Ach)'!$G:$G, 'TrainingReq (Ach)'!$F:$F, "2-Year") = "Forever",
  "Valid",
  IF(CD82="", "Not Trained",
     IF(CD82 &lt; TODAY() - 1, "Expired",
        IF(CD82 &lt;= TODAY() + 90, "Expiring", "Valid")
     )
  )
)</f>
        <v>Not Trained</v>
      </c>
      <c r="CF82" t="s">
        <v>250</v>
      </c>
      <c r="CG82" s="4">
        <v>56629</v>
      </c>
      <c r="CH82" s="4" t="str">
        <f ca="1">IF(
  _xlfn.XLOOKUP($D81 &amp; "-" &amp; CG$2, 'TrainingReq (Ach)'!$G:$G, 'TrainingReq (Ach)'!$F:$F, "2-Year") = "Forever",
  "Valid",
  IF(CG81="", "Not Trained",
     IF(CG81 &lt; TODAY() - 1, "Expired",
        IF(CG81 &lt;= TODAY() + 90, "Expiring", "Valid")
     )
  )
)</f>
        <v>Valid</v>
      </c>
      <c r="CI82" t="str">
        <f t="shared" si="4"/>
        <v>Eligible</v>
      </c>
      <c r="CJ82" t="str">
        <f t="shared" si="5"/>
        <v>Not eligible</v>
      </c>
    </row>
    <row r="83" spans="1:88" x14ac:dyDescent="0.25">
      <c r="A83">
        <v>81</v>
      </c>
      <c r="B83">
        <v>582709</v>
      </c>
      <c r="C83" t="s">
        <v>482</v>
      </c>
      <c r="D83" t="s">
        <v>18</v>
      </c>
      <c r="E83" t="s">
        <v>263</v>
      </c>
      <c r="F83" t="s">
        <v>474</v>
      </c>
      <c r="G83" t="s">
        <v>52</v>
      </c>
      <c r="H83" s="4">
        <v>46679</v>
      </c>
      <c r="I83" s="4" t="str">
        <f ca="1">IF(
  _xlfn.XLOOKUP($D83 &amp; "-" &amp; H$2, 'TrainingReq (Ach)'!G:G, 'TrainingReq (Ach)'!F:F, "2-Year") = "Forever",
  "Valid",
  IF(H83="", "Not Trained",
     IF(H83 &lt; TODAY() - 1, "Expired",
        IF(H83 &lt;= TODAY() + 90, "Expiring", "Valid")
     )
  )
)</f>
        <v>Valid</v>
      </c>
      <c r="J83" s="4">
        <v>46679</v>
      </c>
      <c r="K83" s="4" t="str">
        <f ca="1">IF(
  _xlfn.XLOOKUP($D83 &amp; "-" &amp; J$2, 'TrainingReq (Ach)'!G:G, 'TrainingReq (Ach)'!F:F, "2-Year") = "Forever",
  "Valid",
  IF(J83="", "Not Trained",
     IF(J83 &lt; TODAY() - 1, "Expired",
        IF(J83 &lt;= TODAY() + 90, "Expiring", "Valid")
     )
  )
)</f>
        <v>Valid</v>
      </c>
      <c r="L83" s="4">
        <v>46764</v>
      </c>
      <c r="M83" s="4" t="str">
        <f ca="1">IF(
  _xlfn.XLOOKUP($D83 &amp; "-" &amp; L$2, TrainingMan!$G:$G, TrainingMan!$F:$F, "2-Year") = "Forever",
  "Valid",
  IF(L83="", "Not Trained",
     IF(L83 &lt; TODAY() - 1, "Expired",
        IF(L83 &lt;= TODAY() + 90, "Expiring", "Valid")
     )
  )
)</f>
        <v>Valid</v>
      </c>
      <c r="N83" s="4">
        <v>46764</v>
      </c>
      <c r="O83" s="4" t="str">
        <f ca="1">IF(
  _xlfn.XLOOKUP($D83 &amp; "-" &amp; N$2, TrainingMan!$G:$G, TrainingMan!$F:$F, "2-Year") = "Forever",
  "Valid",
  IF(N83="", "Not Trained",
     IF(N83 &lt; TODAY() - 1, "Expired",
        IF(N83 &lt;= TODAY() + 90, "Expiring", "Valid")
     )
  )
)</f>
        <v>Valid</v>
      </c>
      <c r="P83" s="4">
        <v>46764</v>
      </c>
      <c r="Q83" s="4" t="str">
        <f ca="1">IF(
  _xlfn.XLOOKUP($D83 &amp; "-" &amp; P$2, TrainingMan!$G:$G, TrainingMan!$F:$F, "2-Year") = "Forever",
  "Valid",
  IF(P83="", "Not Trained",
     IF(P83 &lt; TODAY() - 1, "Expired",
        IF(P83 &lt;= TODAY() + 90, "Expiring", "Valid")
     )
  )
)</f>
        <v>Valid</v>
      </c>
      <c r="R83" s="4">
        <v>46764</v>
      </c>
      <c r="S83" s="4" t="str">
        <f ca="1">IF(
  _xlfn.XLOOKUP($D83 &amp; "-" &amp; R$2, TrainingMan!$G:$G, TrainingMan!$F:$F, "2-Year") = "Forever",
  "Valid",
  IF(R83="", "Not Trained",
     IF(R83 &lt; TODAY() - 1, "Expired",
        IF(R83 &lt;= TODAY() + 90, "Expiring", "Valid")
     )
  )
)</f>
        <v>Valid</v>
      </c>
      <c r="T83" s="4">
        <v>46764</v>
      </c>
      <c r="U83" s="4" t="str">
        <f ca="1">IF(
  _xlfn.XLOOKUP($D83 &amp; "-" &amp; T$2, TrainingMan!$G:$G, TrainingMan!$F:$F, "2-Year") = "Forever",
  "Valid",
  IF(T83="", "Not Trained",
     IF(T83 &lt; TODAY() - 1, "Expired",
        IF(T83 &lt;= TODAY() + 90, "Expiring", "Valid")
     )
  )
)</f>
        <v>Valid</v>
      </c>
      <c r="V83" s="4">
        <v>46764</v>
      </c>
      <c r="W83" s="4" t="str">
        <f ca="1">IF(
  _xlfn.XLOOKUP($D83 &amp; "-" &amp; V$2, TrainingMan!$G:$G, TrainingMan!$F:$F, "2-Year") = "Forever",
  "Valid",
  IF(V83="", "Not Trained",
     IF(V83 &lt; TODAY() - 1, "Expired",
        IF(V83 &lt;= TODAY() + 90, "Expiring", "Valid")
     )
  )
)</f>
        <v>Valid</v>
      </c>
      <c r="X83" s="4">
        <v>46764</v>
      </c>
      <c r="Y83" s="4" t="str">
        <f ca="1">IF(
  _xlfn.XLOOKUP($D83 &amp; "-" &amp; X$2, TrainingMan!$G:$G, TrainingMan!$F:$F, "2-Year") = "Forever",
  "Valid",
  IF(X83="", "Not Trained",
     IF(X83 &lt; TODAY() - 1, "Expired",
        IF(X83 &lt;= TODAY() + 90, "Expiring", "Valid")
     )
  )
)</f>
        <v>Valid</v>
      </c>
      <c r="Z83" s="4">
        <v>45426</v>
      </c>
      <c r="AA83" s="4" t="str">
        <f ca="1">IF(LEN(TRIM(Z83)) = 0, "Not Trained",
  IF(_xlfn.XLOOKUP($D83 &amp; "-" &amp; Z$2, TrainingMan!$G:$G, TrainingMan!$F:$F, "2-Year") = "Forever", "Valid",
    IF(Z83 &lt; TODAY() - 1, "Expired",
      IF(Z83 &lt;= TODAY() + 90, "Expiring", "Valid")
    )
  )
)</f>
        <v>Valid</v>
      </c>
      <c r="AB83" s="4">
        <v>44039</v>
      </c>
      <c r="AC83" s="4">
        <v>44179</v>
      </c>
      <c r="AD83" s="4">
        <v>44895</v>
      </c>
      <c r="AE83" s="4"/>
      <c r="AF83" s="4">
        <v>45427</v>
      </c>
      <c r="AG83" s="4"/>
      <c r="AH83" s="4"/>
      <c r="AI83" s="4"/>
      <c r="AJ83" s="4"/>
      <c r="AN83" s="4" t="s">
        <v>483</v>
      </c>
      <c r="AQ83" s="4"/>
      <c r="AR83" s="4"/>
      <c r="AS83" s="4"/>
      <c r="AT83" s="4"/>
      <c r="AU83" s="4"/>
      <c r="BB83" s="4">
        <v>45983</v>
      </c>
      <c r="BC83" s="4" t="s">
        <v>484</v>
      </c>
      <c r="BD83" s="4" t="s">
        <v>254</v>
      </c>
      <c r="BE83" s="4"/>
      <c r="BF83" s="4">
        <v>41890</v>
      </c>
      <c r="BG83" s="4"/>
      <c r="BH83" s="4"/>
      <c r="BI83" s="4">
        <v>44118</v>
      </c>
      <c r="BJ83" s="4" t="s">
        <v>140</v>
      </c>
      <c r="BK83" s="4"/>
      <c r="BL83" s="4"/>
      <c r="BM83" s="4"/>
      <c r="BN83" s="4"/>
      <c r="BO83" s="4"/>
      <c r="BP83" s="4"/>
      <c r="BQ83">
        <f>COUNTIF('TrainingReq (Ach)'!B:B,Table13[[#This Row],[Job Title]])</f>
        <v>15</v>
      </c>
      <c r="BR83" cm="1">
        <f t="array" aca="1" ref="BR8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3" s="5">
        <f t="shared" ca="1" si="3"/>
        <v>1</v>
      </c>
      <c r="BT83" t="s">
        <v>246</v>
      </c>
      <c r="BU83" t="s">
        <v>247</v>
      </c>
      <c r="BV83" t="s">
        <v>256</v>
      </c>
      <c r="BW83" s="4" t="s">
        <v>140</v>
      </c>
      <c r="BZ83" t="s">
        <v>485</v>
      </c>
      <c r="CC83" t="s">
        <v>486</v>
      </c>
      <c r="CD83" s="4">
        <v>46787</v>
      </c>
      <c r="CE83" s="4" t="str">
        <f ca="1">IF(
  _xlfn.XLOOKUP($D83 &amp; "-" &amp; CD$2, 'TrainingReq (Ach)'!$G:$G, 'TrainingReq (Ach)'!$F:$F, "2-Year") = "Forever",
  "Valid",
  IF(CD83="", "Not Trained",
     IF(CD83 &lt; TODAY() - 1, "Expired",
        IF(CD83 &lt;= TODAY() + 90, "Expiring", "Valid")
     )
  )
)</f>
        <v>Valid</v>
      </c>
      <c r="CF83" t="s">
        <v>250</v>
      </c>
      <c r="CG83" s="4">
        <v>55756</v>
      </c>
      <c r="CH83" s="4" t="str">
        <f ca="1">IF(
  _xlfn.XLOOKUP($D82 &amp; "-" &amp; CG$2, 'TrainingReq (Ach)'!$G:$G, 'TrainingReq (Ach)'!$F:$F, "2-Year") = "Forever",
  "Valid",
  IF(CG82="", "Not Trained",
     IF(CG82 &lt; TODAY() - 1, "Expired",
        IF(CG82 &lt;= TODAY() + 90, "Expiring", "Valid")
     )
  )
)</f>
        <v>Valid</v>
      </c>
      <c r="CI83" t="str">
        <f t="shared" si="4"/>
        <v>Eligible</v>
      </c>
      <c r="CJ83" t="str">
        <f t="shared" si="5"/>
        <v>Not eligible</v>
      </c>
    </row>
    <row r="84" spans="1:88" x14ac:dyDescent="0.25">
      <c r="A84">
        <v>82</v>
      </c>
      <c r="B84">
        <v>582688</v>
      </c>
      <c r="C84" t="s">
        <v>487</v>
      </c>
      <c r="D84" t="s">
        <v>15</v>
      </c>
      <c r="E84" t="s">
        <v>327</v>
      </c>
      <c r="F84" t="s">
        <v>474</v>
      </c>
      <c r="G84" t="s">
        <v>52</v>
      </c>
      <c r="H84" s="4">
        <v>46686</v>
      </c>
      <c r="I84" s="4" t="str">
        <f ca="1">IF(
  _xlfn.XLOOKUP($D84 &amp; "-" &amp; H$2, 'TrainingReq (Ach)'!G:G, 'TrainingReq (Ach)'!F:F, "2-Year") = "Forever",
  "Valid",
  IF(H84="", "Not Trained",
     IF(H84 &lt; TODAY() - 1, "Expired",
        IF(H84 &lt;= TODAY() + 90, "Expiring", "Valid")
     )
  )
)</f>
        <v>Valid</v>
      </c>
      <c r="J84" s="4">
        <v>46686</v>
      </c>
      <c r="K84" s="4" t="str">
        <f ca="1">IF(
  _xlfn.XLOOKUP($D84 &amp; "-" &amp; J$2, 'TrainingReq (Ach)'!G:G, 'TrainingReq (Ach)'!F:F, "2-Year") = "Forever",
  "Valid",
  IF(J84="", "Not Trained",
     IF(J84 &lt; TODAY() - 1, "Expired",
        IF(J84 &lt;= TODAY() + 90, "Expiring", "Valid")
     )
  )
)</f>
        <v>Valid</v>
      </c>
      <c r="L84" s="4">
        <v>46694</v>
      </c>
      <c r="M84" s="4" t="str">
        <f ca="1">IF(
  _xlfn.XLOOKUP($D84 &amp; "-" &amp; L$2, TrainingMan!$G:$G, TrainingMan!$F:$F, "2-Year") = "Forever",
  "Valid",
  IF(L84="", "Not Trained",
     IF(L84 &lt; TODAY() - 1, "Expired",
        IF(L84 &lt;= TODAY() + 90, "Expiring", "Valid")
     )
  )
)</f>
        <v>Valid</v>
      </c>
      <c r="N84" s="4">
        <v>46567</v>
      </c>
      <c r="O84" s="4" t="str">
        <f ca="1">IF(
  _xlfn.XLOOKUP($D84 &amp; "-" &amp; N$2, TrainingMan!$G:$G, TrainingMan!$F:$F, "2-Year") = "Forever",
  "Valid",
  IF(N84="", "Not Trained",
     IF(N84 &lt; TODAY() - 1, "Expired",
        IF(N84 &lt;= TODAY() + 90, "Expiring", "Valid")
     )
  )
)</f>
        <v>Valid</v>
      </c>
      <c r="P84" s="4">
        <v>46336</v>
      </c>
      <c r="Q84" s="4" t="str">
        <f ca="1">IF(
  _xlfn.XLOOKUP($D84 &amp; "-" &amp; P$2, TrainingMan!$G:$G, TrainingMan!$F:$F, "2-Year") = "Forever",
  "Valid",
  IF(P84="", "Not Trained",
     IF(P84 &lt; TODAY() - 1, "Expired",
        IF(P84 &lt;= TODAY() + 90, "Expiring", "Valid")
     )
  )
)</f>
        <v>Expiring</v>
      </c>
      <c r="R84" s="4">
        <v>46567</v>
      </c>
      <c r="S84" s="4" t="str">
        <f ca="1">IF(
  _xlfn.XLOOKUP($D84 &amp; "-" &amp; R$2, TrainingMan!$G:$G, TrainingMan!$F:$F, "2-Year") = "Forever",
  "Valid",
  IF(R84="", "Not Trained",
     IF(R84 &lt; TODAY() - 1, "Expired",
        IF(R84 &lt;= TODAY() + 90, "Expiring", "Valid")
     )
  )
)</f>
        <v>Valid</v>
      </c>
      <c r="T84" s="4">
        <v>46567</v>
      </c>
      <c r="U84" s="4" t="str">
        <f ca="1">IF(
  _xlfn.XLOOKUP($D84 &amp; "-" &amp; T$2, TrainingMan!$G:$G, TrainingMan!$F:$F, "2-Year") = "Forever",
  "Valid",
  IF(T84="", "Not Trained",
     IF(T84 &lt; TODAY() - 1, "Expired",
        IF(T84 &lt;= TODAY() + 90, "Expiring", "Valid")
     )
  )
)</f>
        <v>Valid</v>
      </c>
      <c r="V84" s="4">
        <v>46694</v>
      </c>
      <c r="W84" s="4" t="str">
        <f ca="1">IF(
  _xlfn.XLOOKUP($D84 &amp; "-" &amp; V$2, TrainingMan!$G:$G, TrainingMan!$F:$F, "2-Year") = "Forever",
  "Valid",
  IF(V84="", "Not Trained",
     IF(V84 &lt; TODAY() - 1, "Expired",
        IF(V84 &lt;= TODAY() + 90, "Expiring", "Valid")
     )
  )
)</f>
        <v>Valid</v>
      </c>
      <c r="X84" s="4">
        <v>46567</v>
      </c>
      <c r="Y84" s="4" t="str">
        <f ca="1">IF(
  _xlfn.XLOOKUP($D84 &amp; "-" &amp; X$2, TrainingMan!$G:$G, TrainingMan!$F:$F, "2-Year") = "Forever",
  "Valid",
  IF(X84="", "Not Trained",
     IF(X84 &lt; TODAY() - 1, "Expired",
        IF(X84 &lt;= TODAY() + 90, "Expiring", "Valid")
     )
  )
)</f>
        <v>Valid</v>
      </c>
      <c r="Z84" s="4">
        <v>44899</v>
      </c>
      <c r="AA84" s="4" t="str">
        <f ca="1">IF(LEN(TRIM(Z84)) = 0, "Not Trained",
  IF(_xlfn.XLOOKUP($D84 &amp; "-" &amp; Z$2, TrainingMan!$G:$G, TrainingMan!$F:$F, "2-Year") = "Forever", "Valid",
    IF(Z84 &lt; TODAY() - 1, "Expired",
      IF(Z84 &lt;= TODAY() + 90, "Expiring", "Valid")
    )
  )
)</f>
        <v>Valid</v>
      </c>
      <c r="AB84" s="4">
        <v>44235</v>
      </c>
      <c r="AC84" s="4">
        <v>45125</v>
      </c>
      <c r="AD84" s="4">
        <v>44952</v>
      </c>
      <c r="AE84" s="4">
        <v>45715</v>
      </c>
      <c r="AF84" s="4">
        <v>45924</v>
      </c>
      <c r="AG84" s="4"/>
      <c r="AH84" s="4"/>
      <c r="AI84" s="4"/>
      <c r="AJ84" s="4"/>
      <c r="AN84" s="4"/>
      <c r="AQ84" s="4"/>
      <c r="AR84" s="4"/>
      <c r="AS84" s="4"/>
      <c r="AT84" s="4"/>
      <c r="AU84" s="4"/>
      <c r="BB84" s="4">
        <v>45401</v>
      </c>
      <c r="BC84" s="4"/>
      <c r="BD84" s="4" t="s">
        <v>456</v>
      </c>
      <c r="BE84" s="4"/>
      <c r="BF84" s="4"/>
      <c r="BG84" s="4"/>
      <c r="BH84" s="4"/>
      <c r="BI84" s="4">
        <v>44725</v>
      </c>
      <c r="BJ84" s="4" t="s">
        <v>144</v>
      </c>
      <c r="BK84" s="4"/>
      <c r="BL84" s="4"/>
      <c r="BM84" s="4"/>
      <c r="BN84" s="4"/>
      <c r="BO84" s="4"/>
      <c r="BP84" s="4"/>
      <c r="BQ84">
        <f>COUNTIF('TrainingReq (Ach)'!B:B,Table13[[#This Row],[Job Title]])</f>
        <v>13</v>
      </c>
      <c r="BR84" cm="1">
        <f t="array" aca="1" ref="BR8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84" s="5">
        <f t="shared" ca="1" si="3"/>
        <v>1</v>
      </c>
      <c r="BT84" t="s">
        <v>246</v>
      </c>
      <c r="BU84" t="s">
        <v>247</v>
      </c>
      <c r="BV84" t="s">
        <v>270</v>
      </c>
      <c r="BW84" s="4" t="s">
        <v>144</v>
      </c>
      <c r="BZ84" t="s">
        <v>488</v>
      </c>
      <c r="CC84" t="s">
        <v>489</v>
      </c>
      <c r="CD84" s="4">
        <v>46673</v>
      </c>
      <c r="CE84" s="4" t="str">
        <f ca="1">IF(
  _xlfn.XLOOKUP($D84 &amp; "-" &amp; CD$2, 'TrainingReq (Ach)'!$G:$G, 'TrainingReq (Ach)'!$F:$F, "2-Year") = "Forever",
  "Valid",
  IF(CD84="", "Not Trained",
     IF(CD84 &lt; TODAY() - 1, "Expired",
        IF(CD84 &lt;= TODAY() + 90, "Expiring", "Valid")
     )
  )
)</f>
        <v>Valid</v>
      </c>
      <c r="CF84" t="s">
        <v>250</v>
      </c>
      <c r="CG84" s="4">
        <v>56004</v>
      </c>
      <c r="CH84" s="4" t="str">
        <f ca="1">IF(
  _xlfn.XLOOKUP($D83 &amp; "-" &amp; CG$2, 'TrainingReq (Ach)'!$G:$G, 'TrainingReq (Ach)'!$F:$F, "2-Year") = "Forever",
  "Valid",
  IF(CG83="", "Not Trained",
     IF(CG83 &lt; TODAY() - 1, "Expired",
        IF(CG83 &lt;= TODAY() + 90, "Expiring", "Valid")
     )
  )
)</f>
        <v>Valid</v>
      </c>
      <c r="CI84" t="str">
        <f t="shared" si="4"/>
        <v>Eligible</v>
      </c>
      <c r="CJ84" t="str">
        <f t="shared" si="5"/>
        <v>Not eligible</v>
      </c>
    </row>
    <row r="85" spans="1:88" x14ac:dyDescent="0.25">
      <c r="A85">
        <v>83</v>
      </c>
      <c r="B85">
        <v>533486</v>
      </c>
      <c r="C85" t="s">
        <v>490</v>
      </c>
      <c r="D85" t="s">
        <v>6</v>
      </c>
      <c r="E85" t="s">
        <v>243</v>
      </c>
      <c r="F85" t="s">
        <v>474</v>
      </c>
      <c r="G85" t="s">
        <v>52</v>
      </c>
      <c r="H85" s="4">
        <v>46714</v>
      </c>
      <c r="I85" s="4" t="str">
        <f ca="1">IF(
  _xlfn.XLOOKUP($D85 &amp; "-" &amp; H$2, 'TrainingReq (Ach)'!G:G, 'TrainingReq (Ach)'!F:F, "2-Year") = "Forever",
  "Valid",
  IF(H85="", "Not Trained",
     IF(H85 &lt; TODAY() - 1, "Expired",
        IF(H85 &lt;= TODAY() + 90, "Expiring", "Valid")
     )
  )
)</f>
        <v>Valid</v>
      </c>
      <c r="J85" s="4">
        <v>46714</v>
      </c>
      <c r="K85" s="4" t="str">
        <f ca="1">IF(
  _xlfn.XLOOKUP($D85 &amp; "-" &amp; J$2, 'TrainingReq (Ach)'!G:G, 'TrainingReq (Ach)'!F:F, "2-Year") = "Forever",
  "Valid",
  IF(J85="", "Not Trained",
     IF(J85 &lt; TODAY() - 1, "Expired",
        IF(J85 &lt;= TODAY() + 90, "Expiring", "Valid")
     )
  )
)</f>
        <v>Valid</v>
      </c>
      <c r="L85" s="4">
        <v>46923</v>
      </c>
      <c r="M85" s="4" t="str">
        <f ca="1">IF(
  _xlfn.XLOOKUP($D85 &amp; "-" &amp; L$2, TrainingMan!$G:$G, TrainingMan!$F:$F, "2-Year") = "Forever",
  "Valid",
  IF(L85="", "Not Trained",
     IF(L85 &lt; TODAY() - 1, "Expired",
        IF(L85 &lt;= TODAY() + 90, "Expiring", "Valid")
     )
  )
)</f>
        <v>Valid</v>
      </c>
      <c r="N85" s="4">
        <v>46923</v>
      </c>
      <c r="O85" s="4" t="str">
        <f ca="1">IF(
  _xlfn.XLOOKUP($D85 &amp; "-" &amp; N$2, TrainingMan!$G:$G, TrainingMan!$F:$F, "2-Year") = "Forever",
  "Valid",
  IF(N85="", "Not Trained",
     IF(N85 &lt; TODAY() - 1, "Expired",
        IF(N85 &lt;= TODAY() + 90, "Expiring", "Valid")
     )
  )
)</f>
        <v>Valid</v>
      </c>
      <c r="P85" s="4">
        <v>46923</v>
      </c>
      <c r="Q85" s="4" t="str">
        <f ca="1">IF(
  _xlfn.XLOOKUP($D85 &amp; "-" &amp; P$2, TrainingMan!$G:$G, TrainingMan!$F:$F, "2-Year") = "Forever",
  "Valid",
  IF(P85="", "Not Trained",
     IF(P85 &lt; TODAY() - 1, "Expired",
        IF(P85 &lt;= TODAY() + 90, "Expiring", "Valid")
     )
  )
)</f>
        <v>Valid</v>
      </c>
      <c r="R85" s="4">
        <v>46923</v>
      </c>
      <c r="S85" s="4" t="str">
        <f ca="1">IF(
  _xlfn.XLOOKUP($D85 &amp; "-" &amp; R$2, TrainingMan!$G:$G, TrainingMan!$F:$F, "2-Year") = "Forever",
  "Valid",
  IF(R85="", "Not Trained",
     IF(R85 &lt; TODAY() - 1, "Expired",
        IF(R85 &lt;= TODAY() + 90, "Expiring", "Valid")
     )
  )
)</f>
        <v>Valid</v>
      </c>
      <c r="T85" s="4">
        <v>46923</v>
      </c>
      <c r="U85" s="4" t="str">
        <f ca="1">IF(
  _xlfn.XLOOKUP($D85 &amp; "-" &amp; T$2, TrainingMan!$G:$G, TrainingMan!$F:$F, "2-Year") = "Forever",
  "Valid",
  IF(T85="", "Not Trained",
     IF(T85 &lt; TODAY() - 1, "Expired",
        IF(T85 &lt;= TODAY() + 90, "Expiring", "Valid")
     )
  )
)</f>
        <v>Valid</v>
      </c>
      <c r="V85" s="4">
        <v>46923</v>
      </c>
      <c r="W85" s="4" t="str">
        <f ca="1">IF(
  _xlfn.XLOOKUP($D85 &amp; "-" &amp; V$2, TrainingMan!$G:$G, TrainingMan!$F:$F, "2-Year") = "Forever",
  "Valid",
  IF(V85="", "Not Trained",
     IF(V85 &lt; TODAY() - 1, "Expired",
        IF(V85 &lt;= TODAY() + 90, "Expiring", "Valid")
     )
  )
)</f>
        <v>Valid</v>
      </c>
      <c r="X85" s="4">
        <v>46923</v>
      </c>
      <c r="Y85" s="4" t="str">
        <f ca="1">IF(
  _xlfn.XLOOKUP($D85 &amp; "-" &amp; X$2, TrainingMan!$G:$G, TrainingMan!$F:$F, "2-Year") = "Forever",
  "Valid",
  IF(X85="", "Not Trained",
     IF(X85 &lt; TODAY() - 1, "Expired",
        IF(X85 &lt;= TODAY() + 90, "Expiring", "Valid")
     )
  )
)</f>
        <v>Valid</v>
      </c>
      <c r="Z85" s="4">
        <v>45481</v>
      </c>
      <c r="AA85" s="4" t="str">
        <f ca="1">IF(LEN(TRIM(Z85)) = 0, "Not Trained",
  IF(_xlfn.XLOOKUP($D85 &amp; "-" &amp; Z$2, TrainingMan!$G:$G, TrainingMan!$F:$F, "2-Year") = "Forever", "Valid",
    IF(Z85 &lt; TODAY() - 1, "Expired",
      IF(Z85 &lt;= TODAY() + 90, "Expiring", "Valid")
    )
  )
)</f>
        <v>Valid</v>
      </c>
      <c r="AB85" s="4">
        <v>40856</v>
      </c>
      <c r="AC85" s="4">
        <v>43632</v>
      </c>
      <c r="AD85" s="4">
        <v>43567</v>
      </c>
      <c r="AE85" s="4"/>
      <c r="AF85" s="4">
        <v>45486</v>
      </c>
      <c r="AG85" s="4">
        <v>45566</v>
      </c>
      <c r="AH85" s="4"/>
      <c r="AI85" s="4"/>
      <c r="AJ85" s="4"/>
      <c r="AN85" s="4"/>
      <c r="AQ85" s="4"/>
      <c r="AR85" s="4"/>
      <c r="AS85" s="4"/>
      <c r="AT85" s="4"/>
      <c r="AU85" s="4"/>
      <c r="BB85" s="4">
        <v>46096</v>
      </c>
      <c r="BC85" s="4" t="s">
        <v>289</v>
      </c>
      <c r="BD85" s="4" t="s">
        <v>254</v>
      </c>
      <c r="BE85" s="4"/>
      <c r="BF85" s="4"/>
      <c r="BG85" s="4"/>
      <c r="BH85" s="4"/>
      <c r="BI85" s="4">
        <v>43388</v>
      </c>
      <c r="BJ85" s="4" t="s">
        <v>145</v>
      </c>
      <c r="BK85" s="4" t="s">
        <v>140</v>
      </c>
      <c r="BL85" s="4" t="s">
        <v>146</v>
      </c>
      <c r="BM85" s="4"/>
      <c r="BN85" s="4"/>
      <c r="BO85" s="4"/>
      <c r="BP85" s="4"/>
      <c r="BQ85">
        <f>COUNTIF('TrainingReq (Ach)'!B:B,Table13[[#This Row],[Job Title]])</f>
        <v>15</v>
      </c>
      <c r="BR85" cm="1">
        <f t="array" aca="1" ref="BR8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5" s="5">
        <f t="shared" ca="1" si="3"/>
        <v>1</v>
      </c>
      <c r="BT85" t="s">
        <v>338</v>
      </c>
      <c r="BU85" t="s">
        <v>247</v>
      </c>
      <c r="BV85" t="s">
        <v>256</v>
      </c>
      <c r="BW85" s="4" t="s">
        <v>145</v>
      </c>
      <c r="BX85" t="s">
        <v>146</v>
      </c>
      <c r="BZ85" t="s">
        <v>491</v>
      </c>
      <c r="CA85">
        <v>2</v>
      </c>
      <c r="CC85" t="s">
        <v>492</v>
      </c>
      <c r="CD85" s="4">
        <v>46298</v>
      </c>
      <c r="CE85" s="4" t="str">
        <f ca="1">IF(
  _xlfn.XLOOKUP($D85 &amp; "-" &amp; CD$2, 'TrainingReq (Ach)'!$G:$G, 'TrainingReq (Ach)'!$F:$F, "2-Year") = "Forever",
  "Valid",
  IF(CD85="", "Not Trained",
     IF(CD85 &lt; TODAY() - 1, "Expired",
        IF(CD85 &lt;= TODAY() + 90, "Expiring", "Valid")
     )
  )
)</f>
        <v>Expiring</v>
      </c>
      <c r="CF85" t="s">
        <v>250</v>
      </c>
      <c r="CG85" s="4">
        <v>53509</v>
      </c>
      <c r="CH85" s="4" t="str">
        <f ca="1">IF(
  _xlfn.XLOOKUP($D84 &amp; "-" &amp; CG$2, 'TrainingReq (Ach)'!$G:$G, 'TrainingReq (Ach)'!$F:$F, "2-Year") = "Forever",
  "Valid",
  IF(CG84="", "Not Trained",
     IF(CG84 &lt; TODAY() - 1, "Expired",
        IF(CG84 &lt;= TODAY() + 90, "Expiring", "Valid")
     )
  )
)</f>
        <v>Valid</v>
      </c>
      <c r="CI85" t="str">
        <f t="shared" si="4"/>
        <v>Eligible</v>
      </c>
      <c r="CJ85" t="str">
        <f t="shared" si="5"/>
        <v>Eligible</v>
      </c>
    </row>
    <row r="86" spans="1:88" x14ac:dyDescent="0.25">
      <c r="A86">
        <v>84</v>
      </c>
      <c r="B86">
        <v>581759</v>
      </c>
      <c r="C86" t="s">
        <v>493</v>
      </c>
      <c r="D86" t="s">
        <v>18</v>
      </c>
      <c r="E86" t="s">
        <v>263</v>
      </c>
      <c r="F86" t="s">
        <v>474</v>
      </c>
      <c r="G86" t="s">
        <v>52</v>
      </c>
      <c r="H86" s="4">
        <v>46800</v>
      </c>
      <c r="I86" s="4" t="str">
        <f ca="1">IF(
  _xlfn.XLOOKUP($D86 &amp; "-" &amp; H$2, 'TrainingReq (Ach)'!G:G, 'TrainingReq (Ach)'!F:F, "2-Year") = "Forever",
  "Valid",
  IF(H86="", "Not Trained",
     IF(H86 &lt; TODAY() - 1, "Expired",
        IF(H86 &lt;= TODAY() + 90, "Expiring", "Valid")
     )
  )
)</f>
        <v>Valid</v>
      </c>
      <c r="J86" s="4">
        <v>46800</v>
      </c>
      <c r="K86" s="4" t="str">
        <f ca="1">IF(
  _xlfn.XLOOKUP($D86 &amp; "-" &amp; J$2, 'TrainingReq (Ach)'!G:G, 'TrainingReq (Ach)'!F:F, "2-Year") = "Forever",
  "Valid",
  IF(J86="", "Not Trained",
     IF(J86 &lt; TODAY() - 1, "Expired",
        IF(J86 &lt;= TODAY() + 90, "Expiring", "Valid")
     )
  )
)</f>
        <v>Valid</v>
      </c>
      <c r="L86" s="4">
        <v>46614</v>
      </c>
      <c r="M86" s="4" t="str">
        <f ca="1">IF(
  _xlfn.XLOOKUP($D86 &amp; "-" &amp; L$2, TrainingMan!$G:$G, TrainingMan!$F:$F, "2-Year") = "Forever",
  "Valid",
  IF(L86="", "Not Trained",
     IF(L86 &lt; TODAY() - 1, "Expired",
        IF(L86 &lt;= TODAY() + 90, "Expiring", "Valid")
     )
  )
)</f>
        <v>Valid</v>
      </c>
      <c r="N86" s="4">
        <v>46614</v>
      </c>
      <c r="O86" s="4" t="str">
        <f ca="1">IF(
  _xlfn.XLOOKUP($D86 &amp; "-" &amp; N$2, TrainingMan!$G:$G, TrainingMan!$F:$F, "2-Year") = "Forever",
  "Valid",
  IF(N86="", "Not Trained",
     IF(N86 &lt; TODAY() - 1, "Expired",
        IF(N86 &lt;= TODAY() + 90, "Expiring", "Valid")
     )
  )
)</f>
        <v>Valid</v>
      </c>
      <c r="P86" s="4">
        <v>46614</v>
      </c>
      <c r="Q86" s="4" t="str">
        <f ca="1">IF(
  _xlfn.XLOOKUP($D86 &amp; "-" &amp; P$2, TrainingMan!$G:$G, TrainingMan!$F:$F, "2-Year") = "Forever",
  "Valid",
  IF(P86="", "Not Trained",
     IF(P86 &lt; TODAY() - 1, "Expired",
        IF(P86 &lt;= TODAY() + 90, "Expiring", "Valid")
     )
  )
)</f>
        <v>Valid</v>
      </c>
      <c r="R86" s="4">
        <v>46614</v>
      </c>
      <c r="S86" s="4" t="str">
        <f ca="1">IF(
  _xlfn.XLOOKUP($D86 &amp; "-" &amp; R$2, TrainingMan!$G:$G, TrainingMan!$F:$F, "2-Year") = "Forever",
  "Valid",
  IF(R86="", "Not Trained",
     IF(R86 &lt; TODAY() - 1, "Expired",
        IF(R86 &lt;= TODAY() + 90, "Expiring", "Valid")
     )
  )
)</f>
        <v>Valid</v>
      </c>
      <c r="T86" s="4">
        <v>46614</v>
      </c>
      <c r="U86" s="4" t="str">
        <f ca="1">IF(
  _xlfn.XLOOKUP($D86 &amp; "-" &amp; T$2, TrainingMan!$G:$G, TrainingMan!$F:$F, "2-Year") = "Forever",
  "Valid",
  IF(T86="", "Not Trained",
     IF(T86 &lt; TODAY() - 1, "Expired",
        IF(T86 &lt;= TODAY() + 90, "Expiring", "Valid")
     )
  )
)</f>
        <v>Valid</v>
      </c>
      <c r="V86" s="4">
        <v>46614</v>
      </c>
      <c r="W86" s="4" t="str">
        <f ca="1">IF(
  _xlfn.XLOOKUP($D86 &amp; "-" &amp; V$2, TrainingMan!$G:$G, TrainingMan!$F:$F, "2-Year") = "Forever",
  "Valid",
  IF(V86="", "Not Trained",
     IF(V86 &lt; TODAY() - 1, "Expired",
        IF(V86 &lt;= TODAY() + 90, "Expiring", "Valid")
     )
  )
)</f>
        <v>Valid</v>
      </c>
      <c r="X86" s="4">
        <v>46614</v>
      </c>
      <c r="Y86" s="4" t="str">
        <f ca="1">IF(
  _xlfn.XLOOKUP($D86 &amp; "-" &amp; X$2, TrainingMan!$G:$G, TrainingMan!$F:$F, "2-Year") = "Forever",
  "Valid",
  IF(X86="", "Not Trained",
     IF(X86 &lt; TODAY() - 1, "Expired",
        IF(X86 &lt;= TODAY() + 90, "Expiring", "Valid")
     )
  )
)</f>
        <v>Valid</v>
      </c>
      <c r="Z86" s="4">
        <v>45245</v>
      </c>
      <c r="AA86" s="4" t="str">
        <f ca="1">IF(LEN(TRIM(Z86)) = 0, "Not Trained",
  IF(_xlfn.XLOOKUP($D86 &amp; "-" &amp; Z$2, TrainingMan!$G:$G, TrainingMan!$F:$F, "2-Year") = "Forever", "Valid",
    IF(Z86 &lt; TODAY() - 1, "Expired",
      IF(Z86 &lt;= TODAY() + 90, "Expiring", "Valid")
    )
  )
)</f>
        <v>Valid</v>
      </c>
      <c r="AB86" s="4">
        <v>44310</v>
      </c>
      <c r="AC86" s="4">
        <v>45528</v>
      </c>
      <c r="AD86" s="4">
        <v>43881</v>
      </c>
      <c r="AE86" s="4">
        <v>44945</v>
      </c>
      <c r="AF86" s="4">
        <v>44825</v>
      </c>
      <c r="AG86" s="4"/>
      <c r="AH86" s="4"/>
      <c r="AI86" s="4"/>
      <c r="AJ86" s="4"/>
      <c r="AN86" s="4"/>
      <c r="AQ86" s="4"/>
      <c r="AR86" s="4"/>
      <c r="AS86" s="4"/>
      <c r="AT86" s="4"/>
      <c r="AU86" s="4"/>
      <c r="BB86" s="4">
        <v>45957</v>
      </c>
      <c r="BC86" s="4" t="s">
        <v>274</v>
      </c>
      <c r="BD86" s="4" t="s">
        <v>359</v>
      </c>
      <c r="BE86" s="4"/>
      <c r="BF86" s="4"/>
      <c r="BG86" s="4"/>
      <c r="BH86" s="4"/>
      <c r="BI86" s="4">
        <v>43669</v>
      </c>
      <c r="BJ86" s="4" t="s">
        <v>140</v>
      </c>
      <c r="BK86" t="s">
        <v>148</v>
      </c>
      <c r="BL86" s="4"/>
      <c r="BM86" s="4"/>
      <c r="BN86" s="4"/>
      <c r="BO86" s="4"/>
      <c r="BP86" s="4"/>
      <c r="BQ86">
        <f>COUNTIF('TrainingReq (Ach)'!B:B,Table13[[#This Row],[Job Title]])</f>
        <v>15</v>
      </c>
      <c r="BR86" cm="1">
        <f t="array" aca="1" ref="BR8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6" s="5">
        <f t="shared" ca="1" si="3"/>
        <v>1</v>
      </c>
      <c r="BT86" t="s">
        <v>265</v>
      </c>
      <c r="BU86" t="s">
        <v>247</v>
      </c>
      <c r="BV86" t="s">
        <v>276</v>
      </c>
      <c r="BW86" s="4" t="s">
        <v>140</v>
      </c>
      <c r="BX86" t="s">
        <v>148</v>
      </c>
      <c r="BZ86" t="s">
        <v>494</v>
      </c>
      <c r="CC86" t="s">
        <v>495</v>
      </c>
      <c r="CD86" s="4">
        <v>46941</v>
      </c>
      <c r="CE86" s="4" t="str">
        <f ca="1">IF(
  _xlfn.XLOOKUP($D86 &amp; "-" &amp; CD$2, 'TrainingReq (Ach)'!$G:$G, 'TrainingReq (Ach)'!$F:$F, "2-Year") = "Forever",
  "Valid",
  IF(CD86="", "Not Trained",
     IF(CD86 &lt; TODAY() - 1, "Expired",
        IF(CD86 &lt;= TODAY() + 90, "Expiring", "Valid")
     )
  )
)</f>
        <v>Valid</v>
      </c>
      <c r="CF86" t="s">
        <v>250</v>
      </c>
      <c r="CG86" s="4">
        <v>55127</v>
      </c>
      <c r="CH86" s="4" t="str">
        <f ca="1">IF(
  _xlfn.XLOOKUP($D85 &amp; "-" &amp; CG$2, 'TrainingReq (Ach)'!$G:$G, 'TrainingReq (Ach)'!$F:$F, "2-Year") = "Forever",
  "Valid",
  IF(CG85="", "Not Trained",
     IF(CG85 &lt; TODAY() - 1, "Expired",
        IF(CG85 &lt;= TODAY() + 90, "Expiring", "Valid")
     )
  )
)</f>
        <v>Valid</v>
      </c>
      <c r="CI86" t="str">
        <f t="shared" si="4"/>
        <v>Eligible</v>
      </c>
      <c r="CJ86" t="str">
        <f t="shared" si="5"/>
        <v>Eligible</v>
      </c>
    </row>
    <row r="87" spans="1:88" x14ac:dyDescent="0.25">
      <c r="A87">
        <v>85</v>
      </c>
      <c r="B87">
        <v>581766</v>
      </c>
      <c r="C87" t="s">
        <v>496</v>
      </c>
      <c r="D87" t="s">
        <v>18</v>
      </c>
      <c r="E87" t="s">
        <v>263</v>
      </c>
      <c r="F87" t="s">
        <v>474</v>
      </c>
      <c r="G87" t="s">
        <v>48</v>
      </c>
      <c r="H87" s="4">
        <v>46823</v>
      </c>
      <c r="I87" s="4" t="str">
        <f ca="1">IF(
  _xlfn.XLOOKUP($D87 &amp; "-" &amp; H$2, 'TrainingReq (Ach)'!G:G, 'TrainingReq (Ach)'!F:F, "2-Year") = "Forever",
  "Valid",
  IF(H87="", "Not Trained",
     IF(H87 &lt; TODAY() - 1, "Expired",
        IF(H87 &lt;= TODAY() + 90, "Expiring", "Valid")
     )
  )
)</f>
        <v>Valid</v>
      </c>
      <c r="J87" s="4">
        <v>46823</v>
      </c>
      <c r="K87" s="4" t="str">
        <f ca="1">IF(
  _xlfn.XLOOKUP($D87 &amp; "-" &amp; J$2, 'TrainingReq (Ach)'!G:G, 'TrainingReq (Ach)'!F:F, "2-Year") = "Forever",
  "Valid",
  IF(J87="", "Not Trained",
     IF(J87 &lt; TODAY() - 1, "Expired",
        IF(J87 &lt;= TODAY() + 90, "Expiring", "Valid")
     )
  )
)</f>
        <v>Valid</v>
      </c>
      <c r="L87" s="4">
        <v>46773</v>
      </c>
      <c r="M87" s="4" t="str">
        <f ca="1">IF(
  _xlfn.XLOOKUP($D87 &amp; "-" &amp; L$2, TrainingMan!$G:$G, TrainingMan!$F:$F, "2-Year") = "Forever",
  "Valid",
  IF(L87="", "Not Trained",
     IF(L87 &lt; TODAY() - 1, "Expired",
        IF(L87 &lt;= TODAY() + 90, "Expiring", "Valid")
     )
  )
)</f>
        <v>Valid</v>
      </c>
      <c r="N87" s="4">
        <v>46519</v>
      </c>
      <c r="O87" s="4" t="str">
        <f ca="1">IF(
  _xlfn.XLOOKUP($D87 &amp; "-" &amp; N$2, TrainingMan!$G:$G, TrainingMan!$F:$F, "2-Year") = "Forever",
  "Valid",
  IF(N87="", "Not Trained",
     IF(N87 &lt; TODAY() - 1, "Expired",
        IF(N87 &lt;= TODAY() + 90, "Expiring", "Valid")
     )
  )
)</f>
        <v>Valid</v>
      </c>
      <c r="P87" s="4">
        <v>46519</v>
      </c>
      <c r="Q87" s="4" t="str">
        <f ca="1">IF(
  _xlfn.XLOOKUP($D87 &amp; "-" &amp; P$2, TrainingMan!$G:$G, TrainingMan!$F:$F, "2-Year") = "Forever",
  "Valid",
  IF(P87="", "Not Trained",
     IF(P87 &lt; TODAY() - 1, "Expired",
        IF(P87 &lt;= TODAY() + 90, "Expiring", "Valid")
     )
  )
)</f>
        <v>Valid</v>
      </c>
      <c r="R87" s="4">
        <v>46519</v>
      </c>
      <c r="S87" s="4" t="str">
        <f ca="1">IF(
  _xlfn.XLOOKUP($D87 &amp; "-" &amp; R$2, TrainingMan!$G:$G, TrainingMan!$F:$F, "2-Year") = "Forever",
  "Valid",
  IF(R87="", "Not Trained",
     IF(R87 &lt; TODAY() - 1, "Expired",
        IF(R87 &lt;= TODAY() + 90, "Expiring", "Valid")
     )
  )
)</f>
        <v>Valid</v>
      </c>
      <c r="T87" s="4">
        <v>46519</v>
      </c>
      <c r="U87" s="4" t="str">
        <f ca="1">IF(
  _xlfn.XLOOKUP($D87 &amp; "-" &amp; T$2, TrainingMan!$G:$G, TrainingMan!$F:$F, "2-Year") = "Forever",
  "Valid",
  IF(T87="", "Not Trained",
     IF(T87 &lt; TODAY() - 1, "Expired",
        IF(T87 &lt;= TODAY() + 90, "Expiring", "Valid")
     )
  )
)</f>
        <v>Valid</v>
      </c>
      <c r="V87" s="4">
        <v>46773</v>
      </c>
      <c r="W87" s="4" t="str">
        <f ca="1">IF(
  _xlfn.XLOOKUP($D87 &amp; "-" &amp; V$2, TrainingMan!$G:$G, TrainingMan!$F:$F, "2-Year") = "Forever",
  "Valid",
  IF(V87="", "Not Trained",
     IF(V87 &lt; TODAY() - 1, "Expired",
        IF(V87 &lt;= TODAY() + 90, "Expiring", "Valid")
     )
  )
)</f>
        <v>Valid</v>
      </c>
      <c r="X87" s="4">
        <v>46773</v>
      </c>
      <c r="Y87" s="4" t="str">
        <f ca="1">IF(
  _xlfn.XLOOKUP($D87 &amp; "-" &amp; X$2, TrainingMan!$G:$G, TrainingMan!$F:$F, "2-Year") = "Forever",
  "Valid",
  IF(X87="", "Not Trained",
     IF(X87 &lt; TODAY() - 1, "Expired",
        IF(X87 &lt;= TODAY() + 90, "Expiring", "Valid")
     )
  )
)</f>
        <v>Valid</v>
      </c>
      <c r="Z87" s="4">
        <v>45486</v>
      </c>
      <c r="AA87" s="4" t="str">
        <f ca="1">IF(LEN(TRIM(Z87)) = 0, "Not Trained",
  IF(_xlfn.XLOOKUP($D87 &amp; "-" &amp; Z$2, TrainingMan!$G:$G, TrainingMan!$F:$F, "2-Year") = "Forever", "Valid",
    IF(Z87 &lt; TODAY() - 1, "Expired",
      IF(Z87 &lt;= TODAY() + 90, "Expiring", "Valid")
    )
  )
)</f>
        <v>Valid</v>
      </c>
      <c r="AB87" s="4">
        <v>44235</v>
      </c>
      <c r="AC87" s="4">
        <v>44014</v>
      </c>
      <c r="AD87" s="4">
        <v>43294</v>
      </c>
      <c r="AE87" s="4">
        <v>44981</v>
      </c>
      <c r="AF87" s="4">
        <v>44574</v>
      </c>
      <c r="AG87" s="4">
        <v>45195</v>
      </c>
      <c r="AH87" s="4"/>
      <c r="AI87" s="4"/>
      <c r="AJ87" s="4"/>
      <c r="AN87" s="4"/>
      <c r="AQ87" s="4"/>
      <c r="AR87" s="4"/>
      <c r="AS87" s="4"/>
      <c r="AT87" s="4"/>
      <c r="AU87" s="4"/>
      <c r="BB87" s="4">
        <v>46068</v>
      </c>
      <c r="BC87" s="4" t="s">
        <v>429</v>
      </c>
      <c r="BD87" s="4" t="s">
        <v>236</v>
      </c>
      <c r="BE87" s="4"/>
      <c r="BF87" s="4"/>
      <c r="BG87" s="4"/>
      <c r="BH87" s="4"/>
      <c r="BI87" s="4">
        <v>43024</v>
      </c>
      <c r="BJ87" s="4" t="s">
        <v>153</v>
      </c>
      <c r="BK87" t="s">
        <v>145</v>
      </c>
      <c r="BL87" s="4"/>
      <c r="BM87" s="4"/>
      <c r="BN87" s="4" t="s">
        <v>497</v>
      </c>
      <c r="BO87" s="4"/>
      <c r="BP87" s="4"/>
      <c r="BQ87">
        <f>COUNTIF('TrainingReq (Ach)'!B:B,Table13[[#This Row],[Job Title]])</f>
        <v>15</v>
      </c>
      <c r="BR87" cm="1">
        <f t="array" aca="1" ref="BR8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7" s="5">
        <f t="shared" ca="1" si="3"/>
        <v>1</v>
      </c>
      <c r="BT87" t="s">
        <v>246</v>
      </c>
      <c r="BU87" t="s">
        <v>247</v>
      </c>
      <c r="BV87" t="s">
        <v>276</v>
      </c>
      <c r="BW87" s="4" t="s">
        <v>153</v>
      </c>
      <c r="BX87" t="s">
        <v>145</v>
      </c>
      <c r="BZ87" t="s">
        <v>498</v>
      </c>
      <c r="CB87" s="26">
        <v>13802</v>
      </c>
      <c r="CC87" t="s">
        <v>499</v>
      </c>
      <c r="CD87" s="4">
        <v>47006</v>
      </c>
      <c r="CE87" s="4" t="str">
        <f ca="1">IF(
  _xlfn.XLOOKUP($D87 &amp; "-" &amp; CD$2, 'TrainingReq (Ach)'!$G:$G, 'TrainingReq (Ach)'!$F:$F, "2-Year") = "Forever",
  "Valid",
  IF(CD87="", "Not Trained",
     IF(CD87 &lt; TODAY() - 1, "Expired",
        IF(CD87 &lt;= TODAY() + 90, "Expiring", "Valid")
     )
  )
)</f>
        <v>Valid</v>
      </c>
      <c r="CF87" t="s">
        <v>250</v>
      </c>
      <c r="CG87" s="4">
        <v>55323</v>
      </c>
      <c r="CH87" s="4" t="str">
        <f ca="1">IF(
  _xlfn.XLOOKUP($D86 &amp; "-" &amp; CG$2, 'TrainingReq (Ach)'!$G:$G, 'TrainingReq (Ach)'!$F:$F, "2-Year") = "Forever",
  "Valid",
  IF(CG86="", "Not Trained",
     IF(CG86 &lt; TODAY() - 1, "Expired",
        IF(CG86 &lt;= TODAY() + 90, "Expiring", "Valid")
     )
  )
)</f>
        <v>Valid</v>
      </c>
      <c r="CI87" t="str">
        <f t="shared" si="4"/>
        <v>Eligible</v>
      </c>
      <c r="CJ87" t="str">
        <f t="shared" si="5"/>
        <v>Eligible</v>
      </c>
    </row>
    <row r="88" spans="1:88" x14ac:dyDescent="0.25">
      <c r="A88">
        <v>86</v>
      </c>
      <c r="B88">
        <v>582545</v>
      </c>
      <c r="C88" t="s">
        <v>500</v>
      </c>
      <c r="D88" t="s">
        <v>18</v>
      </c>
      <c r="E88" t="s">
        <v>263</v>
      </c>
      <c r="F88" t="s">
        <v>474</v>
      </c>
      <c r="G88" t="s">
        <v>52</v>
      </c>
      <c r="H88" s="4">
        <v>46848</v>
      </c>
      <c r="I88" s="4" t="str">
        <f ca="1">IF(
  _xlfn.XLOOKUP($D88 &amp; "-" &amp; H$2, 'TrainingReq (Ach)'!G:G, 'TrainingReq (Ach)'!F:F, "2-Year") = "Forever",
  "Valid",
  IF(H88="", "Not Trained",
     IF(H88 &lt; TODAY() - 1, "Expired",
        IF(H88 &lt;= TODAY() + 90, "Expiring", "Valid")
     )
  )
)</f>
        <v>Valid</v>
      </c>
      <c r="J88" s="4">
        <v>46848</v>
      </c>
      <c r="K88" s="4" t="str">
        <f ca="1">IF(
  _xlfn.XLOOKUP($D88 &amp; "-" &amp; J$2, 'TrainingReq (Ach)'!G:G, 'TrainingReq (Ach)'!F:F, "2-Year") = "Forever",
  "Valid",
  IF(J88="", "Not Trained",
     IF(J88 &lt; TODAY() - 1, "Expired",
        IF(J88 &lt;= TODAY() + 90, "Expiring", "Valid")
     )
  )
)</f>
        <v>Valid</v>
      </c>
      <c r="L88" s="4">
        <v>46819</v>
      </c>
      <c r="M88" s="4" t="str">
        <f ca="1">IF(
  _xlfn.XLOOKUP($D88 &amp; "-" &amp; L$2, TrainingMan!$G:$G, TrainingMan!$F:$F, "2-Year") = "Forever",
  "Valid",
  IF(L88="", "Not Trained",
     IF(L88 &lt; TODAY() - 1, "Expired",
        IF(L88 &lt;= TODAY() + 90, "Expiring", "Valid")
     )
  )
)</f>
        <v>Valid</v>
      </c>
      <c r="N88" s="4">
        <v>46819</v>
      </c>
      <c r="O88" s="4" t="str">
        <f ca="1">IF(
  _xlfn.XLOOKUP($D88 &amp; "-" &amp; N$2, TrainingMan!$G:$G, TrainingMan!$F:$F, "2-Year") = "Forever",
  "Valid",
  IF(N88="", "Not Trained",
     IF(N88 &lt; TODAY() - 1, "Expired",
        IF(N88 &lt;= TODAY() + 90, "Expiring", "Valid")
     )
  )
)</f>
        <v>Valid</v>
      </c>
      <c r="P88" s="4">
        <v>46819</v>
      </c>
      <c r="Q88" s="4" t="str">
        <f ca="1">IF(
  _xlfn.XLOOKUP($D88 &amp; "-" &amp; P$2, TrainingMan!$G:$G, TrainingMan!$F:$F, "2-Year") = "Forever",
  "Valid",
  IF(P88="", "Not Trained",
     IF(P88 &lt; TODAY() - 1, "Expired",
        IF(P88 &lt;= TODAY() + 90, "Expiring", "Valid")
     )
  )
)</f>
        <v>Valid</v>
      </c>
      <c r="R88" s="4">
        <v>46819</v>
      </c>
      <c r="S88" s="4" t="str">
        <f ca="1">IF(
  _xlfn.XLOOKUP($D88 &amp; "-" &amp; R$2, TrainingMan!$G:$G, TrainingMan!$F:$F, "2-Year") = "Forever",
  "Valid",
  IF(R88="", "Not Trained",
     IF(R88 &lt; TODAY() - 1, "Expired",
        IF(R88 &lt;= TODAY() + 90, "Expiring", "Valid")
     )
  )
)</f>
        <v>Valid</v>
      </c>
      <c r="T88" s="4">
        <v>46819</v>
      </c>
      <c r="U88" s="4" t="str">
        <f ca="1">IF(
  _xlfn.XLOOKUP($D88 &amp; "-" &amp; T$2, TrainingMan!$G:$G, TrainingMan!$F:$F, "2-Year") = "Forever",
  "Valid",
  IF(T88="", "Not Trained",
     IF(T88 &lt; TODAY() - 1, "Expired",
        IF(T88 &lt;= TODAY() + 90, "Expiring", "Valid")
     )
  )
)</f>
        <v>Valid</v>
      </c>
      <c r="V88" s="4">
        <v>46819</v>
      </c>
      <c r="W88" s="4" t="str">
        <f ca="1">IF(
  _xlfn.XLOOKUP($D88 &amp; "-" &amp; V$2, TrainingMan!$G:$G, TrainingMan!$F:$F, "2-Year") = "Forever",
  "Valid",
  IF(V88="", "Not Trained",
     IF(V88 &lt; TODAY() - 1, "Expired",
        IF(V88 &lt;= TODAY() + 90, "Expiring", "Valid")
     )
  )
)</f>
        <v>Valid</v>
      </c>
      <c r="X88" s="4">
        <v>46819</v>
      </c>
      <c r="Y88" s="4" t="str">
        <f ca="1">IF(
  _xlfn.XLOOKUP($D88 &amp; "-" &amp; X$2, TrainingMan!$G:$G, TrainingMan!$F:$F, "2-Year") = "Forever",
  "Valid",
  IF(X88="", "Not Trained",
     IF(X88 &lt; TODAY() - 1, "Expired",
        IF(X88 &lt;= TODAY() + 90, "Expiring", "Valid")
     )
  )
)</f>
        <v>Valid</v>
      </c>
      <c r="Z88" s="4">
        <v>45501</v>
      </c>
      <c r="AA88" s="4" t="str">
        <f ca="1">IF(LEN(TRIM(Z88)) = 0, "Not Trained",
  IF(_xlfn.XLOOKUP($D88 &amp; "-" &amp; Z$2, TrainingMan!$G:$G, TrainingMan!$F:$F, "2-Year") = "Forever", "Valid",
    IF(Z88 &lt; TODAY() - 1, "Expired",
      IF(Z88 &lt;= TODAY() + 90, "Expiring", "Valid")
    )
  )
)</f>
        <v>Valid</v>
      </c>
      <c r="AB88" s="4">
        <v>43742</v>
      </c>
      <c r="AC88" s="4">
        <v>45793</v>
      </c>
      <c r="AD88" s="4">
        <v>44827</v>
      </c>
      <c r="AE88" s="4">
        <v>45135</v>
      </c>
      <c r="AF88" s="4">
        <v>45301</v>
      </c>
      <c r="AG88" s="4">
        <v>45882</v>
      </c>
      <c r="AH88" s="4"/>
      <c r="AI88" s="4"/>
      <c r="AJ88" s="4"/>
      <c r="AN88" s="4"/>
      <c r="AQ88" s="4"/>
      <c r="AR88" s="4"/>
      <c r="AS88" s="4"/>
      <c r="AT88" s="4"/>
      <c r="AU88" s="4"/>
      <c r="AZ88" t="s">
        <v>501</v>
      </c>
      <c r="BB88" s="4">
        <v>46004</v>
      </c>
      <c r="BC88" s="4" t="s">
        <v>502</v>
      </c>
      <c r="BD88" s="4" t="s">
        <v>269</v>
      </c>
      <c r="BE88" s="4"/>
      <c r="BF88" s="4"/>
      <c r="BG88" s="4"/>
      <c r="BH88" s="4"/>
      <c r="BI88" s="4">
        <v>44307</v>
      </c>
      <c r="BJ88" s="4" t="s">
        <v>140</v>
      </c>
      <c r="BK88" t="s">
        <v>148</v>
      </c>
      <c r="BL88" s="4"/>
      <c r="BM88" s="4"/>
      <c r="BN88" s="4" t="s">
        <v>503</v>
      </c>
      <c r="BO88" s="4"/>
      <c r="BP88" s="4"/>
      <c r="BQ88">
        <f>COUNTIF('TrainingReq (Ach)'!B:B,Table13[[#This Row],[Job Title]])</f>
        <v>15</v>
      </c>
      <c r="BR88" cm="1">
        <f t="array" aca="1" ref="BR8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88" s="5">
        <f t="shared" ca="1" si="3"/>
        <v>1</v>
      </c>
      <c r="BT88" t="s">
        <v>246</v>
      </c>
      <c r="BU88" t="s">
        <v>247</v>
      </c>
      <c r="BV88" t="s">
        <v>270</v>
      </c>
      <c r="BW88" s="4" t="s">
        <v>140</v>
      </c>
      <c r="BX88" t="s">
        <v>148</v>
      </c>
      <c r="BZ88" t="s">
        <v>504</v>
      </c>
      <c r="CB88" s="26">
        <v>13742</v>
      </c>
      <c r="CC88" t="s">
        <v>505</v>
      </c>
      <c r="CD88" s="4">
        <v>47210</v>
      </c>
      <c r="CE88" s="4" t="str">
        <f ca="1">IF(
  _xlfn.XLOOKUP($D88 &amp; "-" &amp; CD$2, 'TrainingReq (Ach)'!$G:$G, 'TrainingReq (Ach)'!$F:$F, "2-Year") = "Forever",
  "Valid",
  IF(CD88="", "Not Trained",
     IF(CD88 &lt; TODAY() - 1, "Expired",
        IF(CD88 &lt;= TODAY() + 90, "Expiring", "Valid")
     )
  )
)</f>
        <v>Valid</v>
      </c>
      <c r="CF88" t="s">
        <v>250</v>
      </c>
      <c r="CG88" s="4">
        <v>55978</v>
      </c>
      <c r="CH88" s="4" t="str">
        <f ca="1">IF(
  _xlfn.XLOOKUP($D87 &amp; "-" &amp; CG$2, 'TrainingReq (Ach)'!$G:$G, 'TrainingReq (Ach)'!$F:$F, "2-Year") = "Forever",
  "Valid",
  IF(CG87="", "Not Trained",
     IF(CG87 &lt; TODAY() - 1, "Expired",
        IF(CG87 &lt;= TODAY() + 90, "Expiring", "Valid")
     )
  )
)</f>
        <v>Valid</v>
      </c>
      <c r="CI88" t="str">
        <f t="shared" si="4"/>
        <v>Eligible</v>
      </c>
      <c r="CJ88" t="str">
        <f t="shared" si="5"/>
        <v>Eligible</v>
      </c>
    </row>
    <row r="89" spans="1:88" x14ac:dyDescent="0.25">
      <c r="A89">
        <v>87</v>
      </c>
      <c r="B89">
        <v>582683</v>
      </c>
      <c r="C89" t="s">
        <v>506</v>
      </c>
      <c r="D89" t="s">
        <v>15</v>
      </c>
      <c r="E89" t="s">
        <v>327</v>
      </c>
      <c r="F89" t="s">
        <v>474</v>
      </c>
      <c r="G89" t="s">
        <v>52</v>
      </c>
      <c r="H89" s="4">
        <v>46897</v>
      </c>
      <c r="I89" s="4" t="str">
        <f ca="1">IF(
  _xlfn.XLOOKUP($D89 &amp; "-" &amp; H$2, 'TrainingReq (Ach)'!G:G, 'TrainingReq (Ach)'!F:F, "2-Year") = "Forever",
  "Valid",
  IF(H89="", "Not Trained",
     IF(H89 &lt; TODAY() - 1, "Expired",
        IF(H89 &lt;= TODAY() + 90, "Expiring", "Valid")
     )
  )
)</f>
        <v>Valid</v>
      </c>
      <c r="J89" s="4">
        <v>46897</v>
      </c>
      <c r="K89" s="4" t="str">
        <f ca="1">IF(
  _xlfn.XLOOKUP($D89 &amp; "-" &amp; J$2, 'TrainingReq (Ach)'!G:G, 'TrainingReq (Ach)'!F:F, "2-Year") = "Forever",
  "Valid",
  IF(J89="", "Not Trained",
     IF(J89 &lt; TODAY() - 1, "Expired",
        IF(J89 &lt;= TODAY() + 90, "Expiring", "Valid")
     )
  )
)</f>
        <v>Valid</v>
      </c>
      <c r="L89" s="4">
        <v>46941</v>
      </c>
      <c r="M89" s="4" t="str">
        <f ca="1">IF(
  _xlfn.XLOOKUP($D89 &amp; "-" &amp; L$2, TrainingMan!$G:$G, TrainingMan!$F:$F, "2-Year") = "Forever",
  "Valid",
  IF(L89="", "Not Trained",
     IF(L89 &lt; TODAY() - 1, "Expired",
        IF(L89 &lt;= TODAY() + 90, "Expiring", "Valid")
     )
  )
)</f>
        <v>Valid</v>
      </c>
      <c r="N89" s="4">
        <v>46941</v>
      </c>
      <c r="O89" s="4" t="str">
        <f ca="1">IF(
  _xlfn.XLOOKUP($D89 &amp; "-" &amp; N$2, TrainingMan!$G:$G, TrainingMan!$F:$F, "2-Year") = "Forever",
  "Valid",
  IF(N89="", "Not Trained",
     IF(N89 &lt; TODAY() - 1, "Expired",
        IF(N89 &lt;= TODAY() + 90, "Expiring", "Valid")
     )
  )
)</f>
        <v>Valid</v>
      </c>
      <c r="P89" s="4">
        <v>46941</v>
      </c>
      <c r="Q89" s="4" t="str">
        <f ca="1">IF(
  _xlfn.XLOOKUP($D89 &amp; "-" &amp; P$2, TrainingMan!$G:$G, TrainingMan!$F:$F, "2-Year") = "Forever",
  "Valid",
  IF(P89="", "Not Trained",
     IF(P89 &lt; TODAY() - 1, "Expired",
        IF(P89 &lt;= TODAY() + 90, "Expiring", "Valid")
     )
  )
)</f>
        <v>Valid</v>
      </c>
      <c r="R89" s="4">
        <v>46941</v>
      </c>
      <c r="S89" s="4" t="str">
        <f ca="1">IF(
  _xlfn.XLOOKUP($D89 &amp; "-" &amp; R$2, TrainingMan!$G:$G, TrainingMan!$F:$F, "2-Year") = "Forever",
  "Valid",
  IF(R89="", "Not Trained",
     IF(R89 &lt; TODAY() - 1, "Expired",
        IF(R89 &lt;= TODAY() + 90, "Expiring", "Valid")
     )
  )
)</f>
        <v>Valid</v>
      </c>
      <c r="T89" s="4">
        <v>46941</v>
      </c>
      <c r="U89" s="4" t="str">
        <f ca="1">IF(
  _xlfn.XLOOKUP($D89 &amp; "-" &amp; T$2, TrainingMan!$G:$G, TrainingMan!$F:$F, "2-Year") = "Forever",
  "Valid",
  IF(T89="", "Not Trained",
     IF(T89 &lt; TODAY() - 1, "Expired",
        IF(T89 &lt;= TODAY() + 90, "Expiring", "Valid")
     )
  )
)</f>
        <v>Valid</v>
      </c>
      <c r="V89" s="4">
        <v>46941</v>
      </c>
      <c r="W89" s="4" t="str">
        <f ca="1">IF(
  _xlfn.XLOOKUP($D89 &amp; "-" &amp; V$2, TrainingMan!$G:$G, TrainingMan!$F:$F, "2-Year") = "Forever",
  "Valid",
  IF(V89="", "Not Trained",
     IF(V89 &lt; TODAY() - 1, "Expired",
        IF(V89 &lt;= TODAY() + 90, "Expiring", "Valid")
     )
  )
)</f>
        <v>Valid</v>
      </c>
      <c r="X89" s="4">
        <v>46941</v>
      </c>
      <c r="Y89" s="4" t="str">
        <f ca="1">IF(
  _xlfn.XLOOKUP($D89 &amp; "-" &amp; X$2, TrainingMan!$G:$G, TrainingMan!$F:$F, "2-Year") = "Forever",
  "Valid",
  IF(X89="", "Not Trained",
     IF(X89 &lt; TODAY() - 1, "Expired",
        IF(X89 &lt;= TODAY() + 90, "Expiring", "Valid")
     )
  )
)</f>
        <v>Valid</v>
      </c>
      <c r="Z89" s="4">
        <v>45481</v>
      </c>
      <c r="AA89" s="4" t="str">
        <f ca="1">IF(LEN(TRIM(Z89)) = 0, "Not Trained",
  IF(_xlfn.XLOOKUP($D89 &amp; "-" &amp; Z$2, TrainingMan!$G:$G, TrainingMan!$F:$F, "2-Year") = "Forever", "Valid",
    IF(Z89 &lt; TODAY() - 1, "Expired",
      IF(Z89 &lt;= TODAY() + 90, "Expiring", "Valid")
    )
  )
)</f>
        <v>Valid</v>
      </c>
      <c r="AB89" s="4">
        <v>44235</v>
      </c>
      <c r="AC89" s="4">
        <v>43434</v>
      </c>
      <c r="AD89" s="4">
        <v>45114</v>
      </c>
      <c r="AE89" s="4"/>
      <c r="AF89" s="4">
        <v>45716</v>
      </c>
      <c r="AG89" s="4"/>
      <c r="AH89" s="4"/>
      <c r="AI89" s="4"/>
      <c r="AJ89" s="4"/>
      <c r="AN89" s="4"/>
      <c r="AQ89" s="4"/>
      <c r="AR89" s="4"/>
      <c r="AS89" s="4"/>
      <c r="AT89" s="4"/>
      <c r="AU89" s="4"/>
      <c r="BB89" s="4">
        <v>45378</v>
      </c>
      <c r="BC89" s="4"/>
      <c r="BD89" s="4" t="s">
        <v>275</v>
      </c>
      <c r="BE89" s="4"/>
      <c r="BF89" s="4"/>
      <c r="BG89" s="4"/>
      <c r="BH89" s="4"/>
      <c r="BI89" s="4">
        <v>44760</v>
      </c>
      <c r="BJ89" s="4" t="s">
        <v>145</v>
      </c>
      <c r="BK89" s="4"/>
      <c r="BL89" s="4"/>
      <c r="BM89" s="4"/>
      <c r="BN89" s="4"/>
      <c r="BO89" s="4"/>
      <c r="BP89" s="4"/>
      <c r="BQ89">
        <f>COUNTIF('TrainingReq (Ach)'!B:B,Table13[[#This Row],[Job Title]])</f>
        <v>13</v>
      </c>
      <c r="BR89" cm="1">
        <f t="array" aca="1" ref="BR8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89" s="5">
        <f t="shared" ca="1" si="3"/>
        <v>1</v>
      </c>
      <c r="BT89" t="s">
        <v>246</v>
      </c>
      <c r="BU89" t="s">
        <v>247</v>
      </c>
      <c r="BV89" t="s">
        <v>270</v>
      </c>
      <c r="BW89" s="4" t="s">
        <v>145</v>
      </c>
      <c r="BZ89" t="s">
        <v>507</v>
      </c>
      <c r="CC89" t="s">
        <v>508</v>
      </c>
      <c r="CD89" s="4">
        <v>46730</v>
      </c>
      <c r="CE89" s="4" t="str">
        <f ca="1">IF(
  _xlfn.XLOOKUP($D89 &amp; "-" &amp; CD$2, 'TrainingReq (Ach)'!$G:$G, 'TrainingReq (Ach)'!$F:$F, "2-Year") = "Forever",
  "Valid",
  IF(CD89="", "Not Trained",
     IF(CD89 &lt; TODAY() - 1, "Expired",
        IF(CD89 &lt;= TODAY() + 90, "Expiring", "Valid")
     )
  )
)</f>
        <v>Valid</v>
      </c>
      <c r="CF89" t="s">
        <v>250</v>
      </c>
      <c r="CG89" s="4">
        <v>56181</v>
      </c>
      <c r="CH89" s="4" t="str">
        <f ca="1">IF(
  _xlfn.XLOOKUP($D88 &amp; "-" &amp; CG$2, 'TrainingReq (Ach)'!$G:$G, 'TrainingReq (Ach)'!$F:$F, "2-Year") = "Forever",
  "Valid",
  IF(CG88="", "Not Trained",
     IF(CG88 &lt; TODAY() - 1, "Expired",
        IF(CG88 &lt;= TODAY() + 90, "Expiring", "Valid")
     )
  )
)</f>
        <v>Valid</v>
      </c>
      <c r="CI89" t="str">
        <f t="shared" si="4"/>
        <v>Eligible</v>
      </c>
      <c r="CJ89" t="str">
        <f t="shared" si="5"/>
        <v>Not eligible</v>
      </c>
    </row>
    <row r="90" spans="1:88" x14ac:dyDescent="0.25">
      <c r="A90">
        <v>88</v>
      </c>
      <c r="B90">
        <v>533519</v>
      </c>
      <c r="C90" t="s">
        <v>509</v>
      </c>
      <c r="D90" t="s">
        <v>25</v>
      </c>
      <c r="E90" t="s">
        <v>252</v>
      </c>
      <c r="F90" t="s">
        <v>474</v>
      </c>
      <c r="G90" t="s">
        <v>55</v>
      </c>
      <c r="H90" s="4">
        <v>46326</v>
      </c>
      <c r="I90" s="4" t="str">
        <f ca="1">IF(
  _xlfn.XLOOKUP($D90 &amp; "-" &amp; H$2, 'TrainingReq (Ach)'!G:G, 'TrainingReq (Ach)'!F:F, "2-Year") = "Forever",
  "Valid",
  IF(H90="", "Not Trained",
     IF(H90 &lt; TODAY() - 1, "Expired",
        IF(H90 &lt;= TODAY() + 90, "Expiring", "Valid")
     )
  )
)</f>
        <v>Expiring</v>
      </c>
      <c r="J90" s="4">
        <v>46326</v>
      </c>
      <c r="K90" s="4" t="str">
        <f ca="1">IF(
  _xlfn.XLOOKUP($D90 &amp; "-" &amp; J$2, 'TrainingReq (Ach)'!G:G, 'TrainingReq (Ach)'!F:F, "2-Year") = "Forever",
  "Valid",
  IF(J90="", "Not Trained",
     IF(J90 &lt; TODAY() - 1, "Expired",
        IF(J90 &lt;= TODAY() + 90, "Expiring", "Valid")
     )
  )
)</f>
        <v>Expiring</v>
      </c>
      <c r="L90" s="4">
        <v>46554</v>
      </c>
      <c r="M90" s="4" t="str">
        <f ca="1">IF(
  _xlfn.XLOOKUP($D90 &amp; "-" &amp; L$2, TrainingMan!$G:$G, TrainingMan!$F:$F, "2-Year") = "Forever",
  "Valid",
  IF(L90="", "Not Trained",
     IF(L90 &lt; TODAY() - 1, "Expired",
        IF(L90 &lt;= TODAY() + 90, "Expiring", "Valid")
     )
  )
)</f>
        <v>Valid</v>
      </c>
      <c r="N90" s="4">
        <v>46554</v>
      </c>
      <c r="O90" s="4" t="str">
        <f ca="1">IF(
  _xlfn.XLOOKUP($D90 &amp; "-" &amp; N$2, TrainingMan!$G:$G, TrainingMan!$F:$F, "2-Year") = "Forever",
  "Valid",
  IF(N90="", "Not Trained",
     IF(N90 &lt; TODAY() - 1, "Expired",
        IF(N90 &lt;= TODAY() + 90, "Expiring", "Valid")
     )
  )
)</f>
        <v>Valid</v>
      </c>
      <c r="P90" s="4">
        <v>46554</v>
      </c>
      <c r="Q90" s="4" t="str">
        <f ca="1">IF(
  _xlfn.XLOOKUP($D90 &amp; "-" &amp; P$2, TrainingMan!$G:$G, TrainingMan!$F:$F, "2-Year") = "Forever",
  "Valid",
  IF(P90="", "Not Trained",
     IF(P90 &lt; TODAY() - 1, "Expired",
        IF(P90 &lt;= TODAY() + 90, "Expiring", "Valid")
     )
  )
)</f>
        <v>Valid</v>
      </c>
      <c r="R90" s="4">
        <v>46554</v>
      </c>
      <c r="S90" s="4" t="str">
        <f ca="1">IF(
  _xlfn.XLOOKUP($D90 &amp; "-" &amp; R$2, TrainingMan!$G:$G, TrainingMan!$F:$F, "2-Year") = "Forever",
  "Valid",
  IF(R90="", "Not Trained",
     IF(R90 &lt; TODAY() - 1, "Expired",
        IF(R90 &lt;= TODAY() + 90, "Expiring", "Valid")
     )
  )
)</f>
        <v>Valid</v>
      </c>
      <c r="T90" s="4">
        <v>46554</v>
      </c>
      <c r="U90" s="4" t="str">
        <f ca="1">IF(
  _xlfn.XLOOKUP($D90 &amp; "-" &amp; T$2, TrainingMan!$G:$G, TrainingMan!$F:$F, "2-Year") = "Forever",
  "Valid",
  IF(T90="", "Not Trained",
     IF(T90 &lt; TODAY() - 1, "Expired",
        IF(T90 &lt;= TODAY() + 90, "Expiring", "Valid")
     )
  )
)</f>
        <v>Valid</v>
      </c>
      <c r="V90" s="4">
        <v>46554</v>
      </c>
      <c r="W90" s="4" t="str">
        <f ca="1">IF(
  _xlfn.XLOOKUP($D90 &amp; "-" &amp; V$2, TrainingMan!$G:$G, TrainingMan!$F:$F, "2-Year") = "Forever",
  "Valid",
  IF(V90="", "Not Trained",
     IF(V90 &lt; TODAY() - 1, "Expired",
        IF(V90 &lt;= TODAY() + 90, "Expiring", "Valid")
     )
  )
)</f>
        <v>Valid</v>
      </c>
      <c r="X90" s="4">
        <v>46554</v>
      </c>
      <c r="Y90" s="4" t="str">
        <f ca="1">IF(
  _xlfn.XLOOKUP($D90 &amp; "-" &amp; X$2, TrainingMan!$G:$G, TrainingMan!$F:$F, "2-Year") = "Forever",
  "Valid",
  IF(X90="", "Not Trained",
     IF(X90 &lt; TODAY() - 1, "Expired",
        IF(X90 &lt;= TODAY() + 90, "Expiring", "Valid")
     )
  )
)</f>
        <v>Valid</v>
      </c>
      <c r="Z90" s="4">
        <v>45172</v>
      </c>
      <c r="AA90" s="4" t="str">
        <f ca="1">IF(LEN(TRIM(Z90)) = 0, "Not Trained",
  IF(_xlfn.XLOOKUP($D90 &amp; "-" &amp; Z$2, TrainingMan!$G:$G, TrainingMan!$F:$F, "2-Year") = "Forever", "Valid",
    IF(Z90 &lt; TODAY() - 1, "Expired",
      IF(Z90 &lt;= TODAY() + 90, "Expiring", "Valid")
    )
  )
)</f>
        <v>Valid</v>
      </c>
      <c r="AB90" s="4">
        <v>40851</v>
      </c>
      <c r="AC90" s="4">
        <v>42811</v>
      </c>
      <c r="AD90" s="4">
        <v>43415</v>
      </c>
      <c r="AE90" s="4">
        <v>45010</v>
      </c>
      <c r="AF90" s="4">
        <v>44906</v>
      </c>
      <c r="AG90" s="4">
        <v>45265</v>
      </c>
      <c r="AH90" s="4"/>
      <c r="AI90" s="4"/>
      <c r="AJ90" s="4"/>
      <c r="AN90" s="4"/>
      <c r="AP90" s="4">
        <v>46950</v>
      </c>
      <c r="AQ90" s="4"/>
      <c r="AR90" s="4"/>
      <c r="AS90" s="4"/>
      <c r="AT90" s="4"/>
      <c r="AU90" s="4"/>
      <c r="BB90" s="4">
        <v>46046</v>
      </c>
      <c r="BC90" s="4" t="s">
        <v>510</v>
      </c>
      <c r="BD90" s="4" t="s">
        <v>236</v>
      </c>
      <c r="BE90" s="4"/>
      <c r="BF90" s="4"/>
      <c r="BG90" s="4"/>
      <c r="BH90" s="4"/>
      <c r="BI90" s="4">
        <v>42417</v>
      </c>
      <c r="BJ90" s="4" t="s">
        <v>140</v>
      </c>
      <c r="BK90" t="s">
        <v>148</v>
      </c>
      <c r="BL90" s="4"/>
      <c r="BM90" s="4"/>
      <c r="BN90" s="4"/>
      <c r="BO90" s="4"/>
      <c r="BP90" s="4"/>
      <c r="BQ90">
        <f>COUNTIF('TrainingReq (Ach)'!B:B,Table13[[#This Row],[Job Title]])</f>
        <v>9</v>
      </c>
      <c r="BR90" cm="1">
        <f t="array" aca="1" ref="BR9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9</v>
      </c>
      <c r="BS90" s="5">
        <f t="shared" ca="1" si="3"/>
        <v>1</v>
      </c>
      <c r="BT90" t="s">
        <v>246</v>
      </c>
      <c r="BU90" t="s">
        <v>247</v>
      </c>
      <c r="BV90" t="s">
        <v>270</v>
      </c>
      <c r="BW90" s="4" t="s">
        <v>140</v>
      </c>
      <c r="BX90" t="s">
        <v>148</v>
      </c>
      <c r="BZ90" t="s">
        <v>511</v>
      </c>
      <c r="CC90" t="s">
        <v>512</v>
      </c>
      <c r="CD90" s="4">
        <v>46988</v>
      </c>
      <c r="CE90" s="4" t="str">
        <f ca="1">IF(
  _xlfn.XLOOKUP($D90 &amp; "-" &amp; CD$2, 'TrainingReq (Ach)'!$G:$G, 'TrainingReq (Ach)'!$F:$F, "2-Year") = "Forever",
  "Valid",
  IF(CD90="", "Not Trained",
     IF(CD90 &lt; TODAY() - 1, "Expired",
        IF(CD90 &lt;= TODAY() + 90, "Expiring", "Valid")
     )
  )
)</f>
        <v>Valid</v>
      </c>
      <c r="CF90" t="s">
        <v>250</v>
      </c>
      <c r="CG90" s="4">
        <v>53581</v>
      </c>
      <c r="CH90" s="4" t="str">
        <f ca="1">IF(
  _xlfn.XLOOKUP($D89 &amp; "-" &amp; CG$2, 'TrainingReq (Ach)'!$G:$G, 'TrainingReq (Ach)'!$F:$F, "2-Year") = "Forever",
  "Valid",
  IF(CG89="", "Not Trained",
     IF(CG89 &lt; TODAY() - 1, "Expired",
        IF(CG89 &lt;= TODAY() + 90, "Expiring", "Valid")
     )
  )
)</f>
        <v>Valid</v>
      </c>
      <c r="CI90" t="str">
        <f t="shared" si="4"/>
        <v>Eligible</v>
      </c>
      <c r="CJ90" t="str">
        <f t="shared" si="5"/>
        <v>Eligible</v>
      </c>
    </row>
    <row r="91" spans="1:88" x14ac:dyDescent="0.25">
      <c r="A91">
        <v>89</v>
      </c>
      <c r="B91">
        <v>533522</v>
      </c>
      <c r="C91" t="s">
        <v>513</v>
      </c>
      <c r="D91" t="s">
        <v>22</v>
      </c>
      <c r="E91" t="s">
        <v>514</v>
      </c>
      <c r="F91" t="s">
        <v>474</v>
      </c>
      <c r="G91" t="s">
        <v>52</v>
      </c>
      <c r="H91" s="4">
        <v>46347</v>
      </c>
      <c r="I91" s="4" t="str">
        <f ca="1">IF(
  _xlfn.XLOOKUP($D91 &amp; "-" &amp; H$2, 'TrainingReq (Ach)'!G:G, 'TrainingReq (Ach)'!F:F, "2-Year") = "Forever",
  "Valid",
  IF(H91="", "Not Trained",
     IF(H91 &lt; TODAY() - 1, "Expired",
        IF(H91 &lt;= TODAY() + 90, "Expiring", "Valid")
     )
  )
)</f>
        <v>Valid</v>
      </c>
      <c r="J91" s="4">
        <v>46347</v>
      </c>
      <c r="K91" s="4" t="str">
        <f ca="1">IF(
  _xlfn.XLOOKUP($D91 &amp; "-" &amp; J$2, 'TrainingReq (Ach)'!G:G, 'TrainingReq (Ach)'!F:F, "2-Year") = "Forever",
  "Valid",
  IF(J91="", "Not Trained",
     IF(J91 &lt; TODAY() - 1, "Expired",
        IF(J91 &lt;= TODAY() + 90, "Expiring", "Valid")
     )
  )
)</f>
        <v>Valid</v>
      </c>
      <c r="L91" s="4">
        <v>46331</v>
      </c>
      <c r="M91" s="4" t="str">
        <f ca="1">IF(
  _xlfn.XLOOKUP($D91 &amp; "-" &amp; L$2, TrainingMan!$G:$G, TrainingMan!$F:$F, "2-Year") = "Forever",
  "Valid",
  IF(L91="", "Not Trained",
     IF(L91 &lt; TODAY() - 1, "Expired",
        IF(L91 &lt;= TODAY() + 90, "Expiring", "Valid")
     )
  )
)</f>
        <v>Valid</v>
      </c>
      <c r="N91" s="4">
        <v>46331</v>
      </c>
      <c r="O91" s="4" t="str">
        <f ca="1">IF(
  _xlfn.XLOOKUP($D91 &amp; "-" &amp; N$2, TrainingMan!$G:$G, TrainingMan!$F:$F, "2-Year") = "Forever",
  "Valid",
  IF(N91="", "Not Trained",
     IF(N91 &lt; TODAY() - 1, "Expired",
        IF(N91 &lt;= TODAY() + 90, "Expiring", "Valid")
     )
  )
)</f>
        <v>Expiring</v>
      </c>
      <c r="P91" s="4">
        <v>46331</v>
      </c>
      <c r="Q91" s="4" t="str">
        <f ca="1">IF(
  _xlfn.XLOOKUP($D91 &amp; "-" &amp; P$2, TrainingMan!$G:$G, TrainingMan!$F:$F, "2-Year") = "Forever",
  "Valid",
  IF(P91="", "Not Trained",
     IF(P91 &lt; TODAY() - 1, "Expired",
        IF(P91 &lt;= TODAY() + 90, "Expiring", "Valid")
     )
  )
)</f>
        <v>Expiring</v>
      </c>
      <c r="R91" s="4">
        <v>46331</v>
      </c>
      <c r="S91" s="4" t="str">
        <f ca="1">IF(
  _xlfn.XLOOKUP($D91 &amp; "-" &amp; R$2, TrainingMan!$G:$G, TrainingMan!$F:$F, "2-Year") = "Forever",
  "Valid",
  IF(R91="", "Not Trained",
     IF(R91 &lt; TODAY() - 1, "Expired",
        IF(R91 &lt;= TODAY() + 90, "Expiring", "Valid")
     )
  )
)</f>
        <v>Expiring</v>
      </c>
      <c r="T91" s="4">
        <v>46331</v>
      </c>
      <c r="U91" s="4" t="str">
        <f ca="1">IF(
  _xlfn.XLOOKUP($D91 &amp; "-" &amp; T$2, TrainingMan!$G:$G, TrainingMan!$F:$F, "2-Year") = "Forever",
  "Valid",
  IF(T91="", "Not Trained",
     IF(T91 &lt; TODAY() - 1, "Expired",
        IF(T91 &lt;= TODAY() + 90, "Expiring", "Valid")
     )
  )
)</f>
        <v>Expiring</v>
      </c>
      <c r="V91" s="4">
        <v>46331</v>
      </c>
      <c r="W91" s="4" t="str">
        <f ca="1">IF(
  _xlfn.XLOOKUP($D91 &amp; "-" &amp; V$2, TrainingMan!$G:$G, TrainingMan!$F:$F, "2-Year") = "Forever",
  "Valid",
  IF(V91="", "Not Trained",
     IF(V91 &lt; TODAY() - 1, "Expired",
        IF(V91 &lt;= TODAY() + 90, "Expiring", "Valid")
     )
  )
)</f>
        <v>Valid</v>
      </c>
      <c r="X91" s="4">
        <v>46331</v>
      </c>
      <c r="Y91" s="4" t="str">
        <f ca="1">IF(
  _xlfn.XLOOKUP($D91 &amp; "-" &amp; X$2, TrainingMan!$G:$G, TrainingMan!$F:$F, "2-Year") = "Forever",
  "Valid",
  IF(X91="", "Not Trained",
     IF(X91 &lt; TODAY() - 1, "Expired",
        IF(X91 &lt;= TODAY() + 90, "Expiring", "Valid")
     )
  )
)</f>
        <v>Valid</v>
      </c>
      <c r="Z91" s="4">
        <v>45599</v>
      </c>
      <c r="AA91" s="4" t="str">
        <f ca="1">IF(LEN(TRIM(Z91)) = 0, "Not Trained",
  IF(_xlfn.XLOOKUP($D91 &amp; "-" &amp; Z$2, TrainingMan!$G:$G, TrainingMan!$F:$F, "2-Year") = "Forever", "Valid",
    IF(Z91 &lt; TODAY() - 1, "Expired",
      IF(Z91 &lt;= TODAY() + 90, "Expiring", "Valid")
    )
  )
)</f>
        <v>Valid</v>
      </c>
      <c r="AB91" s="4">
        <v>40851</v>
      </c>
      <c r="AC91" s="4">
        <v>43593</v>
      </c>
      <c r="AD91" s="4">
        <v>43555</v>
      </c>
      <c r="AE91" s="4">
        <v>43567</v>
      </c>
      <c r="AF91" s="4">
        <v>43889</v>
      </c>
      <c r="AG91" s="4">
        <v>43333</v>
      </c>
      <c r="AH91" s="4"/>
      <c r="AI91" s="4"/>
      <c r="AJ91" s="4"/>
      <c r="AN91" s="4"/>
      <c r="AP91" s="4">
        <v>46008</v>
      </c>
      <c r="AQ91" s="4">
        <v>45873</v>
      </c>
      <c r="AR91" s="4">
        <v>45936</v>
      </c>
      <c r="AS91" s="4"/>
      <c r="AT91" s="4" t="s">
        <v>515</v>
      </c>
      <c r="AU91" s="4"/>
      <c r="AZ91" t="s">
        <v>516</v>
      </c>
      <c r="BB91" s="4">
        <v>46227</v>
      </c>
      <c r="BC91" s="4" t="s">
        <v>274</v>
      </c>
      <c r="BD91" s="4" t="s">
        <v>517</v>
      </c>
      <c r="BE91" s="4"/>
      <c r="BF91" s="4"/>
      <c r="BG91" s="4"/>
      <c r="BH91" s="4"/>
      <c r="BI91" s="4">
        <v>42522</v>
      </c>
      <c r="BJ91" s="4" t="s">
        <v>151</v>
      </c>
      <c r="BK91" s="4"/>
      <c r="BL91" s="4"/>
      <c r="BM91" s="4"/>
      <c r="BN91" s="4" t="s">
        <v>324</v>
      </c>
      <c r="BO91" s="4"/>
      <c r="BP91" s="4"/>
      <c r="BQ91">
        <f>COUNTIF('TrainingReq (Ach)'!B:B,Table13[[#This Row],[Job Title]])</f>
        <v>14</v>
      </c>
      <c r="BR91" cm="1">
        <f t="array" aca="1" ref="BR9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91" s="5">
        <f t="shared" ca="1" si="3"/>
        <v>0.9285714285714286</v>
      </c>
      <c r="BT91" t="s">
        <v>246</v>
      </c>
      <c r="BU91" t="s">
        <v>247</v>
      </c>
      <c r="BV91" t="s">
        <v>270</v>
      </c>
      <c r="BW91" s="4" t="s">
        <v>151</v>
      </c>
      <c r="BZ91" t="s">
        <v>518</v>
      </c>
      <c r="CB91" s="26" t="s">
        <v>519</v>
      </c>
      <c r="CC91" t="s">
        <v>520</v>
      </c>
      <c r="CD91" s="4">
        <v>46988</v>
      </c>
      <c r="CE91" s="4" t="str">
        <f ca="1">IF(
  _xlfn.XLOOKUP($D91 &amp; "-" &amp; CD$2, 'TrainingReq (Ach)'!$G:$G, 'TrainingReq (Ach)'!$F:$F, "2-Year") = "Forever",
  "Valid",
  IF(CD91="", "Not Trained",
     IF(CD91 &lt; TODAY() - 1, "Expired",
        IF(CD91 &lt;= TODAY() + 90, "Expiring", "Valid")
     )
  )
)</f>
        <v>Valid</v>
      </c>
      <c r="CF91" t="s">
        <v>250</v>
      </c>
      <c r="CG91" s="4">
        <v>53534</v>
      </c>
      <c r="CH91" s="4" t="str">
        <f ca="1">IF(
  _xlfn.XLOOKUP($D90 &amp; "-" &amp; CG$2, 'TrainingReq (Ach)'!$G:$G, 'TrainingReq (Ach)'!$F:$F, "2-Year") = "Forever",
  "Valid",
  IF(CG90="", "Not Trained",
     IF(CG90 &lt; TODAY() - 1, "Expired",
        IF(CG90 &lt;= TODAY() + 90, "Expiring", "Valid")
     )
  )
)</f>
        <v>Valid</v>
      </c>
      <c r="CI91" t="str">
        <f t="shared" si="4"/>
        <v>Eligible</v>
      </c>
      <c r="CJ91" t="str">
        <f t="shared" si="5"/>
        <v>Not eligible</v>
      </c>
    </row>
    <row r="92" spans="1:88" x14ac:dyDescent="0.25">
      <c r="A92">
        <v>90</v>
      </c>
      <c r="B92">
        <v>584542</v>
      </c>
      <c r="C92" t="s">
        <v>111</v>
      </c>
      <c r="D92" t="s">
        <v>15</v>
      </c>
      <c r="E92" t="s">
        <v>327</v>
      </c>
      <c r="F92" t="s">
        <v>474</v>
      </c>
      <c r="G92" t="s">
        <v>48</v>
      </c>
      <c r="H92" s="4">
        <v>46851</v>
      </c>
      <c r="I92" s="4" t="str">
        <f ca="1">IF(
  _xlfn.XLOOKUP($D92 &amp; "-" &amp; H$2, 'TrainingReq (Ach)'!G:G, 'TrainingReq (Ach)'!F:F, "2-Year") = "Forever",
  "Valid",
  IF(H92="", "Not Trained",
     IF(H92 &lt; TODAY() - 1, "Expired",
        IF(H92 &lt;= TODAY() + 90, "Expiring", "Valid")
     )
  )
)</f>
        <v>Valid</v>
      </c>
      <c r="J92" s="4">
        <v>46866</v>
      </c>
      <c r="K92" s="4" t="str">
        <f ca="1">IF(
  _xlfn.XLOOKUP($D92 &amp; "-" &amp; J$2, 'TrainingReq (Ach)'!G:G, 'TrainingReq (Ach)'!F:F, "2-Year") = "Forever",
  "Valid",
  IF(J92="", "Not Trained",
     IF(J92 &lt; TODAY() - 1, "Expired",
        IF(J92 &lt;= TODAY() + 90, "Expiring", "Valid")
     )
  )
)</f>
        <v>Valid</v>
      </c>
      <c r="L92" s="4">
        <v>46872</v>
      </c>
      <c r="M92" s="4" t="str">
        <f ca="1">IF(
  _xlfn.XLOOKUP($D92 &amp; "-" &amp; L$2, TrainingMan!$G:$G, TrainingMan!$F:$F, "2-Year") = "Forever",
  "Valid",
  IF(L92="", "Not Trained",
     IF(L92 &lt; TODAY() - 1, "Expired",
        IF(L92 &lt;= TODAY() + 90, "Expiring", "Valid")
     )
  )
)</f>
        <v>Valid</v>
      </c>
      <c r="N92" s="4">
        <v>46816</v>
      </c>
      <c r="O92" s="4" t="str">
        <f ca="1">IF(
  _xlfn.XLOOKUP($D92 &amp; "-" &amp; N$2, TrainingMan!$G:$G, TrainingMan!$F:$F, "2-Year") = "Forever",
  "Valid",
  IF(N92="", "Not Trained",
     IF(N92 &lt; TODAY() - 1, "Expired",
        IF(N92 &lt;= TODAY() + 90, "Expiring", "Valid")
     )
  )
)</f>
        <v>Valid</v>
      </c>
      <c r="P92" s="4">
        <v>46816</v>
      </c>
      <c r="Q92" s="4" t="str">
        <f ca="1">IF(
  _xlfn.XLOOKUP($D92 &amp; "-" &amp; P$2, TrainingMan!$G:$G, TrainingMan!$F:$F, "2-Year") = "Forever",
  "Valid",
  IF(P92="", "Not Trained",
     IF(P92 &lt; TODAY() - 1, "Expired",
        IF(P92 &lt;= TODAY() + 90, "Expiring", "Valid")
     )
  )
)</f>
        <v>Valid</v>
      </c>
      <c r="R92" s="4">
        <v>46816</v>
      </c>
      <c r="S92" s="4" t="str">
        <f ca="1">IF(
  _xlfn.XLOOKUP($D92 &amp; "-" &amp; R$2, TrainingMan!$G:$G, TrainingMan!$F:$F, "2-Year") = "Forever",
  "Valid",
  IF(R92="", "Not Trained",
     IF(R92 &lt; TODAY() - 1, "Expired",
        IF(R92 &lt;= TODAY() + 90, "Expiring", "Valid")
     )
  )
)</f>
        <v>Valid</v>
      </c>
      <c r="T92" s="4">
        <v>46817</v>
      </c>
      <c r="U92" s="4" t="str">
        <f ca="1">IF(
  _xlfn.XLOOKUP($D92 &amp; "-" &amp; T$2, TrainingMan!$G:$G, TrainingMan!$F:$F, "2-Year") = "Forever",
  "Valid",
  IF(T92="", "Not Trained",
     IF(T92 &lt; TODAY() - 1, "Expired",
        IF(T92 &lt;= TODAY() + 90, "Expiring", "Valid")
     )
  )
)</f>
        <v>Valid</v>
      </c>
      <c r="V92" s="4">
        <v>46885</v>
      </c>
      <c r="W92" s="4" t="str">
        <f ca="1">IF(
  _xlfn.XLOOKUP($D92 &amp; "-" &amp; V$2, TrainingMan!$G:$G, TrainingMan!$F:$F, "2-Year") = "Forever",
  "Valid",
  IF(V92="", "Not Trained",
     IF(V92 &lt; TODAY() - 1, "Expired",
        IF(V92 &lt;= TODAY() + 90, "Expiring", "Valid")
     )
  )
)</f>
        <v>Valid</v>
      </c>
      <c r="X92" s="4">
        <v>46943</v>
      </c>
      <c r="Y92" s="4" t="str">
        <f ca="1">IF(
  _xlfn.XLOOKUP($D92 &amp; "-" &amp; X$2, TrainingMan!$G:$G, TrainingMan!$F:$F, "2-Year") = "Forever",
  "Valid",
  IF(X92="", "Not Trained",
     IF(X92 &lt; TODAY() - 1, "Expired",
        IF(X92 &lt;= TODAY() + 90, "Expiring", "Valid")
     )
  )
)</f>
        <v>Valid</v>
      </c>
      <c r="Z92" s="4">
        <v>46821</v>
      </c>
      <c r="AA92" s="4" t="str">
        <f ca="1">IF(LEN(TRIM(Z92)) = 0, "Not Trained",
  IF(_xlfn.XLOOKUP($D92 &amp; "-" &amp; Z$2, TrainingMan!$G:$G, TrainingMan!$F:$F, "2-Year") = "Forever", "Valid",
    IF(Z92 &lt; TODAY() - 1, "Expired",
      IF(Z92 &lt;= TODAY() + 90, "Expiring", "Valid")
    )
  )
)</f>
        <v>Valid</v>
      </c>
      <c r="AB92" s="4">
        <v>46397</v>
      </c>
      <c r="AC92" s="4"/>
      <c r="AD92" s="4"/>
      <c r="AE92" s="4"/>
      <c r="AF92" s="4"/>
      <c r="AG92" s="4"/>
      <c r="AH92" s="4"/>
      <c r="AI92" s="4"/>
      <c r="AJ92" s="4"/>
      <c r="AN92" s="4"/>
      <c r="AQ92" s="4"/>
      <c r="AR92" s="4"/>
      <c r="AS92" s="4"/>
      <c r="AT92" s="4"/>
      <c r="AU92" s="4"/>
      <c r="BB92" s="4">
        <v>45866</v>
      </c>
      <c r="BC92" s="4"/>
      <c r="BD92" s="4" t="s">
        <v>456</v>
      </c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>
        <v>45660</v>
      </c>
      <c r="BQ92">
        <f>COUNTIF('TrainingReq (Ach)'!B:B,Table13[[#This Row],[Job Title]])</f>
        <v>13</v>
      </c>
      <c r="BR92" cm="1">
        <f t="array" aca="1" ref="BR9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92" s="5">
        <f t="shared" ca="1" si="3"/>
        <v>0.92307692307692313</v>
      </c>
      <c r="BT92" t="s">
        <v>314</v>
      </c>
      <c r="BU92" t="s">
        <v>247</v>
      </c>
      <c r="BV92" t="s">
        <v>256</v>
      </c>
      <c r="BW92" s="4"/>
      <c r="CD92" s="4"/>
      <c r="CE92" s="4" t="str">
        <f ca="1">IF(
  _xlfn.XLOOKUP($D92 &amp; "-" &amp; CD$2, 'TrainingReq (Ach)'!$G:$G, 'TrainingReq (Ach)'!$F:$F, "2-Year") = "Forever",
  "Valid",
  IF(CD92="", "Not Trained",
     IF(CD92 &lt; TODAY() - 1, "Expired",
        IF(CD92 &lt;= TODAY() + 90, "Expiring", "Valid")
     )
  )
)</f>
        <v>Not Trained</v>
      </c>
      <c r="CF92" t="s">
        <v>250</v>
      </c>
      <c r="CG92" s="4"/>
      <c r="CH92" s="4" t="str">
        <f ca="1">IF(
  _xlfn.XLOOKUP($D91 &amp; "-" &amp; CG$2, 'TrainingReq (Ach)'!$G:$G, 'TrainingReq (Ach)'!$F:$F, "2-Year") = "Forever",
  "Valid",
  IF(CG91="", "Not Trained",
     IF(CG91 &lt; TODAY() - 1, "Expired",
        IF(CG91 &lt;= TODAY() + 90, "Expiring", "Valid")
     )
  )
)</f>
        <v>Valid</v>
      </c>
      <c r="CI92" t="str">
        <f t="shared" si="4"/>
        <v>Not eligible</v>
      </c>
      <c r="CJ92" t="str">
        <f t="shared" si="5"/>
        <v>Not eligible</v>
      </c>
    </row>
    <row r="93" spans="1:88" x14ac:dyDescent="0.25">
      <c r="A93">
        <v>91</v>
      </c>
      <c r="B93">
        <v>584318</v>
      </c>
      <c r="C93" t="s">
        <v>521</v>
      </c>
      <c r="D93" t="s">
        <v>15</v>
      </c>
      <c r="E93" t="s">
        <v>263</v>
      </c>
      <c r="F93" t="s">
        <v>474</v>
      </c>
      <c r="G93" t="s">
        <v>52</v>
      </c>
      <c r="H93" s="4">
        <v>46423</v>
      </c>
      <c r="I93" s="4" t="str">
        <f ca="1">IF(
  _xlfn.XLOOKUP($D93 &amp; "-" &amp; H$2, 'TrainingReq (Ach)'!G:G, 'TrainingReq (Ach)'!F:F, "2-Year") = "Forever",
  "Valid",
  IF(H93="", "Not Trained",
     IF(H93 &lt; TODAY() - 1, "Expired",
        IF(H93 &lt;= TODAY() + 90, "Expiring", "Valid")
     )
  )
)</f>
        <v>Valid</v>
      </c>
      <c r="J93" s="4">
        <v>46449</v>
      </c>
      <c r="K93" s="4" t="str">
        <f ca="1">IF(
  _xlfn.XLOOKUP($D93 &amp; "-" &amp; J$2, 'TrainingReq (Ach)'!G:G, 'TrainingReq (Ach)'!F:F, "2-Year") = "Forever",
  "Valid",
  IF(J93="", "Not Trained",
     IF(J93 &lt; TODAY() - 1, "Expired",
        IF(J93 &lt;= TODAY() + 90, "Expiring", "Valid")
     )
  )
)</f>
        <v>Valid</v>
      </c>
      <c r="L93" s="4">
        <v>46450</v>
      </c>
      <c r="M93" s="4" t="str">
        <f ca="1">IF(
  _xlfn.XLOOKUP($D93 &amp; "-" &amp; L$2, TrainingMan!$G:$G, TrainingMan!$F:$F, "2-Year") = "Forever",
  "Valid",
  IF(L93="", "Not Trained",
     IF(L93 &lt; TODAY() - 1, "Expired",
        IF(L93 &lt;= TODAY() + 90, "Expiring", "Valid")
     )
  )
)</f>
        <v>Valid</v>
      </c>
      <c r="N93" s="4">
        <v>46492</v>
      </c>
      <c r="O93" s="4" t="str">
        <f ca="1">IF(
  _xlfn.XLOOKUP($D93 &amp; "-" &amp; N$2, TrainingMan!$G:$G, TrainingMan!$F:$F, "2-Year") = "Forever",
  "Valid",
  IF(N93="", "Not Trained",
     IF(N93 &lt; TODAY() - 1, "Expired",
        IF(N93 &lt;= TODAY() + 90, "Expiring", "Valid")
     )
  )
)</f>
        <v>Valid</v>
      </c>
      <c r="P93" s="4">
        <v>46492</v>
      </c>
      <c r="Q93" s="4" t="str">
        <f ca="1">IF(
  _xlfn.XLOOKUP($D93 &amp; "-" &amp; P$2, TrainingMan!$G:$G, TrainingMan!$F:$F, "2-Year") = "Forever",
  "Valid",
  IF(P93="", "Not Trained",
     IF(P93 &lt; TODAY() - 1, "Expired",
        IF(P93 &lt;= TODAY() + 90, "Expiring", "Valid")
     )
  )
)</f>
        <v>Valid</v>
      </c>
      <c r="R93" s="4">
        <v>46492</v>
      </c>
      <c r="S93" s="4" t="str">
        <f ca="1">IF(
  _xlfn.XLOOKUP($D93 &amp; "-" &amp; R$2, TrainingMan!$G:$G, TrainingMan!$F:$F, "2-Year") = "Forever",
  "Valid",
  IF(R93="", "Not Trained",
     IF(R93 &lt; TODAY() - 1, "Expired",
        IF(R93 &lt;= TODAY() + 90, "Expiring", "Valid")
     )
  )
)</f>
        <v>Valid</v>
      </c>
      <c r="T93" s="4">
        <v>46493</v>
      </c>
      <c r="U93" s="4" t="str">
        <f ca="1">IF(
  _xlfn.XLOOKUP($D93 &amp; "-" &amp; T$2, TrainingMan!$G:$G, TrainingMan!$F:$F, "2-Year") = "Forever",
  "Valid",
  IF(T93="", "Not Trained",
     IF(T93 &lt; TODAY() - 1, "Expired",
        IF(T93 &lt;= TODAY() + 90, "Expiring", "Valid")
     )
  )
)</f>
        <v>Valid</v>
      </c>
      <c r="V93" s="4">
        <v>46427</v>
      </c>
      <c r="W93" s="4" t="str">
        <f ca="1">IF(
  _xlfn.XLOOKUP($D93 &amp; "-" &amp; V$2, TrainingMan!$G:$G, TrainingMan!$F:$F, "2-Year") = "Forever",
  "Valid",
  IF(V93="", "Not Trained",
     IF(V93 &lt; TODAY() - 1, "Expired",
        IF(V93 &lt;= TODAY() + 90, "Expiring", "Valid")
     )
  )
)</f>
        <v>Valid</v>
      </c>
      <c r="X93" s="4">
        <v>46452</v>
      </c>
      <c r="Y93" s="4" t="str">
        <f ca="1">IF(
  _xlfn.XLOOKUP($D93 &amp; "-" &amp; X$2, TrainingMan!$G:$G, TrainingMan!$F:$F, "2-Year") = "Forever",
  "Valid",
  IF(X93="", "Not Trained",
     IF(X93 &lt; TODAY() - 1, "Expired",
        IF(X93 &lt;= TODAY() + 90, "Expiring", "Valid")
     )
  )
)</f>
        <v>Valid</v>
      </c>
      <c r="Z93" s="4">
        <v>46522</v>
      </c>
      <c r="AA93" s="4" t="str">
        <f ca="1">IF(LEN(TRIM(Z93)) = 0, "Not Trained",
  IF(_xlfn.XLOOKUP($D93 &amp; "-" &amp; Z$2, TrainingMan!$G:$G, TrainingMan!$F:$F, "2-Year") = "Forever", "Valid",
    IF(Z93 &lt; TODAY() - 1, "Expired",
      IF(Z93 &lt;= TODAY() + 90, "Expiring", "Valid")
    )
  )
)</f>
        <v>Valid</v>
      </c>
      <c r="AB93" s="4">
        <v>45978</v>
      </c>
      <c r="AC93" s="4"/>
      <c r="AD93" s="4"/>
      <c r="AE93" s="4"/>
      <c r="AF93" s="4"/>
      <c r="AG93" s="4"/>
      <c r="AH93" s="4"/>
      <c r="AI93" s="4"/>
      <c r="AJ93" s="4">
        <v>46949</v>
      </c>
      <c r="AN93" s="4"/>
      <c r="AQ93" s="4"/>
      <c r="AR93" s="4"/>
      <c r="AS93" s="4"/>
      <c r="AT93" s="4"/>
      <c r="AU93" s="4"/>
      <c r="BB93" s="4">
        <v>45894</v>
      </c>
      <c r="BC93" s="4"/>
      <c r="BD93" s="4" t="s">
        <v>313</v>
      </c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>
        <f>COUNTIF('TrainingReq (Ach)'!B:B,Table13[[#This Row],[Job Title]])</f>
        <v>13</v>
      </c>
      <c r="BR93" cm="1">
        <f t="array" aca="1" ref="BR9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93" s="5">
        <f t="shared" ca="1" si="3"/>
        <v>0.92307692307692313</v>
      </c>
      <c r="BT93" t="s">
        <v>522</v>
      </c>
      <c r="BU93" t="s">
        <v>247</v>
      </c>
      <c r="BV93" t="s">
        <v>276</v>
      </c>
      <c r="BW93" s="4"/>
      <c r="CC93" t="s">
        <v>523</v>
      </c>
      <c r="CD93" s="4"/>
      <c r="CE93" s="4" t="str">
        <f ca="1">IF(
  _xlfn.XLOOKUP($D93 &amp; "-" &amp; CD$2, 'TrainingReq (Ach)'!$G:$G, 'TrainingReq (Ach)'!$F:$F, "2-Year") = "Forever",
  "Valid",
  IF(CD93="", "Not Trained",
     IF(CD93 &lt; TODAY() - 1, "Expired",
        IF(CD93 &lt;= TODAY() + 90, "Expiring", "Valid")
     )
  )
)</f>
        <v>Not Trained</v>
      </c>
      <c r="CF93" t="s">
        <v>250</v>
      </c>
      <c r="CG93" s="4"/>
      <c r="CH93" s="4" t="str">
        <f ca="1">IF(
  _xlfn.XLOOKUP($D92 &amp; "-" &amp; CG$2, 'TrainingReq (Ach)'!$G:$G, 'TrainingReq (Ach)'!$F:$F, "2-Year") = "Forever",
  "Valid",
  IF(CG92="", "Not Trained",
     IF(CG92 &lt; TODAY() - 1, "Expired",
        IF(CG92 &lt;= TODAY() + 90, "Expiring", "Valid")
     )
  )
)</f>
        <v>Not Trained</v>
      </c>
      <c r="CI93" t="str">
        <f t="shared" si="4"/>
        <v>Not eligible</v>
      </c>
      <c r="CJ93" t="str">
        <f t="shared" si="5"/>
        <v>Not eligible</v>
      </c>
    </row>
    <row r="94" spans="1:88" x14ac:dyDescent="0.25">
      <c r="A94">
        <v>92</v>
      </c>
      <c r="B94">
        <v>584312</v>
      </c>
      <c r="C94" t="s">
        <v>524</v>
      </c>
      <c r="D94" t="s">
        <v>15</v>
      </c>
      <c r="E94" t="s">
        <v>263</v>
      </c>
      <c r="F94" t="s">
        <v>474</v>
      </c>
      <c r="G94" t="s">
        <v>52</v>
      </c>
      <c r="H94" s="4">
        <v>46425</v>
      </c>
      <c r="I94" s="4" t="str">
        <f ca="1">IF(
  _xlfn.XLOOKUP($D94 &amp; "-" &amp; H$2, 'TrainingReq (Ach)'!G:G, 'TrainingReq (Ach)'!F:F, "2-Year") = "Forever",
  "Valid",
  IF(H94="", "Not Trained",
     IF(H94 &lt; TODAY() - 1, "Expired",
        IF(H94 &lt;= TODAY() + 90, "Expiring", "Valid")
     )
  )
)</f>
        <v>Valid</v>
      </c>
      <c r="J94" s="4">
        <v>46449</v>
      </c>
      <c r="K94" s="4" t="str">
        <f ca="1">IF(
  _xlfn.XLOOKUP($D94 &amp; "-" &amp; J$2, 'TrainingReq (Ach)'!G:G, 'TrainingReq (Ach)'!F:F, "2-Year") = "Forever",
  "Valid",
  IF(J94="", "Not Trained",
     IF(J94 &lt; TODAY() - 1, "Expired",
        IF(J94 &lt;= TODAY() + 90, "Expiring", "Valid")
     )
  )
)</f>
        <v>Valid</v>
      </c>
      <c r="L94" s="4">
        <v>46451</v>
      </c>
      <c r="M94" s="4" t="str">
        <f ca="1">IF(
  _xlfn.XLOOKUP($D94 &amp; "-" &amp; L$2, TrainingMan!$G:$G, TrainingMan!$F:$F, "2-Year") = "Forever",
  "Valid",
  IF(L94="", "Not Trained",
     IF(L94 &lt; TODAY() - 1, "Expired",
        IF(L94 &lt;= TODAY() + 90, "Expiring", "Valid")
     )
  )
)</f>
        <v>Valid</v>
      </c>
      <c r="N94" s="4">
        <v>46456</v>
      </c>
      <c r="O94" s="4" t="str">
        <f ca="1">IF(
  _xlfn.XLOOKUP($D94 &amp; "-" &amp; N$2, TrainingMan!$G:$G, TrainingMan!$F:$F, "2-Year") = "Forever",
  "Valid",
  IF(N94="", "Not Trained",
     IF(N94 &lt; TODAY() - 1, "Expired",
        IF(N94 &lt;= TODAY() + 90, "Expiring", "Valid")
     )
  )
)</f>
        <v>Valid</v>
      </c>
      <c r="P94" s="4">
        <v>46456</v>
      </c>
      <c r="Q94" s="4" t="str">
        <f ca="1">IF(
  _xlfn.XLOOKUP($D94 &amp; "-" &amp; P$2, TrainingMan!$G:$G, TrainingMan!$F:$F, "2-Year") = "Forever",
  "Valid",
  IF(P94="", "Not Trained",
     IF(P94 &lt; TODAY() - 1, "Expired",
        IF(P94 &lt;= TODAY() + 90, "Expiring", "Valid")
     )
  )
)</f>
        <v>Valid</v>
      </c>
      <c r="R94" s="4">
        <v>46456</v>
      </c>
      <c r="S94" s="4" t="str">
        <f ca="1">IF(
  _xlfn.XLOOKUP($D94 &amp; "-" &amp; R$2, TrainingMan!$G:$G, TrainingMan!$F:$F, "2-Year") = "Forever",
  "Valid",
  IF(R94="", "Not Trained",
     IF(R94 &lt; TODAY() - 1, "Expired",
        IF(R94 &lt;= TODAY() + 90, "Expiring", "Valid")
     )
  )
)</f>
        <v>Valid</v>
      </c>
      <c r="T94" s="4">
        <v>46457</v>
      </c>
      <c r="U94" s="4" t="str">
        <f ca="1">IF(
  _xlfn.XLOOKUP($D94 &amp; "-" &amp; T$2, TrainingMan!$G:$G, TrainingMan!$F:$F, "2-Year") = "Forever",
  "Valid",
  IF(T94="", "Not Trained",
     IF(T94 &lt; TODAY() - 1, "Expired",
        IF(T94 &lt;= TODAY() + 90, "Expiring", "Valid")
     )
  )
)</f>
        <v>Valid</v>
      </c>
      <c r="V94" s="4">
        <v>46428</v>
      </c>
      <c r="W94" s="4" t="str">
        <f ca="1">IF(
  _xlfn.XLOOKUP($D94 &amp; "-" &amp; V$2, TrainingMan!$G:$G, TrainingMan!$F:$F, "2-Year") = "Forever",
  "Valid",
  IF(V94="", "Not Trained",
     IF(V94 &lt; TODAY() - 1, "Expired",
        IF(V94 &lt;= TODAY() + 90, "Expiring", "Valid")
     )
  )
)</f>
        <v>Valid</v>
      </c>
      <c r="X94" s="4">
        <v>46453</v>
      </c>
      <c r="Y94" s="4" t="str">
        <f ca="1">IF(
  _xlfn.XLOOKUP($D94 &amp; "-" &amp; X$2, TrainingMan!$G:$G, TrainingMan!$F:$F, "2-Year") = "Forever",
  "Valid",
  IF(X94="", "Not Trained",
     IF(X94 &lt; TODAY() - 1, "Expired",
        IF(X94 &lt;= TODAY() + 90, "Expiring", "Valid")
     )
  )
)</f>
        <v>Valid</v>
      </c>
      <c r="Z94" s="4">
        <v>46522</v>
      </c>
      <c r="AA94" s="4" t="str">
        <f ca="1">IF(LEN(TRIM(Z94)) = 0, "Not Trained",
  IF(_xlfn.XLOOKUP($D94 &amp; "-" &amp; Z$2, TrainingMan!$G:$G, TrainingMan!$F:$F, "2-Year") = "Forever", "Valid",
    IF(Z94 &lt; TODAY() - 1, "Expired",
      IF(Z94 &lt;= TODAY() + 90, "Expiring", "Valid")
    )
  )
)</f>
        <v>Valid</v>
      </c>
      <c r="AB94" s="4">
        <v>45978</v>
      </c>
      <c r="AC94" s="4"/>
      <c r="AD94" s="4"/>
      <c r="AE94" s="4"/>
      <c r="AF94" s="4"/>
      <c r="AG94" s="4"/>
      <c r="AH94" s="4"/>
      <c r="AI94" s="4"/>
      <c r="AJ94" s="4"/>
      <c r="AN94" s="4"/>
      <c r="AQ94" s="4"/>
      <c r="AR94" s="4"/>
      <c r="AS94" s="4"/>
      <c r="AT94" s="4"/>
      <c r="AU94" s="4"/>
      <c r="BB94" s="4">
        <v>45894</v>
      </c>
      <c r="BC94" s="4"/>
      <c r="BD94" s="4" t="s">
        <v>525</v>
      </c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>
        <f>COUNTIF('TrainingReq (Ach)'!B:B,Table13[[#This Row],[Job Title]])</f>
        <v>13</v>
      </c>
      <c r="BR94" cm="1">
        <f t="array" aca="1" ref="BR9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94" s="5">
        <f t="shared" ca="1" si="3"/>
        <v>0.92307692307692313</v>
      </c>
      <c r="BT94" t="s">
        <v>364</v>
      </c>
      <c r="BU94" t="s">
        <v>247</v>
      </c>
      <c r="BW94" s="4"/>
      <c r="CC94" t="s">
        <v>526</v>
      </c>
      <c r="CD94" s="4"/>
      <c r="CE94" s="4" t="str">
        <f ca="1">IF(
  _xlfn.XLOOKUP($D94 &amp; "-" &amp; CD$2, 'TrainingReq (Ach)'!$G:$G, 'TrainingReq (Ach)'!$F:$F, "2-Year") = "Forever",
  "Valid",
  IF(CD94="", "Not Trained",
     IF(CD94 &lt; TODAY() - 1, "Expired",
        IF(CD94 &lt;= TODAY() + 90, "Expiring", "Valid")
     )
  )
)</f>
        <v>Not Trained</v>
      </c>
      <c r="CF94" t="s">
        <v>250</v>
      </c>
      <c r="CG94" s="4"/>
      <c r="CH94" s="4" t="str">
        <f ca="1">IF(
  _xlfn.XLOOKUP($D93 &amp; "-" &amp; CG$2, 'TrainingReq (Ach)'!$G:$G, 'TrainingReq (Ach)'!$F:$F, "2-Year") = "Forever",
  "Valid",
  IF(CG93="", "Not Trained",
     IF(CG93 &lt; TODAY() - 1, "Expired",
        IF(CG93 &lt;= TODAY() + 90, "Expiring", "Valid")
     )
  )
)</f>
        <v>Not Trained</v>
      </c>
      <c r="CI94" t="str">
        <f t="shared" si="4"/>
        <v>Not eligible</v>
      </c>
      <c r="CJ94" t="str">
        <f t="shared" si="5"/>
        <v>Not eligible</v>
      </c>
    </row>
    <row r="95" spans="1:88" x14ac:dyDescent="0.25">
      <c r="A95">
        <v>93</v>
      </c>
      <c r="B95">
        <v>533461</v>
      </c>
      <c r="C95" t="s">
        <v>527</v>
      </c>
      <c r="D95" t="s">
        <v>6</v>
      </c>
      <c r="E95" t="s">
        <v>243</v>
      </c>
      <c r="F95" t="s">
        <v>474</v>
      </c>
      <c r="G95" t="s">
        <v>52</v>
      </c>
      <c r="H95" s="4">
        <v>46466</v>
      </c>
      <c r="I95" s="4" t="str">
        <f ca="1">IF(
  _xlfn.XLOOKUP($D95 &amp; "-" &amp; H$2, 'TrainingReq (Ach)'!G:G, 'TrainingReq (Ach)'!F:F, "2-Year") = "Forever",
  "Valid",
  IF(H95="", "Not Trained",
     IF(H95 &lt; TODAY() - 1, "Expired",
        IF(H95 &lt;= TODAY() + 90, "Expiring", "Valid")
     )
  )
)</f>
        <v>Valid</v>
      </c>
      <c r="J95" s="4">
        <v>46466</v>
      </c>
      <c r="K95" s="4" t="str">
        <f ca="1">IF(
  _xlfn.XLOOKUP($D95 &amp; "-" &amp; J$2, 'TrainingReq (Ach)'!G:G, 'TrainingReq (Ach)'!F:F, "2-Year") = "Forever",
  "Valid",
  IF(J95="", "Not Trained",
     IF(J95 &lt; TODAY() - 1, "Expired",
        IF(J95 &lt;= TODAY() + 90, "Expiring", "Valid")
     )
  )
)</f>
        <v>Valid</v>
      </c>
      <c r="L95" s="4">
        <v>46564</v>
      </c>
      <c r="M95" s="4" t="str">
        <f ca="1">IF(
  _xlfn.XLOOKUP($D95 &amp; "-" &amp; L$2, TrainingMan!$G:$G, TrainingMan!$F:$F, "2-Year") = "Forever",
  "Valid",
  IF(L95="", "Not Trained",
     IF(L95 &lt; TODAY() - 1, "Expired",
        IF(L95 &lt;= TODAY() + 90, "Expiring", "Valid")
     )
  )
)</f>
        <v>Valid</v>
      </c>
      <c r="N95" s="4">
        <v>46564</v>
      </c>
      <c r="O95" s="4" t="str">
        <f ca="1">IF(
  _xlfn.XLOOKUP($D95 &amp; "-" &amp; N$2, TrainingMan!$G:$G, TrainingMan!$F:$F, "2-Year") = "Forever",
  "Valid",
  IF(N95="", "Not Trained",
     IF(N95 &lt; TODAY() - 1, "Expired",
        IF(N95 &lt;= TODAY() + 90, "Expiring", "Valid")
     )
  )
)</f>
        <v>Valid</v>
      </c>
      <c r="P95" s="4">
        <v>46564</v>
      </c>
      <c r="Q95" s="4" t="str">
        <f ca="1">IF(
  _xlfn.XLOOKUP($D95 &amp; "-" &amp; P$2, TrainingMan!$G:$G, TrainingMan!$F:$F, "2-Year") = "Forever",
  "Valid",
  IF(P95="", "Not Trained",
     IF(P95 &lt; TODAY() - 1, "Expired",
        IF(P95 &lt;= TODAY() + 90, "Expiring", "Valid")
     )
  )
)</f>
        <v>Valid</v>
      </c>
      <c r="R95" s="4">
        <v>46564</v>
      </c>
      <c r="S95" s="4" t="str">
        <f ca="1">IF(
  _xlfn.XLOOKUP($D95 &amp; "-" &amp; R$2, TrainingMan!$G:$G, TrainingMan!$F:$F, "2-Year") = "Forever",
  "Valid",
  IF(R95="", "Not Trained",
     IF(R95 &lt; TODAY() - 1, "Expired",
        IF(R95 &lt;= TODAY() + 90, "Expiring", "Valid")
     )
  )
)</f>
        <v>Valid</v>
      </c>
      <c r="T95" s="4">
        <v>46564</v>
      </c>
      <c r="U95" s="4" t="str">
        <f ca="1">IF(
  _xlfn.XLOOKUP($D95 &amp; "-" &amp; T$2, TrainingMan!$G:$G, TrainingMan!$F:$F, "2-Year") = "Forever",
  "Valid",
  IF(T95="", "Not Trained",
     IF(T95 &lt; TODAY() - 1, "Expired",
        IF(T95 &lt;= TODAY() + 90, "Expiring", "Valid")
     )
  )
)</f>
        <v>Valid</v>
      </c>
      <c r="V95" s="4">
        <v>46564</v>
      </c>
      <c r="W95" s="4" t="str">
        <f ca="1">IF(
  _xlfn.XLOOKUP($D95 &amp; "-" &amp; V$2, TrainingMan!$G:$G, TrainingMan!$F:$F, "2-Year") = "Forever",
  "Valid",
  IF(V95="", "Not Trained",
     IF(V95 &lt; TODAY() - 1, "Expired",
        IF(V95 &lt;= TODAY() + 90, "Expiring", "Valid")
     )
  )
)</f>
        <v>Valid</v>
      </c>
      <c r="X95" s="4">
        <v>46564</v>
      </c>
      <c r="Y95" s="4" t="str">
        <f ca="1">IF(
  _xlfn.XLOOKUP($D95 &amp; "-" &amp; X$2, TrainingMan!$G:$G, TrainingMan!$F:$F, "2-Year") = "Forever",
  "Valid",
  IF(X95="", "Not Trained",
     IF(X95 &lt; TODAY() - 1, "Expired",
        IF(X95 &lt;= TODAY() + 90, "Expiring", "Valid")
     )
  )
)</f>
        <v>Valid</v>
      </c>
      <c r="Z95" s="4">
        <v>45130</v>
      </c>
      <c r="AA95" s="4" t="str">
        <f ca="1">IF(LEN(TRIM(Z95)) = 0, "Not Trained",
  IF(_xlfn.XLOOKUP($D95 &amp; "-" &amp; Z$2, TrainingMan!$G:$G, TrainingMan!$F:$F, "2-Year") = "Forever", "Valid",
    IF(Z95 &lt; TODAY() - 1, "Expired",
      IF(Z95 &lt;= TODAY() + 90, "Expiring", "Valid")
    )
  )
)</f>
        <v>Valid</v>
      </c>
      <c r="AB95" s="4">
        <v>40851</v>
      </c>
      <c r="AC95" s="4">
        <v>43205</v>
      </c>
      <c r="AD95" s="4">
        <v>42749</v>
      </c>
      <c r="AE95" s="4">
        <v>46069</v>
      </c>
      <c r="AF95" s="4">
        <v>44735</v>
      </c>
      <c r="AG95" s="4">
        <v>45910</v>
      </c>
      <c r="AH95" s="4"/>
      <c r="AI95" s="4"/>
      <c r="AJ95" s="4"/>
      <c r="AN95" s="4"/>
      <c r="AQ95" s="4"/>
      <c r="AR95" s="4"/>
      <c r="AS95" s="4"/>
      <c r="AT95" s="4"/>
      <c r="AU95" s="4"/>
      <c r="BB95" s="4">
        <v>46164</v>
      </c>
      <c r="BC95" s="4" t="s">
        <v>528</v>
      </c>
      <c r="BD95" s="4" t="s">
        <v>236</v>
      </c>
      <c r="BE95" s="4"/>
      <c r="BF95" s="4"/>
      <c r="BG95" s="4"/>
      <c r="BH95" s="4"/>
      <c r="BI95" s="4">
        <v>42933</v>
      </c>
      <c r="BJ95" s="4" t="s">
        <v>144</v>
      </c>
      <c r="BK95" s="4"/>
      <c r="BL95" s="4"/>
      <c r="BM95" s="4"/>
      <c r="BN95" s="4"/>
      <c r="BO95" s="4"/>
      <c r="BP95" s="4"/>
      <c r="BQ95">
        <f>COUNTIF('TrainingReq (Ach)'!B:B,Table13[[#This Row],[Job Title]])</f>
        <v>15</v>
      </c>
      <c r="BR95" cm="1">
        <f t="array" aca="1" ref="BR9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95" s="5">
        <f t="shared" ca="1" si="3"/>
        <v>1</v>
      </c>
      <c r="BT95" t="s">
        <v>246</v>
      </c>
      <c r="BU95" t="s">
        <v>247</v>
      </c>
      <c r="BV95" t="s">
        <v>270</v>
      </c>
      <c r="BW95" s="4" t="s">
        <v>144</v>
      </c>
      <c r="BZ95" t="s">
        <v>529</v>
      </c>
      <c r="CA95">
        <v>1</v>
      </c>
      <c r="CC95" t="s">
        <v>530</v>
      </c>
      <c r="CD95" s="4">
        <v>46943</v>
      </c>
      <c r="CE95" s="4" t="str">
        <f ca="1">IF(
  _xlfn.XLOOKUP($D95 &amp; "-" &amp; CD$2, 'TrainingReq (Ach)'!$G:$G, 'TrainingReq (Ach)'!$F:$F, "2-Year") = "Forever",
  "Valid",
  IF(CD95="", "Not Trained",
     IF(CD95 &lt; TODAY() - 1, "Expired",
        IF(CD95 &lt;= TODAY() + 90, "Expiring", "Valid")
     )
  )
)</f>
        <v>Valid</v>
      </c>
      <c r="CF95" t="s">
        <v>250</v>
      </c>
      <c r="CG95" s="4">
        <v>53896</v>
      </c>
      <c r="CH95" s="4" t="str">
        <f ca="1">IF(
  _xlfn.XLOOKUP($D94 &amp; "-" &amp; CG$2, 'TrainingReq (Ach)'!$G:$G, 'TrainingReq (Ach)'!$F:$F, "2-Year") = "Forever",
  "Valid",
  IF(CG94="", "Not Trained",
     IF(CG94 &lt; TODAY() - 1, "Expired",
        IF(CG94 &lt;= TODAY() + 90, "Expiring", "Valid")
     )
  )
)</f>
        <v>Not Trained</v>
      </c>
      <c r="CI95" t="str">
        <f t="shared" si="4"/>
        <v>Eligible</v>
      </c>
      <c r="CJ95" t="str">
        <f t="shared" si="5"/>
        <v>Not eligible</v>
      </c>
    </row>
    <row r="96" spans="1:88" x14ac:dyDescent="0.25">
      <c r="A96">
        <v>94</v>
      </c>
      <c r="B96">
        <v>782748</v>
      </c>
      <c r="C96" t="s">
        <v>531</v>
      </c>
      <c r="D96" t="s">
        <v>23</v>
      </c>
      <c r="E96" t="s">
        <v>303</v>
      </c>
      <c r="F96" t="s">
        <v>474</v>
      </c>
      <c r="G96" t="s">
        <v>52</v>
      </c>
      <c r="H96" s="4">
        <v>46487</v>
      </c>
      <c r="I96" s="4" t="str">
        <f ca="1">IF(
  _xlfn.XLOOKUP($D96 &amp; "-" &amp; H$2, 'TrainingReq (Ach)'!G:G, 'TrainingReq (Ach)'!F:F, "2-Year") = "Forever",
  "Valid",
  IF(H96="", "Not Trained",
     IF(H96 &lt; TODAY() - 1, "Expired",
        IF(H96 &lt;= TODAY() + 90, "Expiring", "Valid")
     )
  )
)</f>
        <v>Valid</v>
      </c>
      <c r="J96" s="4">
        <v>46520</v>
      </c>
      <c r="K96" s="4" t="str">
        <f ca="1">IF(
  _xlfn.XLOOKUP($D96 &amp; "-" &amp; J$2, 'TrainingReq (Ach)'!G:G, 'TrainingReq (Ach)'!F:F, "2-Year") = "Forever",
  "Valid",
  IF(J96="", "Not Trained",
     IF(J96 &lt; TODAY() - 1, "Expired",
        IF(J96 &lt;= TODAY() + 90, "Expiring", "Valid")
     )
  )
)</f>
        <v>Valid</v>
      </c>
      <c r="L96" s="4">
        <f>Table13[[#This Row],[Mandatory for Supporting]]</f>
        <v>44986</v>
      </c>
      <c r="M96" s="4" t="str">
        <f ca="1">IF(
  _xlfn.XLOOKUP($D96 &amp; "-" &amp; L$2, TrainingMan!$G:$G, TrainingMan!$F:$F, "2-Year") = "Forever",
  "Valid",
  IF(L96="", "Not Trained",
     IF(L96 &lt; TODAY() - 1, "Expired",
        IF(L96 &lt;= TODAY() + 90, "Expiring", "Valid")
     )
  )
)</f>
        <v>Valid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>
        <v>45850</v>
      </c>
      <c r="AC96" s="4"/>
      <c r="AD96" s="4"/>
      <c r="AE96" s="4"/>
      <c r="AF96" s="4"/>
      <c r="AG96" s="4"/>
      <c r="AH96" s="4"/>
      <c r="AI96" s="4"/>
      <c r="AJ96" s="4"/>
      <c r="AN96" s="4"/>
      <c r="AQ96" s="4"/>
      <c r="AR96" s="4"/>
      <c r="AS96" s="4"/>
      <c r="AT96" s="4"/>
      <c r="AU96" s="4"/>
      <c r="BB96" s="4">
        <v>45161</v>
      </c>
      <c r="BC96" s="4"/>
      <c r="BD96" s="4">
        <v>45855</v>
      </c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>
        <v>44986</v>
      </c>
      <c r="BQ96">
        <f>COUNTIF('TrainingReq (Ach)'!B:B,Table13[[#This Row],[Job Title]])</f>
        <v>3</v>
      </c>
      <c r="BR96" cm="1">
        <f t="array" aca="1" ref="BR9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96" s="5">
        <f t="shared" ca="1" si="3"/>
        <v>1</v>
      </c>
      <c r="BT96" t="s">
        <v>311</v>
      </c>
      <c r="BU96" t="s">
        <v>247</v>
      </c>
      <c r="BW96" s="4"/>
      <c r="CD96" s="4"/>
      <c r="CE96" s="4" t="str">
        <f ca="1">IF(
  _xlfn.XLOOKUP($D96 &amp; "-" &amp; CD$2, 'TrainingReq (Ach)'!$G:$G, 'TrainingReq (Ach)'!$F:$F, "2-Year") = "Forever",
  "Valid",
  IF(CD96="", "Not Trained",
     IF(CD96 &lt; TODAY() - 1, "Expired",
        IF(CD96 &lt;= TODAY() + 90, "Expiring", "Valid")
     )
  )
)</f>
        <v>Not Trained</v>
      </c>
      <c r="CF96" t="s">
        <v>250</v>
      </c>
      <c r="CG96" s="4"/>
      <c r="CH96" s="4" t="str">
        <f ca="1">IF(
  _xlfn.XLOOKUP($D95 &amp; "-" &amp; CG$2, 'TrainingReq (Ach)'!$G:$G, 'TrainingReq (Ach)'!$F:$F, "2-Year") = "Forever",
  "Valid",
  IF(CG95="", "Not Trained",
     IF(CG95 &lt; TODAY() - 1, "Expired",
        IF(CG95 &lt;= TODAY() + 90, "Expiring", "Valid")
     )
  )
)</f>
        <v>Valid</v>
      </c>
      <c r="CI96" t="str">
        <f t="shared" si="4"/>
        <v>Not eligible</v>
      </c>
      <c r="CJ96" t="str">
        <f t="shared" si="5"/>
        <v>Not eligible</v>
      </c>
    </row>
    <row r="97" spans="1:88" x14ac:dyDescent="0.25">
      <c r="A97">
        <v>95</v>
      </c>
      <c r="B97">
        <v>782749</v>
      </c>
      <c r="C97" t="s">
        <v>532</v>
      </c>
      <c r="D97" t="s">
        <v>23</v>
      </c>
      <c r="E97" t="s">
        <v>303</v>
      </c>
      <c r="F97" t="s">
        <v>474</v>
      </c>
      <c r="G97" t="s">
        <v>52</v>
      </c>
      <c r="H97" s="4">
        <v>46487</v>
      </c>
      <c r="I97" s="4" t="str">
        <f ca="1">IF(
  _xlfn.XLOOKUP($D97 &amp; "-" &amp; H$2, 'TrainingReq (Ach)'!G:G, 'TrainingReq (Ach)'!F:F, "2-Year") = "Forever",
  "Valid",
  IF(H97="", "Not Trained",
     IF(H97 &lt; TODAY() - 1, "Expired",
        IF(H97 &lt;= TODAY() + 90, "Expiring", "Valid")
     )
  )
)</f>
        <v>Valid</v>
      </c>
      <c r="J97" s="4">
        <v>46506</v>
      </c>
      <c r="K97" s="4" t="str">
        <f ca="1">IF(
  _xlfn.XLOOKUP($D97 &amp; "-" &amp; J$2, 'TrainingReq (Ach)'!G:G, 'TrainingReq (Ach)'!F:F, "2-Year") = "Forever",
  "Valid",
  IF(J97="", "Not Trained",
     IF(J97 &lt; TODAY() - 1, "Expired",
        IF(J97 &lt;= TODAY() + 90, "Expiring", "Valid")
     )
  )
)</f>
        <v>Valid</v>
      </c>
      <c r="L97" s="4">
        <f>Table13[[#This Row],[Mandatory for Supporting]]</f>
        <v>44986</v>
      </c>
      <c r="M97" s="4" t="str">
        <f ca="1">IF(
  _xlfn.XLOOKUP($D97 &amp; "-" &amp; L$2, TrainingMan!$G:$G, TrainingMan!$F:$F, "2-Year") = "Forever",
  "Valid",
  IF(L97="", "Not Trained",
     IF(L97 &lt; TODAY() - 1, "Expired",
        IF(L97 &lt;= TODAY() + 90, "Expiring", "Valid")
     )
  )
)</f>
        <v>Valid</v>
      </c>
      <c r="N97" s="4">
        <v>46679</v>
      </c>
      <c r="O97" s="4"/>
      <c r="P97" s="4">
        <v>46679</v>
      </c>
      <c r="Q97" s="4"/>
      <c r="R97" s="4">
        <v>46679</v>
      </c>
      <c r="S97" s="4"/>
      <c r="T97" s="4">
        <v>46680</v>
      </c>
      <c r="U97" s="4"/>
      <c r="V97" s="4">
        <v>46815</v>
      </c>
      <c r="W97" s="4"/>
      <c r="X97" s="4"/>
      <c r="Y97" s="4"/>
      <c r="Z97" s="4">
        <v>45979</v>
      </c>
      <c r="AA97" s="4"/>
      <c r="AB97" s="4">
        <v>45817</v>
      </c>
      <c r="AC97" s="4"/>
      <c r="AD97" s="4"/>
      <c r="AE97" s="4"/>
      <c r="AF97" s="4"/>
      <c r="AG97" s="4"/>
      <c r="AH97" s="4"/>
      <c r="AI97" s="4"/>
      <c r="AJ97" s="4"/>
      <c r="AN97" s="4"/>
      <c r="AQ97" s="4"/>
      <c r="AR97" s="4"/>
      <c r="AS97" s="4"/>
      <c r="AT97" s="4"/>
      <c r="AU97" s="4"/>
      <c r="BB97" s="4">
        <v>45147</v>
      </c>
      <c r="BC97" s="4"/>
      <c r="BD97" s="4">
        <v>45855</v>
      </c>
      <c r="BE97" s="4"/>
      <c r="BF97" s="4"/>
      <c r="BG97" s="4"/>
      <c r="BH97" s="4"/>
      <c r="BI97" s="4"/>
      <c r="BJ97" s="4"/>
      <c r="BK97" s="4"/>
      <c r="BL97" s="4"/>
      <c r="BM97" s="4"/>
      <c r="BN97" s="4" t="s">
        <v>318</v>
      </c>
      <c r="BO97" s="4"/>
      <c r="BP97" s="4">
        <v>44986</v>
      </c>
      <c r="BQ97">
        <f>COUNTIF('TrainingReq (Ach)'!B:B,Table13[[#This Row],[Job Title]])</f>
        <v>3</v>
      </c>
      <c r="BR97" cm="1">
        <f t="array" aca="1" ref="BR9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97" s="5">
        <f t="shared" ca="1" si="3"/>
        <v>1</v>
      </c>
      <c r="BT97" t="s">
        <v>311</v>
      </c>
      <c r="BU97" t="s">
        <v>247</v>
      </c>
      <c r="BV97" t="s">
        <v>256</v>
      </c>
      <c r="BW97" s="4"/>
      <c r="CD97" s="4"/>
      <c r="CE97" s="4" t="str">
        <f ca="1">IF(
  _xlfn.XLOOKUP($D97 &amp; "-" &amp; CD$2, 'TrainingReq (Ach)'!$G:$G, 'TrainingReq (Ach)'!$F:$F, "2-Year") = "Forever",
  "Valid",
  IF(CD97="", "Not Trained",
     IF(CD97 &lt; TODAY() - 1, "Expired",
        IF(CD97 &lt;= TODAY() + 90, "Expiring", "Valid")
     )
  )
)</f>
        <v>Not Trained</v>
      </c>
      <c r="CF97" t="s">
        <v>250</v>
      </c>
      <c r="CG97" s="4"/>
      <c r="CH97" s="4" t="str">
        <f ca="1">IF(
  _xlfn.XLOOKUP($D96 &amp; "-" &amp; CG$2, 'TrainingReq (Ach)'!$G:$G, 'TrainingReq (Ach)'!$F:$F, "2-Year") = "Forever",
  "Valid",
  IF(CG96="", "Not Trained",
     IF(CG96 &lt; TODAY() - 1, "Expired",
        IF(CG96 &lt;= TODAY() + 90, "Expiring", "Valid")
     )
  )
)</f>
        <v>Not Trained</v>
      </c>
      <c r="CI97" t="str">
        <f t="shared" si="4"/>
        <v>Not eligible</v>
      </c>
      <c r="CJ97" t="str">
        <f t="shared" si="5"/>
        <v>Not eligible</v>
      </c>
    </row>
    <row r="98" spans="1:88" x14ac:dyDescent="0.25">
      <c r="A98">
        <v>96</v>
      </c>
      <c r="B98">
        <v>783024</v>
      </c>
      <c r="C98" t="s">
        <v>533</v>
      </c>
      <c r="D98" t="s">
        <v>23</v>
      </c>
      <c r="E98" t="s">
        <v>303</v>
      </c>
      <c r="F98" t="s">
        <v>474</v>
      </c>
      <c r="G98" t="s">
        <v>50</v>
      </c>
      <c r="H98" s="4">
        <v>46697</v>
      </c>
      <c r="I98" s="4" t="str">
        <f ca="1">IF(
  _xlfn.XLOOKUP($D98 &amp; "-" &amp; H$2, 'TrainingReq (Ach)'!G:G, 'TrainingReq (Ach)'!F:F, "2-Year") = "Forever",
  "Valid",
  IF(H98="", "Not Trained",
     IF(H98 &lt; TODAY() - 1, "Expired",
        IF(H98 &lt;= TODAY() + 90, "Expiring", "Valid")
     )
  )
)</f>
        <v>Valid</v>
      </c>
      <c r="J98" s="4">
        <v>46655</v>
      </c>
      <c r="K98" s="4" t="str">
        <f ca="1">IF(
  _xlfn.XLOOKUP($D98 &amp; "-" &amp; J$2, 'TrainingReq (Ach)'!G:G, 'TrainingReq (Ach)'!F:F, "2-Year") = "Forever",
  "Valid",
  IF(J98="", "Not Trained",
     IF(J98 &lt; TODAY() - 1, "Expired",
        IF(J98 &lt;= TODAY() + 90, "Expiring", "Valid")
     )
  )
)</f>
        <v>Valid</v>
      </c>
      <c r="L98" s="4">
        <f>Table13[[#This Row],[Mandatory for Supporting]]</f>
        <v>45265</v>
      </c>
      <c r="M98" s="4" t="str">
        <f ca="1">IF(
  _xlfn.XLOOKUP($D98 &amp; "-" &amp; L$2, TrainingMan!$G:$G, TrainingMan!$F:$F, "2-Year") = "Forever",
  "Valid",
  IF(L98="", "Not Trained",
     IF(L98 &lt; TODAY() - 1, "Expired",
        IF(L98 &lt;= TODAY() + 90, "Expiring", "Valid")
     )
  )
)</f>
        <v>Valid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>
        <v>46004</v>
      </c>
      <c r="AC98" s="4"/>
      <c r="AD98" s="4"/>
      <c r="AE98" s="4"/>
      <c r="AF98" s="4"/>
      <c r="AG98" s="4"/>
      <c r="AH98" s="4"/>
      <c r="AI98" s="4"/>
      <c r="AJ98" s="4"/>
      <c r="AN98" s="4"/>
      <c r="AQ98" s="4"/>
      <c r="AR98" s="4"/>
      <c r="AS98" s="4"/>
      <c r="AT98" s="4"/>
      <c r="AU98" s="4"/>
      <c r="BB98" s="4">
        <v>45866</v>
      </c>
      <c r="BC98" s="4"/>
      <c r="BD98" s="4" t="s">
        <v>313</v>
      </c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>
        <v>45265</v>
      </c>
      <c r="BQ98">
        <f>COUNTIF('TrainingReq (Ach)'!B:B,Table13[[#This Row],[Job Title]])</f>
        <v>3</v>
      </c>
      <c r="BR98" cm="1">
        <f t="array" aca="1" ref="BR9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98" s="5">
        <f t="shared" ca="1" si="3"/>
        <v>1</v>
      </c>
      <c r="BT98" t="s">
        <v>314</v>
      </c>
      <c r="BU98" t="s">
        <v>247</v>
      </c>
      <c r="BW98" s="4"/>
      <c r="CD98" s="4"/>
      <c r="CE98" s="4" t="str">
        <f ca="1">IF(
  _xlfn.XLOOKUP($D98 &amp; "-" &amp; CD$2, 'TrainingReq (Ach)'!$G:$G, 'TrainingReq (Ach)'!$F:$F, "2-Year") = "Forever",
  "Valid",
  IF(CD98="", "Not Trained",
     IF(CD98 &lt; TODAY() - 1, "Expired",
        IF(CD98 &lt;= TODAY() + 90, "Expiring", "Valid")
     )
  )
)</f>
        <v>Not Trained</v>
      </c>
      <c r="CF98" t="s">
        <v>250</v>
      </c>
      <c r="CG98" s="4"/>
      <c r="CH98" s="4" t="str">
        <f ca="1">IF(
  _xlfn.XLOOKUP($D97 &amp; "-" &amp; CG$2, 'TrainingReq (Ach)'!$G:$G, 'TrainingReq (Ach)'!$F:$F, "2-Year") = "Forever",
  "Valid",
  IF(CG97="", "Not Trained",
     IF(CG97 &lt; TODAY() - 1, "Expired",
        IF(CG97 &lt;= TODAY() + 90, "Expiring", "Valid")
     )
  )
)</f>
        <v>Not Trained</v>
      </c>
      <c r="CI98" t="str">
        <f t="shared" si="4"/>
        <v>Not eligible</v>
      </c>
      <c r="CJ98" t="str">
        <f t="shared" si="5"/>
        <v>Not eligible</v>
      </c>
    </row>
    <row r="99" spans="1:88" x14ac:dyDescent="0.25">
      <c r="A99">
        <v>97</v>
      </c>
      <c r="B99">
        <v>783554</v>
      </c>
      <c r="C99" t="s">
        <v>534</v>
      </c>
      <c r="D99" t="s">
        <v>6</v>
      </c>
      <c r="E99" t="s">
        <v>243</v>
      </c>
      <c r="F99" t="s">
        <v>474</v>
      </c>
      <c r="G99" t="s">
        <v>52</v>
      </c>
      <c r="H99" s="4">
        <v>46675</v>
      </c>
      <c r="I99" s="4" t="str">
        <f ca="1">IF(
  _xlfn.XLOOKUP($D99 &amp; "-" &amp; H$2, '[1]TrainingReq (Ach)'!G:G, '[1]TrainingReq (Ach)'!F:F, "2-Year") = "Forever",
  "Valid",
  IF(H99="", "Not Trained",
     IF(H99 &lt; TODAY() - 1, "Expired",
        IF(H99 &lt;= TODAY() + 90, "Expiring", "Valid")
     )
  )
)</f>
        <v>Valid</v>
      </c>
      <c r="J99" s="4">
        <v>46675</v>
      </c>
      <c r="K99" s="4" t="str">
        <f ca="1">IF(
  _xlfn.XLOOKUP($D99 &amp; "-" &amp; J$2, '[1]TrainingReq (Ach)'!G:G, '[1]TrainingReq (Ach)'!F:F, "2-Year") = "Forever",
  "Valid",
  IF(J99="", "Not Trained",
     IF(J99 &lt; TODAY() - 1, "Expired",
        IF(J99 &lt;= TODAY() + 90, "Expiring", "Valid")
     )
  )
)</f>
        <v>Valid</v>
      </c>
      <c r="L99" s="4">
        <v>46900</v>
      </c>
      <c r="M99" s="4" t="str">
        <f ca="1">IF(
  _xlfn.XLOOKUP($D99 &amp; "-" &amp; L$2, [1]TrainingMan!$G:$G, [1]TrainingMan!$F:$F, "2-Year") = "Forever",
  "Valid",
  IF(L99="", "Not Trained",
     IF(L99 &lt; TODAY() - 1, "Expired",
        IF(L99 &lt;= TODAY() + 90, "Expiring", "Valid")
     )
  )
)</f>
        <v>Valid</v>
      </c>
      <c r="N99" s="4">
        <v>46674</v>
      </c>
      <c r="O99" s="4" t="str">
        <f ca="1">IF(
  _xlfn.XLOOKUP($D99 &amp; "-" &amp; N$2, [1]TrainingMan!$G:$G, [1]TrainingMan!$F:$F, "2-Year") = "Forever",
  "Valid",
  IF(N99="", "Not Trained",
     IF(N99 &lt; TODAY() - 1, "Expired",
        IF(N99 &lt;= TODAY() + 90, "Expiring", "Valid")
     )
  )
)</f>
        <v>Valid</v>
      </c>
      <c r="P99" s="4">
        <v>46390</v>
      </c>
      <c r="Q99" s="4" t="str">
        <f ca="1">IF(
  _xlfn.XLOOKUP($D99 &amp; "-" &amp; P$2, [1]TrainingMan!$G:$G, [1]TrainingMan!$F:$F, "2-Year") = "Forever",
  "Valid",
  IF(P99="", "Not Trained",
     IF(P99 &lt; TODAY() - 1, "Expired",
        IF(P99 &lt;= TODAY() + 90, "Expiring", "Valid")
     )
  )
)</f>
        <v>Valid</v>
      </c>
      <c r="R99" s="4">
        <v>46900</v>
      </c>
      <c r="S99" s="4" t="str">
        <f ca="1">IF(
  _xlfn.XLOOKUP($D99 &amp; "-" &amp; R$2, [1]TrainingMan!$G:$G, [1]TrainingMan!$F:$F, "2-Year") = "Forever",
  "Valid",
  IF(R99="", "Not Trained",
     IF(R99 &lt; TODAY() - 1, "Expired",
        IF(R99 &lt;= TODAY() + 90, "Expiring", "Valid")
     )
  )
)</f>
        <v>Valid</v>
      </c>
      <c r="T99" s="4">
        <v>46920</v>
      </c>
      <c r="U99" s="4" t="str">
        <f ca="1">IF(
  _xlfn.XLOOKUP($D99 &amp; "-" &amp; T$2, [1]TrainingMan!$G:$G, [1]TrainingMan!$F:$F, "2-Year") = "Forever",
  "Valid",
  IF(T99="", "Not Trained",
     IF(T99 &lt; TODAY() - 1, "Expired",
        IF(T99 &lt;= TODAY() + 90, "Expiring", "Valid")
     )
  )
)</f>
        <v>Valid</v>
      </c>
      <c r="V99" s="4">
        <v>46310</v>
      </c>
      <c r="W99" s="4" t="str">
        <f ca="1">IF(
  _xlfn.XLOOKUP($D99 &amp; "-" &amp; V$2, [1]TrainingMan!$G:$G, [1]TrainingMan!$F:$F, "2-Year") = "Forever",
  "Valid",
  IF(V99="", "Not Trained",
     IF(V99 &lt; TODAY() - 1, "Expired",
        IF(V99 &lt;= TODAY() + 90, "Expiring", "Valid")
     )
  )
)</f>
        <v>Expiring</v>
      </c>
      <c r="X99" s="4">
        <v>46674</v>
      </c>
      <c r="Y99" s="4" t="str">
        <f ca="1">IF(
  _xlfn.XLOOKUP($D99 &amp; "-" &amp; X$2, [1]TrainingMan!$G:$G, [1]TrainingMan!$F:$F, "2-Year") = "Forever",
  "Valid",
  IF(X99="", "Not Trained",
     IF(X99 &lt; TODAY() - 1, "Expired",
        IF(X99 &lt;= TODAY() + 90, "Expiring", "Valid")
     )
  )
)</f>
        <v>Valid</v>
      </c>
      <c r="Z99" s="4">
        <v>44847</v>
      </c>
      <c r="AA99" s="4" t="str">
        <f ca="1">IF(LEN(TRIM(Z99)) = 0, "Not Trained",
  IF(_xlfn.XLOOKUP($D99 &amp; "-" &amp; Z$2, [1]TrainingMan!$G:$G, [1]TrainingMan!$F:$F, "2-Year") = "Forever", "Valid",
    IF(Z99 &lt; TODAY() - 1, "Expired",
      IF(Z99 &lt;= TODAY() + 90, "Expiring", "Valid")
    )
  )
)</f>
        <v>Valid</v>
      </c>
      <c r="AB99" s="4">
        <v>43805</v>
      </c>
      <c r="AC99" s="4">
        <v>45144</v>
      </c>
      <c r="AD99" s="4">
        <v>44836</v>
      </c>
      <c r="AE99" s="4"/>
      <c r="AF99" s="4">
        <v>45906</v>
      </c>
      <c r="AG99" s="4">
        <v>45104</v>
      </c>
      <c r="AH99" s="4"/>
      <c r="AI99" s="4"/>
      <c r="AJ99" s="4"/>
      <c r="AN99" s="4"/>
      <c r="AQ99" s="4"/>
      <c r="AR99" s="4"/>
      <c r="AS99" s="4"/>
      <c r="AT99" s="4"/>
      <c r="AU99" s="4"/>
      <c r="BB99" s="4"/>
      <c r="BC99" s="4"/>
      <c r="BD99" s="4" t="s">
        <v>456</v>
      </c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>
        <f>COUNTIF('TrainingReq (Ach)'!B:B,Table13[[#This Row],[Job Title]])</f>
        <v>15</v>
      </c>
      <c r="BR99" cm="1">
        <f t="array" aca="1" ref="BR9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99" s="5">
        <f t="shared" ca="1" si="3"/>
        <v>0.93333333333333335</v>
      </c>
      <c r="BT99" t="s">
        <v>348</v>
      </c>
      <c r="BU99" t="s">
        <v>247</v>
      </c>
      <c r="BV99" t="s">
        <v>256</v>
      </c>
      <c r="BW99" s="4"/>
      <c r="BZ99" t="s">
        <v>535</v>
      </c>
      <c r="CD99" s="4">
        <v>46115</v>
      </c>
      <c r="CE99" s="4" t="str">
        <f ca="1">IF(
  _xlfn.XLOOKUP($D99 &amp; "-" &amp; CD$2, 'TrainingReq (Ach)'!$G:$G, 'TrainingReq (Ach)'!$F:$F, "2-Year") = "Forever",
  "Valid",
  IF(CD99="", "Not Trained",
     IF(CD99 &lt; TODAY() - 1, "Expired",
        IF(CD99 &lt;= TODAY() + 90, "Expiring", "Valid")
     )
  )
)</f>
        <v>Expired</v>
      </c>
      <c r="CF99" t="s">
        <v>250</v>
      </c>
      <c r="CG99" s="6"/>
      <c r="CH99" s="4" t="str">
        <f ca="1">IF(
  _xlfn.XLOOKUP($D98 &amp; "-" &amp; CG$2, 'TrainingReq (Ach)'!$G:$G, 'TrainingReq (Ach)'!$F:$F, "2-Year") = "Forever",
  "Valid",
  IF(CG98="", "Not Trained",
     IF(CG98 &lt; TODAY() - 1, "Expired",
        IF(CG98 &lt;= TODAY() + 90, "Expiring", "Valid")
     )
  )
)</f>
        <v>Not Trained</v>
      </c>
      <c r="CI99" t="str">
        <f t="shared" si="4"/>
        <v>Not eligible</v>
      </c>
      <c r="CJ99" t="str">
        <f t="shared" si="5"/>
        <v>Not eligible</v>
      </c>
    </row>
    <row r="100" spans="1:88" x14ac:dyDescent="0.25">
      <c r="A100">
        <v>98</v>
      </c>
      <c r="B100">
        <v>580792</v>
      </c>
      <c r="C100" t="s">
        <v>536</v>
      </c>
      <c r="D100" t="s">
        <v>7</v>
      </c>
      <c r="E100" t="s">
        <v>303</v>
      </c>
      <c r="F100" t="s">
        <v>537</v>
      </c>
      <c r="G100" t="s">
        <v>53</v>
      </c>
      <c r="H100" s="4">
        <v>46879</v>
      </c>
      <c r="I100" s="4" t="str">
        <f ca="1">IF(
  _xlfn.XLOOKUP($D100 &amp; "-" &amp; H$2, 'TrainingReq (Ach)'!G:G, 'TrainingReq (Ach)'!F:F, "2-Year") = "Forever",
  "Valid",
  IF(H100="", "Not Trained",
     IF(H100 &lt; TODAY() - 1, "Expired",
        IF(H100 &lt;= TODAY() + 90, "Expiring", "Valid")
     )
  )
)</f>
        <v>Valid</v>
      </c>
      <c r="J100" s="4">
        <v>46879</v>
      </c>
      <c r="K100" s="4" t="str">
        <f ca="1">IF(
  _xlfn.XLOOKUP($D100 &amp; "-" &amp; J$2, 'TrainingReq (Ach)'!G:G, 'TrainingReq (Ach)'!F:F, "2-Year") = "Forever",
  "Valid",
  IF(J100="", "Not Trained",
     IF(J100 &lt; TODAY() - 1, "Expired",
        IF(J100 &lt;= TODAY() + 90, "Expiring", "Valid")
     )
  )
)</f>
        <v>Valid</v>
      </c>
      <c r="L100" s="4">
        <v>46597</v>
      </c>
      <c r="M100" s="4" t="str">
        <f ca="1">IF(
  _xlfn.XLOOKUP($D100 &amp; "-" &amp; L$2, TrainingMan!$G:$G, TrainingMan!$F:$F, "2-Year") = "Forever",
  "Valid",
  IF(L100="", "Not Trained",
     IF(L100 &lt; TODAY() - 1, "Expired",
        IF(L100 &lt;= TODAY() + 90, "Expiring", "Valid")
     )
  )
)</f>
        <v>Valid</v>
      </c>
      <c r="N100" s="4">
        <v>46601</v>
      </c>
      <c r="O100" s="4" t="str">
        <f ca="1">IF(
  _xlfn.XLOOKUP($D100 &amp; "-" &amp; N$2, TrainingMan!$G:$G, TrainingMan!$F:$F, "2-Year") = "Forever",
  "Valid",
  IF(N100="", "Not Trained",
     IF(N100 &lt; TODAY() - 1, "Expired",
        IF(N100 &lt;= TODAY() + 90, "Expiring", "Valid")
     )
  )
)</f>
        <v>Valid</v>
      </c>
      <c r="P100" s="4">
        <v>46601</v>
      </c>
      <c r="Q100" s="4" t="str">
        <f ca="1">IF(
  _xlfn.XLOOKUP($D100 &amp; "-" &amp; P$2, TrainingMan!$G:$G, TrainingMan!$F:$F, "2-Year") = "Forever",
  "Valid",
  IF(P100="", "Not Trained",
     IF(P100 &lt; TODAY() - 1, "Expired",
        IF(P100 &lt;= TODAY() + 90, "Expiring", "Valid")
     )
  )
)</f>
        <v>Valid</v>
      </c>
      <c r="R100" s="4">
        <v>46605</v>
      </c>
      <c r="S100" s="4" t="str">
        <f ca="1">IF(
  _xlfn.XLOOKUP($D100 &amp; "-" &amp; R$2, TrainingMan!$G:$G, TrainingMan!$F:$F, "2-Year") = "Forever",
  "Valid",
  IF(R100="", "Not Trained",
     IF(R100 &lt; TODAY() - 1, "Expired",
        IF(R100 &lt;= TODAY() + 90, "Expiring", "Valid")
     )
  )
)</f>
        <v>Valid</v>
      </c>
      <c r="T100" s="4">
        <v>46601</v>
      </c>
      <c r="U100" s="4" t="str">
        <f ca="1">IF(
  _xlfn.XLOOKUP($D100 &amp; "-" &amp; T$2, TrainingMan!$G:$G, TrainingMan!$F:$F, "2-Year") = "Forever",
  "Valid",
  IF(T100="", "Not Trained",
     IF(T100 &lt; TODAY() - 1, "Expired",
        IF(T100 &lt;= TODAY() + 90, "Expiring", "Valid")
     )
  )
)</f>
        <v>Valid</v>
      </c>
      <c r="V100" s="4">
        <v>46601</v>
      </c>
      <c r="W100" s="4" t="str">
        <f ca="1">IF(
  _xlfn.XLOOKUP($D100 &amp; "-" &amp; V$2, TrainingMan!$G:$G, TrainingMan!$F:$F, "2-Year") = "Forever",
  "Valid",
  IF(V100="", "Not Trained",
     IF(V100 &lt; TODAY() - 1, "Expired",
        IF(V100 &lt;= TODAY() + 90, "Expiring", "Valid")
     )
  )
)</f>
        <v>Valid</v>
      </c>
      <c r="X100" s="4">
        <v>46601</v>
      </c>
      <c r="Y100" s="4" t="str">
        <f ca="1">IF(
  _xlfn.XLOOKUP($D100 &amp; "-" &amp; X$2, TrainingMan!$G:$G, TrainingMan!$F:$F, "2-Year") = "Forever",
  "Valid",
  IF(X100="", "Not Trained",
     IF(X100 &lt; TODAY() - 1, "Expired",
        IF(X100 &lt;= TODAY() + 90, "Expiring", "Valid")
     )
  )
)</f>
        <v>Valid</v>
      </c>
      <c r="Z100" s="4">
        <v>45002</v>
      </c>
      <c r="AA100" s="4" t="str">
        <f ca="1">IF(LEN(TRIM(Z100)) = 0, "Not Trained",
  IF(_xlfn.XLOOKUP($D100 &amp; "-" &amp; Z$2, TrainingMan!$G:$G, TrainingMan!$F:$F, "2-Year") = "Forever", "Valid",
    IF(Z100 &lt; TODAY() - 1, "Expired",
      IF(Z100 &lt;= TODAY() + 90, "Expiring", "Valid")
    )
  )
)</f>
        <v>Valid</v>
      </c>
      <c r="AB100" s="4">
        <v>43238</v>
      </c>
      <c r="AC100" s="4"/>
      <c r="AD100" s="4"/>
      <c r="AE100" s="4"/>
      <c r="AF100" s="4">
        <v>45525</v>
      </c>
      <c r="AG100" s="4"/>
      <c r="AH100" s="4"/>
      <c r="AI100" s="4"/>
      <c r="AJ100" s="4"/>
      <c r="AN100" s="4"/>
      <c r="AQ100" s="4"/>
      <c r="AR100" s="4"/>
      <c r="AS100" s="4"/>
      <c r="AT100" s="4"/>
      <c r="AU100" s="4"/>
      <c r="BB100" s="4">
        <v>45266</v>
      </c>
      <c r="BC100" s="4"/>
      <c r="BD100" s="4" t="s">
        <v>294</v>
      </c>
      <c r="BE100" s="4">
        <v>41513</v>
      </c>
      <c r="BF100" s="4"/>
      <c r="BG100" s="4"/>
      <c r="BH100" s="4"/>
      <c r="BI100" s="4"/>
      <c r="BJ100" s="4"/>
      <c r="BK100" s="4"/>
      <c r="BL100" s="4"/>
      <c r="BM100" s="4" t="s">
        <v>538</v>
      </c>
      <c r="BN100" s="4"/>
      <c r="BO100" s="4"/>
      <c r="BP100" s="4"/>
      <c r="BQ100">
        <f>COUNTIF('TrainingReq (Ach)'!B:B,Table13[[#This Row],[Job Title]])</f>
        <v>12</v>
      </c>
      <c r="BR100" cm="1">
        <f t="array" aca="1" ref="BR10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00" s="5">
        <f t="shared" ca="1" si="3"/>
        <v>1</v>
      </c>
      <c r="BT100" t="s">
        <v>246</v>
      </c>
      <c r="BU100" t="s">
        <v>247</v>
      </c>
      <c r="BW100" s="4"/>
      <c r="CC100" t="s">
        <v>539</v>
      </c>
      <c r="CD100" s="4"/>
      <c r="CE100" s="4" t="str">
        <f ca="1">IF(
  _xlfn.XLOOKUP($D100 &amp; "-" &amp; CD$2, 'TrainingReq (Ach)'!$G:$G, 'TrainingReq (Ach)'!$F:$F, "2-Year") = "Forever",
  "Valid",
  IF(CD100="", "Not Trained",
     IF(CD100 &lt; TODAY() - 1, "Expired",
        IF(CD100 &lt;= TODAY() + 90, "Expiring", "Valid")
     )
  )
)</f>
        <v>Not Trained</v>
      </c>
      <c r="CF100" t="s">
        <v>250</v>
      </c>
      <c r="CG100" s="4">
        <v>54950</v>
      </c>
      <c r="CH100" s="4" t="str">
        <f ca="1">IF(
  _xlfn.XLOOKUP($D99 &amp; "-" &amp; CG$2, 'TrainingReq (Ach)'!$G:$G, 'TrainingReq (Ach)'!$F:$F, "2-Year") = "Forever",
  "Valid",
  IF(CG99="", "Not Trained",
     IF(CG99 &lt; TODAY() - 1, "Expired",
        IF(CG99 &lt;= TODAY() + 90, "Expiring", "Valid")
     )
  )
)</f>
        <v>Not Trained</v>
      </c>
      <c r="CI100" t="str">
        <f t="shared" si="4"/>
        <v>Not eligible</v>
      </c>
      <c r="CJ100" t="str">
        <f t="shared" si="5"/>
        <v>Not eligible</v>
      </c>
    </row>
    <row r="101" spans="1:88" x14ac:dyDescent="0.25">
      <c r="A101">
        <v>99</v>
      </c>
      <c r="B101">
        <v>580807</v>
      </c>
      <c r="C101" t="s">
        <v>540</v>
      </c>
      <c r="D101" t="s">
        <v>15</v>
      </c>
      <c r="E101" t="s">
        <v>292</v>
      </c>
      <c r="F101" t="s">
        <v>537</v>
      </c>
      <c r="G101" t="s">
        <v>53</v>
      </c>
      <c r="H101" s="4">
        <v>46528</v>
      </c>
      <c r="I101" s="4" t="str">
        <f ca="1">IF(
  _xlfn.XLOOKUP($D101 &amp; "-" &amp; H$2, 'TrainingReq (Ach)'!G:G, 'TrainingReq (Ach)'!F:F, "2-Year") = "Forever",
  "Valid",
  IF(H101="", "Not Trained",
     IF(H101 &lt; TODAY() - 1, "Expired",
        IF(H101 &lt;= TODAY() + 90, "Expiring", "Valid")
     )
  )
)</f>
        <v>Valid</v>
      </c>
      <c r="J101" s="4">
        <v>46528</v>
      </c>
      <c r="K101" s="4" t="str">
        <f ca="1">IF(
  _xlfn.XLOOKUP($D101 &amp; "-" &amp; J$2, 'TrainingReq (Ach)'!G:G, 'TrainingReq (Ach)'!F:F, "2-Year") = "Forever",
  "Valid",
  IF(J101="", "Not Trained",
     IF(J101 &lt; TODAY() - 1, "Expired",
        IF(J101 &lt;= TODAY() + 90, "Expiring", "Valid")
     )
  )
)</f>
        <v>Valid</v>
      </c>
      <c r="L101" s="4">
        <v>46949</v>
      </c>
      <c r="M101" s="4" t="str">
        <f ca="1">IF(
  _xlfn.XLOOKUP($D101 &amp; "-" &amp; L$2, TrainingMan!$G:$G, TrainingMan!$F:$F, "2-Year") = "Forever",
  "Valid",
  IF(L101="", "Not Trained",
     IF(L101 &lt; TODAY() - 1, "Expired",
        IF(L101 &lt;= TODAY() + 90, "Expiring", "Valid")
     )
  )
)</f>
        <v>Valid</v>
      </c>
      <c r="N101" s="4">
        <v>46949</v>
      </c>
      <c r="O101" s="4" t="str">
        <f ca="1">IF(
  _xlfn.XLOOKUP($D101 &amp; "-" &amp; N$2, TrainingMan!$G:$G, TrainingMan!$F:$F, "2-Year") = "Forever",
  "Valid",
  IF(N101="", "Not Trained",
     IF(N101 &lt; TODAY() - 1, "Expired",
        IF(N101 &lt;= TODAY() + 90, "Expiring", "Valid")
     )
  )
)</f>
        <v>Valid</v>
      </c>
      <c r="P101" s="4">
        <v>46949</v>
      </c>
      <c r="Q101" s="4" t="str">
        <f ca="1">IF(
  _xlfn.XLOOKUP($D101 &amp; "-" &amp; P$2, TrainingMan!$G:$G, TrainingMan!$F:$F, "2-Year") = "Forever",
  "Valid",
  IF(P101="", "Not Trained",
     IF(P101 &lt; TODAY() - 1, "Expired",
        IF(P101 &lt;= TODAY() + 90, "Expiring", "Valid")
     )
  )
)</f>
        <v>Valid</v>
      </c>
      <c r="R101" s="4">
        <v>46949</v>
      </c>
      <c r="S101" s="4" t="str">
        <f ca="1">IF(
  _xlfn.XLOOKUP($D101 &amp; "-" &amp; R$2, TrainingMan!$G:$G, TrainingMan!$F:$F, "2-Year") = "Forever",
  "Valid",
  IF(R101="", "Not Trained",
     IF(R101 &lt; TODAY() - 1, "Expired",
        IF(R101 &lt;= TODAY() + 90, "Expiring", "Valid")
     )
  )
)</f>
        <v>Valid</v>
      </c>
      <c r="T101" s="4">
        <v>46949</v>
      </c>
      <c r="U101" s="4" t="str">
        <f ca="1">IF(
  _xlfn.XLOOKUP($D101 &amp; "-" &amp; T$2, TrainingMan!$G:$G, TrainingMan!$F:$F, "2-Year") = "Forever",
  "Valid",
  IF(T101="", "Not Trained",
     IF(T101 &lt; TODAY() - 1, "Expired",
        IF(T101 &lt;= TODAY() + 90, "Expiring", "Valid")
     )
  )
)</f>
        <v>Valid</v>
      </c>
      <c r="V101" s="4">
        <v>46949</v>
      </c>
      <c r="W101" s="4" t="str">
        <f ca="1">IF(
  _xlfn.XLOOKUP($D101 &amp; "-" &amp; V$2, TrainingMan!$G:$G, TrainingMan!$F:$F, "2-Year") = "Forever",
  "Valid",
  IF(V101="", "Not Trained",
     IF(V101 &lt; TODAY() - 1, "Expired",
        IF(V101 &lt;= TODAY() + 90, "Expiring", "Valid")
     )
  )
)</f>
        <v>Valid</v>
      </c>
      <c r="X101" s="4">
        <v>46633</v>
      </c>
      <c r="Y101" s="4" t="str">
        <f ca="1">IF(
  _xlfn.XLOOKUP($D101 &amp; "-" &amp; X$2, TrainingMan!$G:$G, TrainingMan!$F:$F, "2-Year") = "Forever",
  "Valid",
  IF(X101="", "Not Trained",
     IF(X101 &lt; TODAY() - 1, "Expired",
        IF(X101 &lt;= TODAY() + 90, "Expiring", "Valid")
     )
  )
)</f>
        <v>Valid</v>
      </c>
      <c r="Z101" s="4">
        <v>45070</v>
      </c>
      <c r="AA101" s="4" t="str">
        <f ca="1">IF(LEN(TRIM(Z101)) = 0, "Not Trained",
  IF(_xlfn.XLOOKUP($D101 &amp; "-" &amp; Z$2, TrainingMan!$G:$G, TrainingMan!$F:$F, "2-Year") = "Forever", "Valid",
    IF(Z101 &lt; TODAY() - 1, "Expired",
      IF(Z101 &lt;= TODAY() + 90, "Expiring", "Valid")
    )
  )
)</f>
        <v>Valid</v>
      </c>
      <c r="AB101" s="4">
        <v>45164</v>
      </c>
      <c r="AC101" s="4">
        <v>46261</v>
      </c>
      <c r="AD101" s="4">
        <v>44909</v>
      </c>
      <c r="AE101" s="4"/>
      <c r="AF101" s="4">
        <v>45924</v>
      </c>
      <c r="AG101" s="4"/>
      <c r="AH101" s="4"/>
      <c r="AI101" s="4"/>
      <c r="AJ101" s="4"/>
      <c r="AN101" s="4"/>
      <c r="AQ101" s="4"/>
      <c r="AR101" s="4"/>
      <c r="AS101" s="4"/>
      <c r="AT101" s="4"/>
      <c r="AU101" s="4"/>
      <c r="BB101" s="4">
        <v>45829</v>
      </c>
      <c r="BC101" s="4" t="s">
        <v>541</v>
      </c>
      <c r="BD101" s="4" t="s">
        <v>294</v>
      </c>
      <c r="BE101" s="4">
        <v>41513</v>
      </c>
      <c r="BF101" s="4"/>
      <c r="BG101" s="4"/>
      <c r="BH101" s="4"/>
      <c r="BI101" s="4">
        <v>44725</v>
      </c>
      <c r="BJ101" s="4" t="s">
        <v>144</v>
      </c>
      <c r="BK101" s="4" t="s">
        <v>152</v>
      </c>
      <c r="BL101" s="4"/>
      <c r="BM101" s="4"/>
      <c r="BN101" s="4"/>
      <c r="BO101" s="4"/>
      <c r="BP101" s="4"/>
      <c r="BQ101">
        <f>COUNTIF('TrainingReq (Ach)'!B:B,Table13[[#This Row],[Job Title]])</f>
        <v>13</v>
      </c>
      <c r="BR101" cm="1">
        <f t="array" aca="1" ref="BR10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1" s="5">
        <f t="shared" ca="1" si="3"/>
        <v>1</v>
      </c>
      <c r="BT101" t="s">
        <v>246</v>
      </c>
      <c r="BU101" t="s">
        <v>247</v>
      </c>
      <c r="BV101" t="s">
        <v>256</v>
      </c>
      <c r="BW101" s="4" t="s">
        <v>144</v>
      </c>
      <c r="BZ101" t="s">
        <v>542</v>
      </c>
      <c r="CC101" t="s">
        <v>543</v>
      </c>
      <c r="CD101" s="4">
        <v>46540</v>
      </c>
      <c r="CE101" s="4" t="str">
        <f ca="1">IF(
  _xlfn.XLOOKUP($D101 &amp; "-" &amp; CD$2, 'TrainingReq (Ach)'!$G:$G, 'TrainingReq (Ach)'!$F:$F, "2-Year") = "Forever",
  "Valid",
  IF(CD101="", "Not Trained",
     IF(CD101 &lt; TODAY() - 1, "Expired",
        IF(CD101 &lt;= TODAY() + 90, "Expiring", "Valid")
     )
  )
)</f>
        <v>Valid</v>
      </c>
      <c r="CF101" t="s">
        <v>250</v>
      </c>
      <c r="CG101" s="4">
        <v>54497</v>
      </c>
      <c r="CH101" s="4" t="str">
        <f ca="1">IF(
  _xlfn.XLOOKUP($D100 &amp; "-" &amp; CG$2, 'TrainingReq (Ach)'!$G:$G, 'TrainingReq (Ach)'!$F:$F, "2-Year") = "Forever",
  "Valid",
  IF(CG100="", "Not Trained",
     IF(CG100 &lt; TODAY() - 1, "Expired",
        IF(CG100 &lt;= TODAY() + 90, "Expiring", "Valid")
     )
  )
)</f>
        <v>Valid</v>
      </c>
      <c r="CI101" t="str">
        <f t="shared" si="4"/>
        <v>Eligible</v>
      </c>
      <c r="CJ101" t="str">
        <f t="shared" si="5"/>
        <v>Not eligible</v>
      </c>
    </row>
    <row r="102" spans="1:88" x14ac:dyDescent="0.25">
      <c r="A102">
        <v>100</v>
      </c>
      <c r="B102">
        <v>581479</v>
      </c>
      <c r="C102" t="s">
        <v>72</v>
      </c>
      <c r="D102" t="s">
        <v>15</v>
      </c>
      <c r="E102" t="s">
        <v>292</v>
      </c>
      <c r="F102" t="s">
        <v>537</v>
      </c>
      <c r="G102" t="s">
        <v>53</v>
      </c>
      <c r="H102" s="4">
        <v>46491</v>
      </c>
      <c r="I102" s="4" t="str">
        <f ca="1">IF(
  _xlfn.XLOOKUP($D102 &amp; "-" &amp; H$2, 'TrainingReq (Ach)'!G:G, 'TrainingReq (Ach)'!F:F, "2-Year") = "Forever",
  "Valid",
  IF(H102="", "Not Trained",
     IF(H102 &lt; TODAY() - 1, "Expired",
        IF(H102 &lt;= TODAY() + 90, "Expiring", "Valid")
     )
  )
)</f>
        <v>Valid</v>
      </c>
      <c r="J102" s="4">
        <v>46491</v>
      </c>
      <c r="K102" s="4" t="str">
        <f ca="1">IF(
  _xlfn.XLOOKUP($D102 &amp; "-" &amp; J$2, 'TrainingReq (Ach)'!G:G, 'TrainingReq (Ach)'!F:F, "2-Year") = "Forever",
  "Valid",
  IF(J102="", "Not Trained",
     IF(J102 &lt; TODAY() - 1, "Expired",
        IF(J102 &lt;= TODAY() + 90, "Expiring", "Valid")
     )
  )
)</f>
        <v>Valid</v>
      </c>
      <c r="L102" s="4">
        <v>46651</v>
      </c>
      <c r="M102" s="4" t="str">
        <f ca="1">IF(
  _xlfn.XLOOKUP($D102 &amp; "-" &amp; L$2, TrainingMan!$G:$G, TrainingMan!$F:$F, "2-Year") = "Forever",
  "Valid",
  IF(L102="", "Not Trained",
     IF(L102 &lt; TODAY() - 1, "Expired",
        IF(L102 &lt;= TODAY() + 90, "Expiring", "Valid")
     )
  )
)</f>
        <v>Valid</v>
      </c>
      <c r="N102" s="4">
        <v>46651</v>
      </c>
      <c r="O102" s="4" t="str">
        <f ca="1">IF(
  _xlfn.XLOOKUP($D102 &amp; "-" &amp; N$2, TrainingMan!$G:$G, TrainingMan!$F:$F, "2-Year") = "Forever",
  "Valid",
  IF(N102="", "Not Trained",
     IF(N102 &lt; TODAY() - 1, "Expired",
        IF(N102 &lt;= TODAY() + 90, "Expiring", "Valid")
     )
  )
)</f>
        <v>Valid</v>
      </c>
      <c r="P102" s="4">
        <v>46651</v>
      </c>
      <c r="Q102" s="4" t="str">
        <f ca="1">IF(
  _xlfn.XLOOKUP($D102 &amp; "-" &amp; P$2, TrainingMan!$G:$G, TrainingMan!$F:$F, "2-Year") = "Forever",
  "Valid",
  IF(P102="", "Not Trained",
     IF(P102 &lt; TODAY() - 1, "Expired",
        IF(P102 &lt;= TODAY() + 90, "Expiring", "Valid")
     )
  )
)</f>
        <v>Valid</v>
      </c>
      <c r="R102" s="4">
        <v>46651</v>
      </c>
      <c r="S102" s="4" t="str">
        <f ca="1">IF(
  _xlfn.XLOOKUP($D102 &amp; "-" &amp; R$2, TrainingMan!$G:$G, TrainingMan!$F:$F, "2-Year") = "Forever",
  "Valid",
  IF(R102="", "Not Trained",
     IF(R102 &lt; TODAY() - 1, "Expired",
        IF(R102 &lt;= TODAY() + 90, "Expiring", "Valid")
     )
  )
)</f>
        <v>Valid</v>
      </c>
      <c r="T102" s="4">
        <v>46651</v>
      </c>
      <c r="U102" s="4" t="str">
        <f ca="1">IF(
  _xlfn.XLOOKUP($D102 &amp; "-" &amp; T$2, TrainingMan!$G:$G, TrainingMan!$F:$F, "2-Year") = "Forever",
  "Valid",
  IF(T102="", "Not Trained",
     IF(T102 &lt; TODAY() - 1, "Expired",
        IF(T102 &lt;= TODAY() + 90, "Expiring", "Valid")
     )
  )
)</f>
        <v>Valid</v>
      </c>
      <c r="V102" s="4">
        <v>46651</v>
      </c>
      <c r="W102" s="4" t="str">
        <f ca="1">IF(
  _xlfn.XLOOKUP($D102 &amp; "-" &amp; V$2, TrainingMan!$G:$G, TrainingMan!$F:$F, "2-Year") = "Forever",
  "Valid",
  IF(V102="", "Not Trained",
     IF(V102 &lt; TODAY() - 1, "Expired",
        IF(V102 &lt;= TODAY() + 90, "Expiring", "Valid")
     )
  )
)</f>
        <v>Valid</v>
      </c>
      <c r="X102" s="4">
        <v>46651</v>
      </c>
      <c r="Y102" s="4" t="str">
        <f ca="1">IF(
  _xlfn.XLOOKUP($D102 &amp; "-" &amp; X$2, TrainingMan!$G:$G, TrainingMan!$F:$F, "2-Year") = "Forever",
  "Valid",
  IF(X102="", "Not Trained",
     IF(X102 &lt; TODAY() - 1, "Expired",
        IF(X102 &lt;= TODAY() + 90, "Expiring", "Valid")
     )
  )
)</f>
        <v>Valid</v>
      </c>
      <c r="Z102" s="4">
        <v>45232</v>
      </c>
      <c r="AA102" s="4" t="str">
        <f ca="1">IF(LEN(TRIM(Z102)) = 0, "Not Trained",
  IF(_xlfn.XLOOKUP($D102 &amp; "-" &amp; Z$2, TrainingMan!$G:$G, TrainingMan!$F:$F, "2-Year") = "Forever", "Valid",
    IF(Z102 &lt; TODAY() - 1, "Expired",
      IF(Z102 &lt;= TODAY() + 90, "Expiring", "Valid")
    )
  )
)</f>
        <v>Valid</v>
      </c>
      <c r="AB102" s="4">
        <v>43630</v>
      </c>
      <c r="AC102" s="4">
        <v>46233</v>
      </c>
      <c r="AD102" s="4"/>
      <c r="AE102" s="4"/>
      <c r="AF102" s="4">
        <v>43159</v>
      </c>
      <c r="AG102" s="4"/>
      <c r="AH102" s="4"/>
      <c r="AI102" s="4"/>
      <c r="AJ102" s="4"/>
      <c r="AN102" s="4"/>
      <c r="AQ102" s="4"/>
      <c r="AR102" s="4"/>
      <c r="AS102" s="4"/>
      <c r="AT102" s="4"/>
      <c r="AU102" s="4"/>
      <c r="BB102" s="4">
        <v>45921</v>
      </c>
      <c r="BC102" s="4" t="s">
        <v>502</v>
      </c>
      <c r="BD102" s="4" t="s">
        <v>544</v>
      </c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>
        <f>COUNTIF('TrainingReq (Ach)'!B:B,Table13[[#This Row],[Job Title]])</f>
        <v>13</v>
      </c>
      <c r="BR102" cm="1">
        <f t="array" aca="1" ref="BR10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2" s="5">
        <f t="shared" ca="1" si="3"/>
        <v>1</v>
      </c>
      <c r="BT102" t="s">
        <v>246</v>
      </c>
      <c r="BU102" t="s">
        <v>247</v>
      </c>
      <c r="BW102" s="4"/>
      <c r="CC102" t="s">
        <v>545</v>
      </c>
      <c r="CD102" s="4"/>
      <c r="CE102" s="4" t="str">
        <f ca="1">IF(
  _xlfn.XLOOKUP($D102 &amp; "-" &amp; CD$2, 'TrainingReq (Ach)'!$G:$G, 'TrainingReq (Ach)'!$F:$F, "2-Year") = "Forever",
  "Valid",
  IF(CD102="", "Not Trained",
     IF(CD102 &lt; TODAY() - 1, "Expired",
        IF(CD102 &lt;= TODAY() + 90, "Expiring", "Valid")
     )
  )
)</f>
        <v>Not Trained</v>
      </c>
      <c r="CF102" t="s">
        <v>250</v>
      </c>
      <c r="CG102" s="4">
        <v>51443</v>
      </c>
      <c r="CH102" s="4" t="str">
        <f ca="1">IF(
  _xlfn.XLOOKUP($D101 &amp; "-" &amp; CG$2, 'TrainingReq (Ach)'!$G:$G, 'TrainingReq (Ach)'!$F:$F, "2-Year") = "Forever",
  "Valid",
  IF(CG101="", "Not Trained",
     IF(CG101 &lt; TODAY() - 1, "Expired",
        IF(CG101 &lt;= TODAY() + 90, "Expiring", "Valid")
     )
  )
)</f>
        <v>Valid</v>
      </c>
      <c r="CI102" t="str">
        <f t="shared" si="4"/>
        <v>Not eligible</v>
      </c>
      <c r="CJ102" t="str">
        <f t="shared" si="5"/>
        <v>Not eligible</v>
      </c>
    </row>
    <row r="103" spans="1:88" x14ac:dyDescent="0.25">
      <c r="A103">
        <v>101</v>
      </c>
      <c r="B103">
        <v>581604</v>
      </c>
      <c r="C103" t="s">
        <v>81</v>
      </c>
      <c r="D103" t="s">
        <v>15</v>
      </c>
      <c r="E103" t="s">
        <v>292</v>
      </c>
      <c r="F103" t="s">
        <v>537</v>
      </c>
      <c r="G103" t="s">
        <v>53</v>
      </c>
      <c r="H103" s="4">
        <v>46438</v>
      </c>
      <c r="I103" s="4" t="str">
        <f ca="1">IF(
  _xlfn.XLOOKUP($D103 &amp; "-" &amp; H$2, 'TrainingReq (Ach)'!G:G, 'TrainingReq (Ach)'!F:F, "2-Year") = "Forever",
  "Valid",
  IF(H103="", "Not Trained",
     IF(H103 &lt; TODAY() - 1, "Expired",
        IF(H103 &lt;= TODAY() + 90, "Expiring", "Valid")
     )
  )
)</f>
        <v>Valid</v>
      </c>
      <c r="J103" s="4">
        <v>46438</v>
      </c>
      <c r="K103" s="4" t="str">
        <f ca="1">IF(
  _xlfn.XLOOKUP($D103 &amp; "-" &amp; J$2, 'TrainingReq (Ach)'!G:G, 'TrainingReq (Ach)'!F:F, "2-Year") = "Forever",
  "Valid",
  IF(J103="", "Not Trained",
     IF(J103 &lt; TODAY() - 1, "Expired",
        IF(J103 &lt;= TODAY() + 90, "Expiring", "Valid")
     )
  )
)</f>
        <v>Valid</v>
      </c>
      <c r="L103" s="4">
        <v>46371</v>
      </c>
      <c r="M103" s="4" t="str">
        <f ca="1">IF(
  _xlfn.XLOOKUP($D103 &amp; "-" &amp; L$2, TrainingMan!$G:$G, TrainingMan!$F:$F, "2-Year") = "Forever",
  "Valid",
  IF(L103="", "Not Trained",
     IF(L103 &lt; TODAY() - 1, "Expired",
        IF(L103 &lt;= TODAY() + 90, "Expiring", "Valid")
     )
  )
)</f>
        <v>Valid</v>
      </c>
      <c r="N103" s="4">
        <v>46540</v>
      </c>
      <c r="O103" s="4" t="str">
        <f ca="1">IF(
  _xlfn.XLOOKUP($D103 &amp; "-" &amp; N$2, TrainingMan!$G:$G, TrainingMan!$F:$F, "2-Year") = "Forever",
  "Valid",
  IF(N103="", "Not Trained",
     IF(N103 &lt; TODAY() - 1, "Expired",
        IF(N103 &lt;= TODAY() + 90, "Expiring", "Valid")
     )
  )
)</f>
        <v>Valid</v>
      </c>
      <c r="P103" s="4">
        <v>46371</v>
      </c>
      <c r="Q103" s="4" t="str">
        <f ca="1">IF(
  _xlfn.XLOOKUP($D103 &amp; "-" &amp; P$2, TrainingMan!$G:$G, TrainingMan!$F:$F, "2-Year") = "Forever",
  "Valid",
  IF(P103="", "Not Trained",
     IF(P103 &lt; TODAY() - 1, "Expired",
        IF(P103 &lt;= TODAY() + 90, "Expiring", "Valid")
     )
  )
)</f>
        <v>Valid</v>
      </c>
      <c r="R103" s="4">
        <v>46540</v>
      </c>
      <c r="S103" s="4" t="str">
        <f ca="1">IF(
  _xlfn.XLOOKUP($D103 &amp; "-" &amp; R$2, TrainingMan!$G:$G, TrainingMan!$F:$F, "2-Year") = "Forever",
  "Valid",
  IF(R103="", "Not Trained",
     IF(R103 &lt; TODAY() - 1, "Expired",
        IF(R103 &lt;= TODAY() + 90, "Expiring", "Valid")
     )
  )
)</f>
        <v>Valid</v>
      </c>
      <c r="T103" s="4">
        <v>46540</v>
      </c>
      <c r="U103" s="4" t="str">
        <f ca="1">IF(
  _xlfn.XLOOKUP($D103 &amp; "-" &amp; T$2, TrainingMan!$G:$G, TrainingMan!$F:$F, "2-Year") = "Forever",
  "Valid",
  IF(T103="", "Not Trained",
     IF(T103 &lt; TODAY() - 1, "Expired",
        IF(T103 &lt;= TODAY() + 90, "Expiring", "Valid")
     )
  )
)</f>
        <v>Valid</v>
      </c>
      <c r="V103" s="4">
        <v>46371</v>
      </c>
      <c r="W103" s="4" t="str">
        <f ca="1">IF(
  _xlfn.XLOOKUP($D103 &amp; "-" &amp; V$2, TrainingMan!$G:$G, TrainingMan!$F:$F, "2-Year") = "Forever",
  "Valid",
  IF(V103="", "Not Trained",
     IF(V103 &lt; TODAY() - 1, "Expired",
        IF(V103 &lt;= TODAY() + 90, "Expiring", "Valid")
     )
  )
)</f>
        <v>Valid</v>
      </c>
      <c r="X103" s="4">
        <v>46540</v>
      </c>
      <c r="Y103" s="4" t="str">
        <f ca="1">IF(
  _xlfn.XLOOKUP($D103 &amp; "-" &amp; X$2, TrainingMan!$G:$G, TrainingMan!$F:$F, "2-Year") = "Forever",
  "Valid",
  IF(X103="", "Not Trained",
     IF(X103 &lt; TODAY() - 1, "Expired",
        IF(X103 &lt;= TODAY() + 90, "Expiring", "Valid")
     )
  )
)</f>
        <v>Valid</v>
      </c>
      <c r="Z103" s="4">
        <v>44520</v>
      </c>
      <c r="AA103" s="4" t="str">
        <f ca="1">IF(LEN(TRIM(Z103)) = 0, "Not Trained",
  IF(_xlfn.XLOOKUP($D103 &amp; "-" &amp; Z$2, TrainingMan!$G:$G, TrainingMan!$F:$F, "2-Year") = "Forever", "Valid",
    IF(Z103 &lt; TODAY() - 1, "Expired",
      IF(Z103 &lt;= TODAY() + 90, "Expiring", "Valid")
    )
  )
)</f>
        <v>Valid</v>
      </c>
      <c r="AB103" s="4">
        <v>43582</v>
      </c>
      <c r="AC103" s="4">
        <v>46052</v>
      </c>
      <c r="AD103" s="4"/>
      <c r="AE103" s="4"/>
      <c r="AF103" s="4">
        <v>45207</v>
      </c>
      <c r="AG103" s="4"/>
      <c r="AH103" s="4"/>
      <c r="AI103" s="4"/>
      <c r="AJ103" s="4"/>
      <c r="AN103" s="4"/>
      <c r="AQ103" s="4"/>
      <c r="AR103" s="4"/>
      <c r="AS103" s="4"/>
      <c r="AT103" s="4"/>
      <c r="AU103" s="4"/>
      <c r="BB103" s="4">
        <v>46074</v>
      </c>
      <c r="BC103" s="4" t="s">
        <v>546</v>
      </c>
      <c r="BD103" s="4" t="s">
        <v>304</v>
      </c>
      <c r="BE103" s="4">
        <v>42033</v>
      </c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>
        <f>COUNTIF('TrainingReq (Ach)'!B:B,Table13[[#This Row],[Job Title]])</f>
        <v>13</v>
      </c>
      <c r="BR103" cm="1">
        <f t="array" aca="1" ref="BR10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3" s="5">
        <f t="shared" ca="1" si="3"/>
        <v>1</v>
      </c>
      <c r="BT103" t="s">
        <v>246</v>
      </c>
      <c r="BU103" t="s">
        <v>247</v>
      </c>
      <c r="BW103" s="4"/>
      <c r="CC103" t="s">
        <v>547</v>
      </c>
      <c r="CD103" s="4"/>
      <c r="CE103" s="4" t="str">
        <f ca="1">IF(
  _xlfn.XLOOKUP($D103 &amp; "-" &amp; CD$2, 'TrainingReq (Ach)'!$G:$G, 'TrainingReq (Ach)'!$F:$F, "2-Year") = "Forever",
  "Valid",
  IF(CD103="", "Not Trained",
     IF(CD103 &lt; TODAY() - 1, "Expired",
        IF(CD103 &lt;= TODAY() + 90, "Expiring", "Valid")
     )
  )
)</f>
        <v>Not Trained</v>
      </c>
      <c r="CF103" t="s">
        <v>250</v>
      </c>
      <c r="CG103" s="4">
        <v>55571</v>
      </c>
      <c r="CH103" s="4" t="str">
        <f ca="1">IF(
  _xlfn.XLOOKUP($D102 &amp; "-" &amp; CG$2, 'TrainingReq (Ach)'!$G:$G, 'TrainingReq (Ach)'!$F:$F, "2-Year") = "Forever",
  "Valid",
  IF(CG102="", "Not Trained",
     IF(CG102 &lt; TODAY() - 1, "Expired",
        IF(CG102 &lt;= TODAY() + 90, "Expiring", "Valid")
     )
  )
)</f>
        <v>Valid</v>
      </c>
      <c r="CI103" t="str">
        <f t="shared" si="4"/>
        <v>Not eligible</v>
      </c>
      <c r="CJ103" t="str">
        <f t="shared" si="5"/>
        <v>Not eligible</v>
      </c>
    </row>
    <row r="104" spans="1:88" x14ac:dyDescent="0.25">
      <c r="A104">
        <v>102</v>
      </c>
      <c r="B104">
        <v>581607</v>
      </c>
      <c r="C104" t="s">
        <v>548</v>
      </c>
      <c r="D104" t="s">
        <v>15</v>
      </c>
      <c r="E104" t="s">
        <v>292</v>
      </c>
      <c r="F104" t="s">
        <v>537</v>
      </c>
      <c r="G104" t="s">
        <v>53</v>
      </c>
      <c r="H104" s="4">
        <v>46452</v>
      </c>
      <c r="I104" s="4" t="str">
        <f ca="1">IF(
  _xlfn.XLOOKUP($D104 &amp; "-" &amp; H$2, 'TrainingReq (Ach)'!G:G, 'TrainingReq (Ach)'!F:F, "2-Year") = "Forever",
  "Valid",
  IF(H104="", "Not Trained",
     IF(H104 &lt; TODAY() - 1, "Expired",
        IF(H104 &lt;= TODAY() + 90, "Expiring", "Valid")
     )
  )
)</f>
        <v>Valid</v>
      </c>
      <c r="J104" s="4">
        <v>46452</v>
      </c>
      <c r="K104" s="4" t="str">
        <f ca="1">IF(
  _xlfn.XLOOKUP($D104 &amp; "-" &amp; J$2, 'TrainingReq (Ach)'!G:G, 'TrainingReq (Ach)'!F:F, "2-Year") = "Forever",
  "Valid",
  IF(J104="", "Not Trained",
     IF(J104 &lt; TODAY() - 1, "Expired",
        IF(J104 &lt;= TODAY() + 90, "Expiring", "Valid")
     )
  )
)</f>
        <v>Valid</v>
      </c>
      <c r="L104" s="4">
        <v>46540</v>
      </c>
      <c r="M104" s="4" t="str">
        <f ca="1">IF(
  _xlfn.XLOOKUP($D104 &amp; "-" &amp; L$2, TrainingMan!$G:$G, TrainingMan!$F:$F, "2-Year") = "Forever",
  "Valid",
  IF(L104="", "Not Trained",
     IF(L104 &lt; TODAY() - 1, "Expired",
        IF(L104 &lt;= TODAY() + 90, "Expiring", "Valid")
     )
  )
)</f>
        <v>Valid</v>
      </c>
      <c r="N104" s="4">
        <v>46540</v>
      </c>
      <c r="O104" s="4" t="str">
        <f ca="1">IF(
  _xlfn.XLOOKUP($D104 &amp; "-" &amp; N$2, TrainingMan!$G:$G, TrainingMan!$F:$F, "2-Year") = "Forever",
  "Valid",
  IF(N104="", "Not Trained",
     IF(N104 &lt; TODAY() - 1, "Expired",
        IF(N104 &lt;= TODAY() + 90, "Expiring", "Valid")
     )
  )
)</f>
        <v>Valid</v>
      </c>
      <c r="P104" s="4">
        <v>46540</v>
      </c>
      <c r="Q104" s="4" t="str">
        <f ca="1">IF(
  _xlfn.XLOOKUP($D104 &amp; "-" &amp; P$2, TrainingMan!$G:$G, TrainingMan!$F:$F, "2-Year") = "Forever",
  "Valid",
  IF(P104="", "Not Trained",
     IF(P104 &lt; TODAY() - 1, "Expired",
        IF(P104 &lt;= TODAY() + 90, "Expiring", "Valid")
     )
  )
)</f>
        <v>Valid</v>
      </c>
      <c r="R104" s="4">
        <v>46540</v>
      </c>
      <c r="S104" s="4" t="str">
        <f ca="1">IF(
  _xlfn.XLOOKUP($D104 &amp; "-" &amp; R$2, TrainingMan!$G:$G, TrainingMan!$F:$F, "2-Year") = "Forever",
  "Valid",
  IF(R104="", "Not Trained",
     IF(R104 &lt; TODAY() - 1, "Expired",
        IF(R104 &lt;= TODAY() + 90, "Expiring", "Valid")
     )
  )
)</f>
        <v>Valid</v>
      </c>
      <c r="T104" s="4">
        <v>46540</v>
      </c>
      <c r="U104" s="4" t="str">
        <f ca="1">IF(
  _xlfn.XLOOKUP($D104 &amp; "-" &amp; T$2, TrainingMan!$G:$G, TrainingMan!$F:$F, "2-Year") = "Forever",
  "Valid",
  IF(T104="", "Not Trained",
     IF(T104 &lt; TODAY() - 1, "Expired",
        IF(T104 &lt;= TODAY() + 90, "Expiring", "Valid")
     )
  )
)</f>
        <v>Valid</v>
      </c>
      <c r="V104" s="4">
        <v>46540</v>
      </c>
      <c r="W104" s="4" t="str">
        <f ca="1">IF(
  _xlfn.XLOOKUP($D104 &amp; "-" &amp; V$2, TrainingMan!$G:$G, TrainingMan!$F:$F, "2-Year") = "Forever",
  "Valid",
  IF(V104="", "Not Trained",
     IF(V104 &lt; TODAY() - 1, "Expired",
        IF(V104 &lt;= TODAY() + 90, "Expiring", "Valid")
     )
  )
)</f>
        <v>Valid</v>
      </c>
      <c r="X104" s="4">
        <v>46540</v>
      </c>
      <c r="Y104" s="4" t="str">
        <f ca="1">IF(
  _xlfn.XLOOKUP($D104 &amp; "-" &amp; X$2, TrainingMan!$G:$G, TrainingMan!$F:$F, "2-Year") = "Forever",
  "Valid",
  IF(X104="", "Not Trained",
     IF(X104 &lt; TODAY() - 1, "Expired",
        IF(X104 &lt;= TODAY() + 90, "Expiring", "Valid")
     )
  )
)</f>
        <v>Valid</v>
      </c>
      <c r="Z104" s="4">
        <v>45056</v>
      </c>
      <c r="AA104" s="4" t="str">
        <f ca="1">IF(LEN(TRIM(Z104)) = 0, "Not Trained",
  IF(_xlfn.XLOOKUP($D104 &amp; "-" &amp; Z$2, TrainingMan!$G:$G, TrainingMan!$F:$F, "2-Year") = "Forever", "Valid",
    IF(Z104 &lt; TODAY() - 1, "Expired",
      IF(Z104 &lt;= TODAY() + 90, "Expiring", "Valid")
    )
  )
)</f>
        <v>Valid</v>
      </c>
      <c r="AB104" s="4">
        <v>45073</v>
      </c>
      <c r="AC104" s="4">
        <v>44095</v>
      </c>
      <c r="AD104" s="4">
        <v>44909</v>
      </c>
      <c r="AE104" s="4">
        <v>46006</v>
      </c>
      <c r="AF104" s="4"/>
      <c r="AG104" s="4"/>
      <c r="AH104" s="4"/>
      <c r="AI104" s="4"/>
      <c r="AJ104" s="4"/>
      <c r="AN104" s="4"/>
      <c r="AQ104" s="4"/>
      <c r="AR104" s="4"/>
      <c r="AS104" s="4"/>
      <c r="AT104" s="4"/>
      <c r="AU104" s="4"/>
      <c r="BB104" s="4">
        <v>46074</v>
      </c>
      <c r="BC104" s="4"/>
      <c r="BD104" s="4" t="s">
        <v>376</v>
      </c>
      <c r="BE104" s="4">
        <v>42033</v>
      </c>
      <c r="BF104" s="4"/>
      <c r="BG104" s="4"/>
      <c r="BH104" s="4"/>
      <c r="BI104" s="4">
        <v>44753</v>
      </c>
      <c r="BJ104" s="4" t="s">
        <v>145</v>
      </c>
      <c r="BK104" s="4"/>
      <c r="BL104" s="4"/>
      <c r="BM104" s="4"/>
      <c r="BN104" s="4" t="s">
        <v>549</v>
      </c>
      <c r="BO104" s="4"/>
      <c r="BP104" s="4"/>
      <c r="BQ104">
        <f>COUNTIF('TrainingReq (Ach)'!B:B,Table13[[#This Row],[Job Title]])</f>
        <v>13</v>
      </c>
      <c r="BR104" cm="1">
        <f t="array" aca="1" ref="BR10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4" s="5">
        <f t="shared" ca="1" si="3"/>
        <v>1</v>
      </c>
      <c r="BT104" t="s">
        <v>246</v>
      </c>
      <c r="BU104" t="s">
        <v>247</v>
      </c>
      <c r="BV104" t="s">
        <v>256</v>
      </c>
      <c r="BW104" s="4" t="s">
        <v>145</v>
      </c>
      <c r="BZ104" t="s">
        <v>550</v>
      </c>
      <c r="CC104" t="s">
        <v>551</v>
      </c>
      <c r="CD104" s="4">
        <v>46657</v>
      </c>
      <c r="CE104" s="4" t="str">
        <f ca="1">IF(
  _xlfn.XLOOKUP($D104 &amp; "-" &amp; CD$2, 'TrainingReq (Ach)'!$G:$G, 'TrainingReq (Ach)'!$F:$F, "2-Year") = "Forever",
  "Valid",
  IF(CD104="", "Not Trained",
     IF(CD104 &lt; TODAY() - 1, "Expired",
        IF(CD104 &lt;= TODAY() + 90, "Expiring", "Valid")
     )
  )
)</f>
        <v>Valid</v>
      </c>
      <c r="CF104" t="s">
        <v>250</v>
      </c>
      <c r="CG104" s="4">
        <v>54596</v>
      </c>
      <c r="CH104" s="4" t="str">
        <f ca="1">IF(
  _xlfn.XLOOKUP($D103 &amp; "-" &amp; CG$2, 'TrainingReq (Ach)'!$G:$G, 'TrainingReq (Ach)'!$F:$F, "2-Year") = "Forever",
  "Valid",
  IF(CG103="", "Not Trained",
     IF(CG103 &lt; TODAY() - 1, "Expired",
        IF(CG103 &lt;= TODAY() + 90, "Expiring", "Valid")
     )
  )
)</f>
        <v>Valid</v>
      </c>
      <c r="CI104" t="str">
        <f t="shared" si="4"/>
        <v>Eligible</v>
      </c>
      <c r="CJ104" t="str">
        <f t="shared" si="5"/>
        <v>Not eligible</v>
      </c>
    </row>
    <row r="105" spans="1:88" x14ac:dyDescent="0.25">
      <c r="A105">
        <v>103</v>
      </c>
      <c r="B105">
        <v>581610</v>
      </c>
      <c r="C105" t="s">
        <v>78</v>
      </c>
      <c r="D105" t="s">
        <v>15</v>
      </c>
      <c r="E105" t="s">
        <v>292</v>
      </c>
      <c r="F105" t="s">
        <v>537</v>
      </c>
      <c r="G105" t="s">
        <v>53</v>
      </c>
      <c r="H105" s="4">
        <v>46514</v>
      </c>
      <c r="I105" s="4" t="str">
        <f ca="1">IF(
  _xlfn.XLOOKUP($D105 &amp; "-" &amp; H$2, 'TrainingReq (Ach)'!G:G, 'TrainingReq (Ach)'!F:F, "2-Year") = "Forever",
  "Valid",
  IF(H105="", "Not Trained",
     IF(H105 &lt; TODAY() - 1, "Expired",
        IF(H105 &lt;= TODAY() + 90, "Expiring", "Valid")
     )
  )
)</f>
        <v>Valid</v>
      </c>
      <c r="J105" s="4">
        <v>46514</v>
      </c>
      <c r="K105" s="4" t="str">
        <f ca="1">IF(
  _xlfn.XLOOKUP($D105 &amp; "-" &amp; J$2, 'TrainingReq (Ach)'!G:G, 'TrainingReq (Ach)'!F:F, "2-Year") = "Forever",
  "Valid",
  IF(J105="", "Not Trained",
     IF(J105 &lt; TODAY() - 1, "Expired",
        IF(J105 &lt;= TODAY() + 90, "Expiring", "Valid")
     )
  )
)</f>
        <v>Valid</v>
      </c>
      <c r="L105" s="4">
        <v>46849</v>
      </c>
      <c r="M105" s="4" t="str">
        <f ca="1">IF(
  _xlfn.XLOOKUP($D105 &amp; "-" &amp; L$2, TrainingMan!$G:$G, TrainingMan!$F:$F, "2-Year") = "Forever",
  "Valid",
  IF(L105="", "Not Trained",
     IF(L105 &lt; TODAY() - 1, "Expired",
        IF(L105 &lt;= TODAY() + 90, "Expiring", "Valid")
     )
  )
)</f>
        <v>Valid</v>
      </c>
      <c r="N105" s="4">
        <v>46849</v>
      </c>
      <c r="O105" s="4" t="str">
        <f ca="1">IF(
  _xlfn.XLOOKUP($D105 &amp; "-" &amp; N$2, TrainingMan!$G:$G, TrainingMan!$F:$F, "2-Year") = "Forever",
  "Valid",
  IF(N105="", "Not Trained",
     IF(N105 &lt; TODAY() - 1, "Expired",
        IF(N105 &lt;= TODAY() + 90, "Expiring", "Valid")
     )
  )
)</f>
        <v>Valid</v>
      </c>
      <c r="P105" s="4">
        <v>46849</v>
      </c>
      <c r="Q105" s="4" t="str">
        <f ca="1">IF(
  _xlfn.XLOOKUP($D105 &amp; "-" &amp; P$2, TrainingMan!$G:$G, TrainingMan!$F:$F, "2-Year") = "Forever",
  "Valid",
  IF(P105="", "Not Trained",
     IF(P105 &lt; TODAY() - 1, "Expired",
        IF(P105 &lt;= TODAY() + 90, "Expiring", "Valid")
     )
  )
)</f>
        <v>Valid</v>
      </c>
      <c r="R105" s="4">
        <v>46849</v>
      </c>
      <c r="S105" s="4" t="str">
        <f ca="1">IF(
  _xlfn.XLOOKUP($D105 &amp; "-" &amp; R$2, TrainingMan!$G:$G, TrainingMan!$F:$F, "2-Year") = "Forever",
  "Valid",
  IF(R105="", "Not Trained",
     IF(R105 &lt; TODAY() - 1, "Expired",
        IF(R105 &lt;= TODAY() + 90, "Expiring", "Valid")
     )
  )
)</f>
        <v>Valid</v>
      </c>
      <c r="T105" s="4">
        <v>46849</v>
      </c>
      <c r="U105" s="4" t="str">
        <f ca="1">IF(
  _xlfn.XLOOKUP($D105 &amp; "-" &amp; T$2, TrainingMan!$G:$G, TrainingMan!$F:$F, "2-Year") = "Forever",
  "Valid",
  IF(T105="", "Not Trained",
     IF(T105 &lt; TODAY() - 1, "Expired",
        IF(T105 &lt;= TODAY() + 90, "Expiring", "Valid")
     )
  )
)</f>
        <v>Valid</v>
      </c>
      <c r="V105" s="4">
        <v>46849</v>
      </c>
      <c r="W105" s="4" t="str">
        <f ca="1">IF(
  _xlfn.XLOOKUP($D105 &amp; "-" &amp; V$2, TrainingMan!$G:$G, TrainingMan!$F:$F, "2-Year") = "Forever",
  "Valid",
  IF(V105="", "Not Trained",
     IF(V105 &lt; TODAY() - 1, "Expired",
        IF(V105 &lt;= TODAY() + 90, "Expiring", "Valid")
     )
  )
)</f>
        <v>Valid</v>
      </c>
      <c r="X105" s="4">
        <v>46849</v>
      </c>
      <c r="Y105" s="4" t="str">
        <f ca="1">IF(
  _xlfn.XLOOKUP($D105 &amp; "-" &amp; X$2, TrainingMan!$G:$G, TrainingMan!$F:$F, "2-Year") = "Forever",
  "Valid",
  IF(X105="", "Not Trained",
     IF(X105 &lt; TODAY() - 1, "Expired",
        IF(X105 &lt;= TODAY() + 90, "Expiring", "Valid")
     )
  )
)</f>
        <v>Valid</v>
      </c>
      <c r="Z105" s="4">
        <v>45324</v>
      </c>
      <c r="AA105" s="4" t="str">
        <f ca="1">IF(LEN(TRIM(Z105)) = 0, "Not Trained",
  IF(_xlfn.XLOOKUP($D105 &amp; "-" &amp; Z$2, TrainingMan!$G:$G, TrainingMan!$F:$F, "2-Year") = "Forever", "Valid",
    IF(Z105 &lt; TODAY() - 1, "Expired",
      IF(Z105 &lt;= TODAY() + 90, "Expiring", "Valid")
    )
  )
)</f>
        <v>Valid</v>
      </c>
      <c r="AB105" s="4">
        <v>43630</v>
      </c>
      <c r="AC105" s="4">
        <v>43457</v>
      </c>
      <c r="AD105" s="4"/>
      <c r="AE105" s="4"/>
      <c r="AF105" s="4">
        <v>45029</v>
      </c>
      <c r="AG105" s="4"/>
      <c r="AH105" s="4"/>
      <c r="AI105" s="4"/>
      <c r="AJ105" s="4"/>
      <c r="AN105" s="4"/>
      <c r="AQ105" s="4"/>
      <c r="AR105" s="4"/>
      <c r="AS105" s="4"/>
      <c r="AT105" s="4"/>
      <c r="AU105" s="4"/>
      <c r="BB105" s="4">
        <v>46039</v>
      </c>
      <c r="BC105" s="4" t="s">
        <v>552</v>
      </c>
      <c r="BD105" s="4" t="s">
        <v>304</v>
      </c>
      <c r="BE105" s="4">
        <v>42033</v>
      </c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>
        <f>COUNTIF('TrainingReq (Ach)'!B:B,Table13[[#This Row],[Job Title]])</f>
        <v>13</v>
      </c>
      <c r="BR105" cm="1">
        <f t="array" aca="1" ref="BR10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5" s="5">
        <f t="shared" ca="1" si="3"/>
        <v>1</v>
      </c>
      <c r="BT105" t="s">
        <v>246</v>
      </c>
      <c r="BU105" t="s">
        <v>247</v>
      </c>
      <c r="BW105" s="4"/>
      <c r="CC105" t="s">
        <v>553</v>
      </c>
      <c r="CD105" s="4"/>
      <c r="CE105" s="4" t="str">
        <f ca="1">IF(
  _xlfn.XLOOKUP($D105 &amp; "-" &amp; CD$2, 'TrainingReq (Ach)'!$G:$G, 'TrainingReq (Ach)'!$F:$F, "2-Year") = "Forever",
  "Valid",
  IF(CD105="", "Not Trained",
     IF(CD105 &lt; TODAY() - 1, "Expired",
        IF(CD105 &lt;= TODAY() + 90, "Expiring", "Valid")
     )
  )
)</f>
        <v>Not Trained</v>
      </c>
      <c r="CF105" t="s">
        <v>250</v>
      </c>
      <c r="CG105" s="4">
        <v>54365</v>
      </c>
      <c r="CH105" s="4" t="str">
        <f ca="1">IF(
  _xlfn.XLOOKUP($D104 &amp; "-" &amp; CG$2, 'TrainingReq (Ach)'!$G:$G, 'TrainingReq (Ach)'!$F:$F, "2-Year") = "Forever",
  "Valid",
  IF(CG104="", "Not Trained",
     IF(CG104 &lt; TODAY() - 1, "Expired",
        IF(CG104 &lt;= TODAY() + 90, "Expiring", "Valid")
     )
  )
)</f>
        <v>Valid</v>
      </c>
      <c r="CI105" t="str">
        <f t="shared" si="4"/>
        <v>Not eligible</v>
      </c>
      <c r="CJ105" t="str">
        <f t="shared" si="5"/>
        <v>Not eligible</v>
      </c>
    </row>
    <row r="106" spans="1:88" x14ac:dyDescent="0.25">
      <c r="A106">
        <v>104</v>
      </c>
      <c r="B106">
        <v>582539</v>
      </c>
      <c r="C106" t="s">
        <v>554</v>
      </c>
      <c r="D106" t="s">
        <v>15</v>
      </c>
      <c r="E106" t="s">
        <v>292</v>
      </c>
      <c r="F106" t="s">
        <v>537</v>
      </c>
      <c r="G106" t="s">
        <v>53</v>
      </c>
      <c r="H106" s="4">
        <v>46816</v>
      </c>
      <c r="I106" s="4" t="str">
        <f ca="1">IF(
  _xlfn.XLOOKUP($D106 &amp; "-" &amp; H$2, 'TrainingReq (Ach)'!G:G, 'TrainingReq (Ach)'!F:F, "2-Year") = "Forever",
  "Valid",
  IF(H106="", "Not Trained",
     IF(H106 &lt; TODAY() - 1, "Expired",
        IF(H106 &lt;= TODAY() + 90, "Expiring", "Valid")
     )
  )
)</f>
        <v>Valid</v>
      </c>
      <c r="J106" s="4">
        <v>46816</v>
      </c>
      <c r="K106" s="4" t="str">
        <f ca="1">IF(
  _xlfn.XLOOKUP($D106 &amp; "-" &amp; J$2, 'TrainingReq (Ach)'!G:G, 'TrainingReq (Ach)'!F:F, "2-Year") = "Forever",
  "Valid",
  IF(J106="", "Not Trained",
     IF(J106 &lt; TODAY() - 1, "Expired",
        IF(J106 &lt;= TODAY() + 90, "Expiring", "Valid")
     )
  )
)</f>
        <v>Valid</v>
      </c>
      <c r="L106" s="4">
        <v>46841</v>
      </c>
      <c r="M106" s="4" t="str">
        <f ca="1">IF(
  _xlfn.XLOOKUP($D106 &amp; "-" &amp; L$2, TrainingMan!$G:$G, TrainingMan!$F:$F, "2-Year") = "Forever",
  "Valid",
  IF(L106="", "Not Trained",
     IF(L106 &lt; TODAY() - 1, "Expired",
        IF(L106 &lt;= TODAY() + 90, "Expiring", "Valid")
     )
  )
)</f>
        <v>Valid</v>
      </c>
      <c r="N106" s="4">
        <v>46841</v>
      </c>
      <c r="O106" s="4" t="str">
        <f ca="1">IF(
  _xlfn.XLOOKUP($D106 &amp; "-" &amp; N$2, TrainingMan!$G:$G, TrainingMan!$F:$F, "2-Year") = "Forever",
  "Valid",
  IF(N106="", "Not Trained",
     IF(N106 &lt; TODAY() - 1, "Expired",
        IF(N106 &lt;= TODAY() + 90, "Expiring", "Valid")
     )
  )
)</f>
        <v>Valid</v>
      </c>
      <c r="P106" s="4">
        <v>46841</v>
      </c>
      <c r="Q106" s="4" t="str">
        <f ca="1">IF(
  _xlfn.XLOOKUP($D106 &amp; "-" &amp; P$2, TrainingMan!$G:$G, TrainingMan!$F:$F, "2-Year") = "Forever",
  "Valid",
  IF(P106="", "Not Trained",
     IF(P106 &lt; TODAY() - 1, "Expired",
        IF(P106 &lt;= TODAY() + 90, "Expiring", "Valid")
     )
  )
)</f>
        <v>Valid</v>
      </c>
      <c r="R106" s="4">
        <v>46841</v>
      </c>
      <c r="S106" s="4" t="str">
        <f ca="1">IF(
  _xlfn.XLOOKUP($D106 &amp; "-" &amp; R$2, TrainingMan!$G:$G, TrainingMan!$F:$F, "2-Year") = "Forever",
  "Valid",
  IF(R106="", "Not Trained",
     IF(R106 &lt; TODAY() - 1, "Expired",
        IF(R106 &lt;= TODAY() + 90, "Expiring", "Valid")
     )
  )
)</f>
        <v>Valid</v>
      </c>
      <c r="T106" s="4">
        <v>46841</v>
      </c>
      <c r="U106" s="4" t="str">
        <f ca="1">IF(
  _xlfn.XLOOKUP($D106 &amp; "-" &amp; T$2, TrainingMan!$G:$G, TrainingMan!$F:$F, "2-Year") = "Forever",
  "Valid",
  IF(T106="", "Not Trained",
     IF(T106 &lt; TODAY() - 1, "Expired",
        IF(T106 &lt;= TODAY() + 90, "Expiring", "Valid")
     )
  )
)</f>
        <v>Valid</v>
      </c>
      <c r="V106" s="4">
        <v>46841</v>
      </c>
      <c r="W106" s="4" t="str">
        <f ca="1">IF(
  _xlfn.XLOOKUP($D106 &amp; "-" &amp; V$2, TrainingMan!$G:$G, TrainingMan!$F:$F, "2-Year") = "Forever",
  "Valid",
  IF(V106="", "Not Trained",
     IF(V106 &lt; TODAY() - 1, "Expired",
        IF(V106 &lt;= TODAY() + 90, "Expiring", "Valid")
     )
  )
)</f>
        <v>Valid</v>
      </c>
      <c r="X106" s="4">
        <v>46841</v>
      </c>
      <c r="Y106" s="4" t="str">
        <f ca="1">IF(
  _xlfn.XLOOKUP($D106 &amp; "-" &amp; X$2, TrainingMan!$G:$G, TrainingMan!$F:$F, "2-Year") = "Forever",
  "Valid",
  IF(X106="", "Not Trained",
     IF(X106 &lt; TODAY() - 1, "Expired",
        IF(X106 &lt;= TODAY() + 90, "Expiring", "Valid")
     )
  )
)</f>
        <v>Valid</v>
      </c>
      <c r="Z106" s="4">
        <v>45375</v>
      </c>
      <c r="AA106" s="4" t="str">
        <f ca="1">IF(LEN(TRIM(Z106)) = 0, "Not Trained",
  IF(_xlfn.XLOOKUP($D106 &amp; "-" &amp; Z$2, TrainingMan!$G:$G, TrainingMan!$F:$F, "2-Year") = "Forever", "Valid",
    IF(Z106 &lt; TODAY() - 1, "Expired",
      IF(Z106 &lt;= TODAY() + 90, "Expiring", "Valid")
    )
  )
)</f>
        <v>Valid</v>
      </c>
      <c r="AB106" s="4">
        <v>43960</v>
      </c>
      <c r="AC106" s="4">
        <v>45548</v>
      </c>
      <c r="AD106" s="4">
        <v>44617</v>
      </c>
      <c r="AE106" s="4">
        <v>45888</v>
      </c>
      <c r="AF106" s="4">
        <v>44734</v>
      </c>
      <c r="AG106" s="4"/>
      <c r="AH106" s="4"/>
      <c r="AI106" s="4"/>
      <c r="AJ106" s="4"/>
      <c r="AN106" s="4"/>
      <c r="AQ106" s="4"/>
      <c r="AR106" s="4"/>
      <c r="AS106" s="4"/>
      <c r="AT106" s="4"/>
      <c r="AU106" s="4"/>
      <c r="BB106" s="4">
        <v>46346</v>
      </c>
      <c r="BC106" s="4" t="s">
        <v>280</v>
      </c>
      <c r="BD106" s="4" t="s">
        <v>456</v>
      </c>
      <c r="BE106" s="4"/>
      <c r="BF106" s="4"/>
      <c r="BG106" s="4"/>
      <c r="BH106" s="4"/>
      <c r="BI106" s="4">
        <v>43551</v>
      </c>
      <c r="BJ106" s="4" t="s">
        <v>153</v>
      </c>
      <c r="BK106" t="s">
        <v>145</v>
      </c>
      <c r="BL106" s="4"/>
      <c r="BM106" s="4"/>
      <c r="BN106" s="4"/>
      <c r="BO106" s="4"/>
      <c r="BP106" s="4"/>
      <c r="BQ106">
        <f>COUNTIF('TrainingReq (Ach)'!B:B,Table13[[#This Row],[Job Title]])</f>
        <v>13</v>
      </c>
      <c r="BR106" cm="1">
        <f t="array" aca="1" ref="BR10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06" s="5">
        <f t="shared" ca="1" si="3"/>
        <v>1</v>
      </c>
      <c r="BT106" t="s">
        <v>246</v>
      </c>
      <c r="BU106" t="s">
        <v>247</v>
      </c>
      <c r="BV106" t="s">
        <v>256</v>
      </c>
      <c r="BW106" s="4" t="s">
        <v>153</v>
      </c>
      <c r="BX106" t="s">
        <v>145</v>
      </c>
      <c r="BZ106" t="s">
        <v>555</v>
      </c>
      <c r="CC106" t="s">
        <v>556</v>
      </c>
      <c r="CD106" s="4">
        <v>46941</v>
      </c>
      <c r="CE106" s="4" t="str">
        <f ca="1">IF(
  _xlfn.XLOOKUP($D106 &amp; "-" &amp; CD$2, 'TrainingReq (Ach)'!$G:$G, 'TrainingReq (Ach)'!$F:$F, "2-Year") = "Forever",
  "Valid",
  IF(CD106="", "Not Trained",
     IF(CD106 &lt; TODAY() - 1, "Expired",
        IF(CD106 &lt;= TODAY() + 90, "Expiring", "Valid")
     )
  )
)</f>
        <v>Valid</v>
      </c>
      <c r="CF106" t="s">
        <v>250</v>
      </c>
      <c r="CG106" s="4">
        <v>53630</v>
      </c>
      <c r="CH106" s="4" t="str">
        <f ca="1">IF(
  _xlfn.XLOOKUP($D105 &amp; "-" &amp; CG$2, 'TrainingReq (Ach)'!$G:$G, 'TrainingReq (Ach)'!$F:$F, "2-Year") = "Forever",
  "Valid",
  IF(CG105="", "Not Trained",
     IF(CG105 &lt; TODAY() - 1, "Expired",
        IF(CG105 &lt;= TODAY() + 90, "Expiring", "Valid")
     )
  )
)</f>
        <v>Valid</v>
      </c>
      <c r="CI106" t="str">
        <f t="shared" si="4"/>
        <v>Eligible</v>
      </c>
      <c r="CJ106" t="str">
        <f t="shared" si="5"/>
        <v>Eligible</v>
      </c>
    </row>
    <row r="107" spans="1:88" x14ac:dyDescent="0.25">
      <c r="A107">
        <v>105</v>
      </c>
      <c r="B107">
        <v>583731</v>
      </c>
      <c r="C107" t="s">
        <v>70</v>
      </c>
      <c r="D107" t="s">
        <v>18</v>
      </c>
      <c r="E107" t="s">
        <v>263</v>
      </c>
      <c r="F107" t="s">
        <v>537</v>
      </c>
      <c r="G107" t="s">
        <v>53</v>
      </c>
      <c r="H107" s="4">
        <v>46514</v>
      </c>
      <c r="I107" s="4" t="str">
        <f ca="1">IF(
  _xlfn.XLOOKUP($D107 &amp; "-" &amp; H$2, 'TrainingReq (Ach)'!G:G, 'TrainingReq (Ach)'!F:F, "2-Year") = "Forever",
  "Valid",
  IF(H107="", "Not Trained",
     IF(H107 &lt; TODAY() - 1, "Expired",
        IF(H107 &lt;= TODAY() + 90, "Expiring", "Valid")
     )
  )
)</f>
        <v>Valid</v>
      </c>
      <c r="J107" s="4">
        <v>46514</v>
      </c>
      <c r="K107" s="4" t="str">
        <f ca="1">IF(
  _xlfn.XLOOKUP($D107 &amp; "-" &amp; J$2, 'TrainingReq (Ach)'!G:G, 'TrainingReq (Ach)'!F:F, "2-Year") = "Forever",
  "Valid",
  IF(J107="", "Not Trained",
     IF(J107 &lt; TODAY() - 1, "Expired",
        IF(J107 &lt;= TODAY() + 90, "Expiring", "Valid")
     )
  )
)</f>
        <v>Valid</v>
      </c>
      <c r="L107" s="4">
        <v>46255</v>
      </c>
      <c r="M107" s="4" t="str">
        <f ca="1">IF(
  _xlfn.XLOOKUP($D107 &amp; "-" &amp; L$2, TrainingMan!$G:$G, TrainingMan!$F:$F, "2-Year") = "Forever",
  "Valid",
  IF(L107="", "Not Trained",
     IF(L107 &lt; TODAY() - 1, "Expired",
        IF(L107 &lt;= TODAY() + 90, "Expiring", "Valid")
     )
  )
)</f>
        <v>Expiring</v>
      </c>
      <c r="N107" s="4">
        <v>46601</v>
      </c>
      <c r="O107" s="4" t="str">
        <f ca="1">IF(
  _xlfn.XLOOKUP($D107 &amp; "-" &amp; N$2, TrainingMan!$G:$G, TrainingMan!$F:$F, "2-Year") = "Forever",
  "Valid",
  IF(N107="", "Not Trained",
     IF(N107 &lt; TODAY() - 1, "Expired",
        IF(N107 &lt;= TODAY() + 90, "Expiring", "Valid")
     )
  )
)</f>
        <v>Valid</v>
      </c>
      <c r="P107" s="4">
        <v>46600</v>
      </c>
      <c r="Q107" s="4" t="str">
        <f ca="1">IF(
  _xlfn.XLOOKUP($D107 &amp; "-" &amp; P$2, TrainingMan!$G:$G, TrainingMan!$F:$F, "2-Year") = "Forever",
  "Valid",
  IF(P107="", "Not Trained",
     IF(P107 &lt; TODAY() - 1, "Expired",
        IF(P107 &lt;= TODAY() + 90, "Expiring", "Valid")
     )
  )
)</f>
        <v>Valid</v>
      </c>
      <c r="R107" s="4">
        <v>46601</v>
      </c>
      <c r="S107" s="4" t="str">
        <f ca="1">IF(
  _xlfn.XLOOKUP($D107 &amp; "-" &amp; R$2, TrainingMan!$G:$G, TrainingMan!$F:$F, "2-Year") = "Forever",
  "Valid",
  IF(R107="", "Not Trained",
     IF(R107 &lt; TODAY() - 1, "Expired",
        IF(R107 &lt;= TODAY() + 90, "Expiring", "Valid")
     )
  )
)</f>
        <v>Valid</v>
      </c>
      <c r="T107" s="4">
        <v>46601</v>
      </c>
      <c r="U107" s="4" t="str">
        <f ca="1">IF(
  _xlfn.XLOOKUP($D107 &amp; "-" &amp; T$2, TrainingMan!$G:$G, TrainingMan!$F:$F, "2-Year") = "Forever",
  "Valid",
  IF(T107="", "Not Trained",
     IF(T107 &lt; TODAY() - 1, "Expired",
        IF(T107 &lt;= TODAY() + 90, "Expiring", "Valid")
     )
  )
)</f>
        <v>Valid</v>
      </c>
      <c r="V107" s="4">
        <v>46601</v>
      </c>
      <c r="W107" s="4" t="str">
        <f ca="1">IF(
  _xlfn.XLOOKUP($D107 &amp; "-" &amp; V$2, TrainingMan!$G:$G, TrainingMan!$F:$F, "2-Year") = "Forever",
  "Valid",
  IF(V107="", "Not Trained",
     IF(V107 &lt; TODAY() - 1, "Expired",
        IF(V107 &lt;= TODAY() + 90, "Expiring", "Valid")
     )
  )
)</f>
        <v>Valid</v>
      </c>
      <c r="X107" s="4">
        <v>46601</v>
      </c>
      <c r="Y107" s="4" t="str">
        <f ca="1">IF(
  _xlfn.XLOOKUP($D107 &amp; "-" &amp; X$2, TrainingMan!$G:$G, TrainingMan!$F:$F, "2-Year") = "Forever",
  "Valid",
  IF(X107="", "Not Trained",
     IF(X107 &lt; TODAY() - 1, "Expired",
        IF(X107 &lt;= TODAY() + 90, "Expiring", "Valid")
     )
  )
)</f>
        <v>Valid</v>
      </c>
      <c r="Z107" s="4">
        <v>45129</v>
      </c>
      <c r="AA107" s="4" t="str">
        <f ca="1">IF(LEN(TRIM(Z107)) = 0, "Not Trained",
  IF(_xlfn.XLOOKUP($D107 &amp; "-" &amp; Z$2, TrainingMan!$G:$G, TrainingMan!$F:$F, "2-Year") = "Forever", "Valid",
    IF(Z107 &lt; TODAY() - 1, "Expired",
      IF(Z107 &lt;= TODAY() + 90, "Expiring", "Valid")
    )
  )
)</f>
        <v>Valid</v>
      </c>
      <c r="AB107" s="4">
        <v>45326</v>
      </c>
      <c r="AC107" s="4">
        <v>45915</v>
      </c>
      <c r="AD107" s="4">
        <v>45803</v>
      </c>
      <c r="AE107" s="4"/>
      <c r="AF107" s="4"/>
      <c r="AG107" s="4"/>
      <c r="AH107" s="4"/>
      <c r="AI107" s="4"/>
      <c r="AJ107" s="4"/>
      <c r="AN107" s="4"/>
      <c r="AQ107" s="4"/>
      <c r="AR107" s="4"/>
      <c r="AS107" s="4"/>
      <c r="AT107" s="4"/>
      <c r="AU107" s="4"/>
      <c r="BB107" s="4">
        <v>46430</v>
      </c>
      <c r="BC107" s="4" t="s">
        <v>546</v>
      </c>
      <c r="BD107" s="4" t="s">
        <v>435</v>
      </c>
      <c r="BE107" s="4"/>
      <c r="BF107" s="4">
        <v>42982</v>
      </c>
      <c r="BG107" s="4"/>
      <c r="BH107" s="4"/>
      <c r="BI107" s="4">
        <v>45159</v>
      </c>
      <c r="BJ107" s="4" t="s">
        <v>144</v>
      </c>
      <c r="BK107" s="4"/>
      <c r="BL107" s="4"/>
      <c r="BM107" s="4"/>
      <c r="BN107" s="4"/>
      <c r="BO107" s="4"/>
      <c r="BP107" s="4"/>
      <c r="BQ107">
        <f>COUNTIF('TrainingReq (Ach)'!B:B,Table13[[#This Row],[Job Title]])</f>
        <v>15</v>
      </c>
      <c r="BR107" cm="1">
        <f t="array" aca="1" ref="BR10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07" s="5">
        <f t="shared" ca="1" si="3"/>
        <v>1</v>
      </c>
      <c r="BT107" t="s">
        <v>265</v>
      </c>
      <c r="BU107" t="s">
        <v>247</v>
      </c>
      <c r="BV107" t="s">
        <v>270</v>
      </c>
      <c r="BW107" s="4"/>
      <c r="CC107" t="s">
        <v>557</v>
      </c>
      <c r="CD107" s="4"/>
      <c r="CE107" s="4" t="str">
        <f ca="1">IF(
  _xlfn.XLOOKUP($D107 &amp; "-" &amp; CD$2, 'TrainingReq (Ach)'!$G:$G, 'TrainingReq (Ach)'!$F:$F, "2-Year") = "Forever",
  "Valid",
  IF(CD107="", "Not Trained",
     IF(CD107 &lt; TODAY() - 1, "Expired",
        IF(CD107 &lt;= TODAY() + 90, "Expiring", "Valid")
     )
  )
)</f>
        <v>Not Trained</v>
      </c>
      <c r="CF107" t="s">
        <v>250</v>
      </c>
      <c r="CG107" s="4">
        <v>56711</v>
      </c>
      <c r="CH107" s="4" t="str">
        <f ca="1">IF(
  _xlfn.XLOOKUP($D106 &amp; "-" &amp; CG$2, 'TrainingReq (Ach)'!$G:$G, 'TrainingReq (Ach)'!$F:$F, "2-Year") = "Forever",
  "Valid",
  IF(CG106="", "Not Trained",
     IF(CG106 &lt; TODAY() - 1, "Expired",
        IF(CG106 &lt;= TODAY() + 90, "Expiring", "Valid")
     )
  )
)</f>
        <v>Valid</v>
      </c>
      <c r="CI107" t="str">
        <f t="shared" si="4"/>
        <v>Not eligible</v>
      </c>
      <c r="CJ107" t="str">
        <f t="shared" si="5"/>
        <v>Not eligible</v>
      </c>
    </row>
    <row r="108" spans="1:88" x14ac:dyDescent="0.25">
      <c r="A108">
        <v>106</v>
      </c>
      <c r="B108">
        <v>583738</v>
      </c>
      <c r="C108" t="s">
        <v>73</v>
      </c>
      <c r="D108" t="s">
        <v>18</v>
      </c>
      <c r="E108" t="s">
        <v>263</v>
      </c>
      <c r="F108" t="s">
        <v>537</v>
      </c>
      <c r="G108" t="s">
        <v>53</v>
      </c>
      <c r="H108" s="4">
        <v>46547</v>
      </c>
      <c r="I108" s="4" t="str">
        <f ca="1">IF(
  _xlfn.XLOOKUP($D108 &amp; "-" &amp; H$2, 'TrainingReq (Ach)'!G:G, 'TrainingReq (Ach)'!F:F, "2-Year") = "Forever",
  "Valid",
  IF(H108="", "Not Trained",
     IF(H108 &lt; TODAY() - 1, "Expired",
        IF(H108 &lt;= TODAY() + 90, "Expiring", "Valid")
     )
  )
)</f>
        <v>Valid</v>
      </c>
      <c r="J108" s="4">
        <v>46547</v>
      </c>
      <c r="K108" s="4" t="str">
        <f ca="1">IF(
  _xlfn.XLOOKUP($D108 &amp; "-" &amp; J$2, 'TrainingReq (Ach)'!G:G, 'TrainingReq (Ach)'!F:F, "2-Year") = "Forever",
  "Valid",
  IF(J108="", "Not Trained",
     IF(J108 &lt; TODAY() - 1, "Expired",
        IF(J108 &lt;= TODAY() + 90, "Expiring", "Valid")
     )
  )
)</f>
        <v>Valid</v>
      </c>
      <c r="L108" s="4">
        <v>46586</v>
      </c>
      <c r="M108" s="4" t="str">
        <f ca="1">IF(
  _xlfn.XLOOKUP($D108 &amp; "-" &amp; L$2, TrainingMan!$G:$G, TrainingMan!$F:$F, "2-Year") = "Forever",
  "Valid",
  IF(L108="", "Not Trained",
     IF(L108 &lt; TODAY() - 1, "Expired",
        IF(L108 &lt;= TODAY() + 90, "Expiring", "Valid")
     )
  )
)</f>
        <v>Valid</v>
      </c>
      <c r="N108" s="4">
        <v>46586</v>
      </c>
      <c r="O108" s="4" t="str">
        <f ca="1">IF(
  _xlfn.XLOOKUP($D108 &amp; "-" &amp; N$2, TrainingMan!$G:$G, TrainingMan!$F:$F, "2-Year") = "Forever",
  "Valid",
  IF(N108="", "Not Trained",
     IF(N108 &lt; TODAY() - 1, "Expired",
        IF(N108 &lt;= TODAY() + 90, "Expiring", "Valid")
     )
  )
)</f>
        <v>Valid</v>
      </c>
      <c r="P108" s="4">
        <v>46586</v>
      </c>
      <c r="Q108" s="4" t="str">
        <f ca="1">IF(
  _xlfn.XLOOKUP($D108 &amp; "-" &amp; P$2, TrainingMan!$G:$G, TrainingMan!$F:$F, "2-Year") = "Forever",
  "Valid",
  IF(P108="", "Not Trained",
     IF(P108 &lt; TODAY() - 1, "Expired",
        IF(P108 &lt;= TODAY() + 90, "Expiring", "Valid")
     )
  )
)</f>
        <v>Valid</v>
      </c>
      <c r="R108" s="4">
        <v>46586</v>
      </c>
      <c r="S108" s="4" t="str">
        <f ca="1">IF(
  _xlfn.XLOOKUP($D108 &amp; "-" &amp; R$2, TrainingMan!$G:$G, TrainingMan!$F:$F, "2-Year") = "Forever",
  "Valid",
  IF(R108="", "Not Trained",
     IF(R108 &lt; TODAY() - 1, "Expired",
        IF(R108 &lt;= TODAY() + 90, "Expiring", "Valid")
     )
  )
)</f>
        <v>Valid</v>
      </c>
      <c r="T108" s="4">
        <v>46586</v>
      </c>
      <c r="U108" s="4" t="str">
        <f ca="1">IF(
  _xlfn.XLOOKUP($D108 &amp; "-" &amp; T$2, TrainingMan!$G:$G, TrainingMan!$F:$F, "2-Year") = "Forever",
  "Valid",
  IF(T108="", "Not Trained",
     IF(T108 &lt; TODAY() - 1, "Expired",
        IF(T108 &lt;= TODAY() + 90, "Expiring", "Valid")
     )
  )
)</f>
        <v>Valid</v>
      </c>
      <c r="V108" s="4">
        <v>46586</v>
      </c>
      <c r="W108" s="4" t="str">
        <f ca="1">IF(
  _xlfn.XLOOKUP($D108 &amp; "-" &amp; V$2, TrainingMan!$G:$G, TrainingMan!$F:$F, "2-Year") = "Forever",
  "Valid",
  IF(V108="", "Not Trained",
     IF(V108 &lt; TODAY() - 1, "Expired",
        IF(V108 &lt;= TODAY() + 90, "Expiring", "Valid")
     )
  )
)</f>
        <v>Valid</v>
      </c>
      <c r="X108" s="4">
        <v>46586</v>
      </c>
      <c r="Y108" s="4" t="str">
        <f ca="1">IF(
  _xlfn.XLOOKUP($D108 &amp; "-" &amp; X$2, TrainingMan!$G:$G, TrainingMan!$F:$F, "2-Year") = "Forever",
  "Valid",
  IF(X108="", "Not Trained",
     IF(X108 &lt; TODAY() - 1, "Expired",
        IF(X108 &lt;= TODAY() + 90, "Expiring", "Valid")
     )
  )
)</f>
        <v>Valid</v>
      </c>
      <c r="Z108" s="4">
        <v>45129</v>
      </c>
      <c r="AA108" s="4" t="str">
        <f ca="1">IF(LEN(TRIM(Z108)) = 0, "Not Trained",
  IF(_xlfn.XLOOKUP($D108 &amp; "-" &amp; Z$2, TrainingMan!$G:$G, TrainingMan!$F:$F, "2-Year") = "Forever", "Valid",
    IF(Z108 &lt; TODAY() - 1, "Expired",
      IF(Z108 &lt;= TODAY() + 90, "Expiring", "Valid")
    )
  )
)</f>
        <v>Valid</v>
      </c>
      <c r="AB108" s="4">
        <v>45500</v>
      </c>
      <c r="AC108" s="4"/>
      <c r="AD108" s="4">
        <v>45896</v>
      </c>
      <c r="AE108" s="4"/>
      <c r="AF108" s="4">
        <v>44993</v>
      </c>
      <c r="AG108" s="4"/>
      <c r="AH108" s="4"/>
      <c r="AI108" s="4"/>
      <c r="AJ108" s="4"/>
      <c r="AN108" s="4"/>
      <c r="AQ108" s="4"/>
      <c r="AR108" s="4"/>
      <c r="AS108" s="4"/>
      <c r="AT108" s="4"/>
      <c r="AU108" s="4"/>
      <c r="BB108" s="4">
        <v>46046</v>
      </c>
      <c r="BC108" s="4" t="s">
        <v>264</v>
      </c>
      <c r="BD108" s="4" t="s">
        <v>558</v>
      </c>
      <c r="BE108" s="4"/>
      <c r="BF108" s="4">
        <v>42989</v>
      </c>
      <c r="BG108" s="4"/>
      <c r="BH108" s="4"/>
      <c r="BI108" s="4">
        <v>45636</v>
      </c>
      <c r="BJ108" s="4" t="s">
        <v>140</v>
      </c>
      <c r="BK108" s="4"/>
      <c r="BL108" s="4"/>
      <c r="BM108" s="4"/>
      <c r="BN108" s="4"/>
      <c r="BO108" s="4"/>
      <c r="BP108" s="4"/>
      <c r="BQ108">
        <f>COUNTIF('TrainingReq (Ach)'!B:B,Table13[[#This Row],[Job Title]])</f>
        <v>15</v>
      </c>
      <c r="BR108" cm="1">
        <f t="array" aca="1" ref="BR10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08" s="5">
        <f t="shared" ca="1" si="3"/>
        <v>0.93333333333333335</v>
      </c>
      <c r="BT108" t="s">
        <v>265</v>
      </c>
      <c r="BU108" t="s">
        <v>247</v>
      </c>
      <c r="BV108" t="s">
        <v>270</v>
      </c>
      <c r="BW108" s="4"/>
      <c r="CC108" t="s">
        <v>559</v>
      </c>
      <c r="CD108" s="4"/>
      <c r="CE108" s="4" t="str">
        <f ca="1">IF(
  _xlfn.XLOOKUP($D108 &amp; "-" &amp; CD$2, 'TrainingReq (Ach)'!$G:$G, 'TrainingReq (Ach)'!$F:$F, "2-Year") = "Forever",
  "Valid",
  IF(CD108="", "Not Trained",
     IF(CD108 &lt; TODAY() - 1, "Expired",
        IF(CD108 &lt;= TODAY() + 90, "Expiring", "Valid")
     )
  )
)</f>
        <v>Not Trained</v>
      </c>
      <c r="CF108" t="s">
        <v>250</v>
      </c>
      <c r="CG108" s="4">
        <v>56499</v>
      </c>
      <c r="CH108" s="4" t="str">
        <f ca="1">IF(
  _xlfn.XLOOKUP($D107 &amp; "-" &amp; CG$2, 'TrainingReq (Ach)'!$G:$G, 'TrainingReq (Ach)'!$F:$F, "2-Year") = "Forever",
  "Valid",
  IF(CG107="", "Not Trained",
     IF(CG107 &lt; TODAY() - 1, "Expired",
        IF(CG107 &lt;= TODAY() + 90, "Expiring", "Valid")
     )
  )
)</f>
        <v>Valid</v>
      </c>
      <c r="CI108" t="str">
        <f t="shared" si="4"/>
        <v>Not eligible</v>
      </c>
      <c r="CJ108" t="str">
        <f t="shared" si="5"/>
        <v>Not eligible</v>
      </c>
    </row>
    <row r="109" spans="1:88" x14ac:dyDescent="0.25">
      <c r="A109">
        <v>107</v>
      </c>
      <c r="B109">
        <v>583734</v>
      </c>
      <c r="C109" t="s">
        <v>96</v>
      </c>
      <c r="D109" t="s">
        <v>18</v>
      </c>
      <c r="E109" t="s">
        <v>263</v>
      </c>
      <c r="F109" t="s">
        <v>537</v>
      </c>
      <c r="G109" t="s">
        <v>53</v>
      </c>
      <c r="H109" s="4">
        <v>46532</v>
      </c>
      <c r="I109" s="4" t="str">
        <f ca="1">IF(
  _xlfn.XLOOKUP($D109 &amp; "-" &amp; H$2, 'TrainingReq (Ach)'!G:G, 'TrainingReq (Ach)'!F:F, "2-Year") = "Forever",
  "Valid",
  IF(H109="", "Not Trained",
     IF(H109 &lt; TODAY() - 1, "Expired",
        IF(H109 &lt;= TODAY() + 90, "Expiring", "Valid")
     )
  )
)</f>
        <v>Valid</v>
      </c>
      <c r="J109" s="4">
        <v>46532</v>
      </c>
      <c r="K109" s="4" t="str">
        <f ca="1">IF(
  _xlfn.XLOOKUP($D109 &amp; "-" &amp; J$2, 'TrainingReq (Ach)'!G:G, 'TrainingReq (Ach)'!F:F, "2-Year") = "Forever",
  "Valid",
  IF(J109="", "Not Trained",
     IF(J109 &lt; TODAY() - 1, "Expired",
        IF(J109 &lt;= TODAY() + 90, "Expiring", "Valid")
     )
  )
)</f>
        <v>Valid</v>
      </c>
      <c r="L109" s="4">
        <v>46253</v>
      </c>
      <c r="M109" s="4" t="str">
        <f ca="1">IF(
  _xlfn.XLOOKUP($D109 &amp; "-" &amp; L$2, TrainingMan!$G:$G, TrainingMan!$F:$F, "2-Year") = "Forever",
  "Valid",
  IF(L109="", "Not Trained",
     IF(L109 &lt; TODAY() - 1, "Expired",
        IF(L109 &lt;= TODAY() + 90, "Expiring", "Valid")
     )
  )
)</f>
        <v>Expired</v>
      </c>
      <c r="N109" s="4">
        <v>46603</v>
      </c>
      <c r="O109" s="4" t="str">
        <f ca="1">IF(
  _xlfn.XLOOKUP($D109 &amp; "-" &amp; N$2, TrainingMan!$G:$G, TrainingMan!$F:$F, "2-Year") = "Forever",
  "Valid",
  IF(N109="", "Not Trained",
     IF(N109 &lt; TODAY() - 1, "Expired",
        IF(N109 &lt;= TODAY() + 90, "Expiring", "Valid")
     )
  )
)</f>
        <v>Valid</v>
      </c>
      <c r="P109" s="4">
        <v>46603</v>
      </c>
      <c r="Q109" s="4" t="str">
        <f ca="1">IF(
  _xlfn.XLOOKUP($D109 &amp; "-" &amp; P$2, TrainingMan!$G:$G, TrainingMan!$F:$F, "2-Year") = "Forever",
  "Valid",
  IF(P109="", "Not Trained",
     IF(P109 &lt; TODAY() - 1, "Expired",
        IF(P109 &lt;= TODAY() + 90, "Expiring", "Valid")
     )
  )
)</f>
        <v>Valid</v>
      </c>
      <c r="R109" s="4">
        <v>46603</v>
      </c>
      <c r="S109" s="4" t="str">
        <f ca="1">IF(
  _xlfn.XLOOKUP($D109 &amp; "-" &amp; R$2, TrainingMan!$G:$G, TrainingMan!$F:$F, "2-Year") = "Forever",
  "Valid",
  IF(R109="", "Not Trained",
     IF(R109 &lt; TODAY() - 1, "Expired",
        IF(R109 &lt;= TODAY() + 90, "Expiring", "Valid")
     )
  )
)</f>
        <v>Valid</v>
      </c>
      <c r="T109" s="4">
        <v>46603</v>
      </c>
      <c r="U109" s="4" t="str">
        <f ca="1">IF(
  _xlfn.XLOOKUP($D109 &amp; "-" &amp; T$2, TrainingMan!$G:$G, TrainingMan!$F:$F, "2-Year") = "Forever",
  "Valid",
  IF(T109="", "Not Trained",
     IF(T109 &lt; TODAY() - 1, "Expired",
        IF(T109 &lt;= TODAY() + 90, "Expiring", "Valid")
     )
  )
)</f>
        <v>Valid</v>
      </c>
      <c r="V109" s="4">
        <v>46603</v>
      </c>
      <c r="W109" s="4" t="str">
        <f ca="1">IF(
  _xlfn.XLOOKUP($D109 &amp; "-" &amp; V$2, TrainingMan!$G:$G, TrainingMan!$F:$F, "2-Year") = "Forever",
  "Valid",
  IF(V109="", "Not Trained",
     IF(V109 &lt; TODAY() - 1, "Expired",
        IF(V109 &lt;= TODAY() + 90, "Expiring", "Valid")
     )
  )
)</f>
        <v>Valid</v>
      </c>
      <c r="X109" s="4">
        <v>46603</v>
      </c>
      <c r="Y109" s="4" t="str">
        <f ca="1">IF(
  _xlfn.XLOOKUP($D109 &amp; "-" &amp; X$2, TrainingMan!$G:$G, TrainingMan!$F:$F, "2-Year") = "Forever",
  "Valid",
  IF(X109="", "Not Trained",
     IF(X109 &lt; TODAY() - 1, "Expired",
        IF(X109 &lt;= TODAY() + 90, "Expiring", "Valid")
     )
  )
)</f>
        <v>Valid</v>
      </c>
      <c r="Z109" s="4">
        <v>45113</v>
      </c>
      <c r="AA109" s="4" t="str">
        <f ca="1">IF(LEN(TRIM(Z109)) = 0, "Not Trained",
  IF(_xlfn.XLOOKUP($D109 &amp; "-" &amp; Z$2, TrainingMan!$G:$G, TrainingMan!$F:$F, "2-Year") = "Forever", "Valid",
    IF(Z109 &lt; TODAY() - 1, "Expired",
      IF(Z109 &lt;= TODAY() + 90, "Expiring", "Valid")
    )
  )
)</f>
        <v>Valid</v>
      </c>
      <c r="AB109" s="4">
        <v>45396</v>
      </c>
      <c r="AC109" s="4">
        <v>46062</v>
      </c>
      <c r="AD109" s="4">
        <v>45534</v>
      </c>
      <c r="AE109" s="4"/>
      <c r="AF109" s="4"/>
      <c r="AG109" s="4"/>
      <c r="AH109" s="4"/>
      <c r="AI109" s="4"/>
      <c r="AJ109" s="4"/>
      <c r="AN109" s="4"/>
      <c r="AQ109" s="4"/>
      <c r="AR109" s="4"/>
      <c r="AS109" s="4"/>
      <c r="AT109" s="4"/>
      <c r="AU109" s="4"/>
      <c r="BB109" s="4">
        <v>46290</v>
      </c>
      <c r="BC109" s="4" t="s">
        <v>297</v>
      </c>
      <c r="BD109" s="4" t="s">
        <v>435</v>
      </c>
      <c r="BE109" s="4"/>
      <c r="BF109" s="4">
        <v>42982</v>
      </c>
      <c r="BG109" s="4"/>
      <c r="BH109" s="4"/>
      <c r="BI109" s="4">
        <v>44984</v>
      </c>
      <c r="BJ109" s="4" t="s">
        <v>144</v>
      </c>
      <c r="BK109" s="4"/>
      <c r="BL109" s="4"/>
      <c r="BM109" s="4"/>
      <c r="BN109" s="4"/>
      <c r="BO109" s="4"/>
      <c r="BP109" s="4"/>
      <c r="BQ109">
        <f>COUNTIF('TrainingReq (Ach)'!B:B,Table13[[#This Row],[Job Title]])</f>
        <v>15</v>
      </c>
      <c r="BR109" cm="1">
        <f t="array" aca="1" ref="BR10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09" s="5">
        <f t="shared" ca="1" si="3"/>
        <v>1</v>
      </c>
      <c r="BT109" t="s">
        <v>265</v>
      </c>
      <c r="BU109" t="s">
        <v>247</v>
      </c>
      <c r="BW109" s="4"/>
      <c r="CC109" t="s">
        <v>560</v>
      </c>
      <c r="CD109" s="4"/>
      <c r="CE109" s="4" t="str">
        <f ca="1">IF(
  _xlfn.XLOOKUP($D109 &amp; "-" &amp; CD$2, 'TrainingReq (Ach)'!$G:$G, 'TrainingReq (Ach)'!$F:$F, "2-Year") = "Forever",
  "Valid",
  IF(CD109="", "Not Trained",
     IF(CD109 &lt; TODAY() - 1, "Expired",
        IF(CD109 &lt;= TODAY() + 90, "Expiring", "Valid")
     )
  )
)</f>
        <v>Not Trained</v>
      </c>
      <c r="CF109" t="s">
        <v>250</v>
      </c>
      <c r="CG109" s="4">
        <v>56718</v>
      </c>
      <c r="CH109" s="4" t="str">
        <f ca="1">IF(
  _xlfn.XLOOKUP($D108 &amp; "-" &amp; CG$2, 'TrainingReq (Ach)'!$G:$G, 'TrainingReq (Ach)'!$F:$F, "2-Year") = "Forever",
  "Valid",
  IF(CG108="", "Not Trained",
     IF(CG108 &lt; TODAY() - 1, "Expired",
        IF(CG108 &lt;= TODAY() + 90, "Expiring", "Valid")
     )
  )
)</f>
        <v>Valid</v>
      </c>
      <c r="CI109" t="str">
        <f t="shared" si="4"/>
        <v>Not eligible</v>
      </c>
      <c r="CJ109" t="str">
        <f t="shared" si="5"/>
        <v>Not eligible</v>
      </c>
    </row>
    <row r="110" spans="1:88" x14ac:dyDescent="0.25">
      <c r="A110">
        <v>108</v>
      </c>
      <c r="B110">
        <v>532704</v>
      </c>
      <c r="C110" t="s">
        <v>561</v>
      </c>
      <c r="D110" t="s">
        <v>6</v>
      </c>
      <c r="E110" t="s">
        <v>243</v>
      </c>
      <c r="F110" t="s">
        <v>537</v>
      </c>
      <c r="G110" t="s">
        <v>53</v>
      </c>
      <c r="H110" s="4">
        <v>46574</v>
      </c>
      <c r="I110" s="4" t="str">
        <f ca="1">IF(
  _xlfn.XLOOKUP($D110 &amp; "-" &amp; H$2, 'TrainingReq (Ach)'!G:G, 'TrainingReq (Ach)'!F:F, "2-Year") = "Forever",
  "Valid",
  IF(H110="", "Not Trained",
     IF(H110 &lt; TODAY() - 1, "Expired",
        IF(H110 &lt;= TODAY() + 90, "Expiring", "Valid")
     )
  )
)</f>
        <v>Valid</v>
      </c>
      <c r="J110" s="4">
        <v>46574</v>
      </c>
      <c r="K110" s="4" t="str">
        <f ca="1">IF(
  _xlfn.XLOOKUP($D110 &amp; "-" &amp; J$2, 'TrainingReq (Ach)'!G:G, 'TrainingReq (Ach)'!F:F, "2-Year") = "Forever",
  "Valid",
  IF(J110="", "Not Trained",
     IF(J110 &lt; TODAY() - 1, "Expired",
        IF(J110 &lt;= TODAY() + 90, "Expiring", "Valid")
     )
  )
)</f>
        <v>Valid</v>
      </c>
      <c r="L110" s="4">
        <v>46616</v>
      </c>
      <c r="M110" s="4" t="str">
        <f ca="1">IF(
  _xlfn.XLOOKUP($D110 &amp; "-" &amp; L$2, TrainingMan!$G:$G, TrainingMan!$F:$F, "2-Year") = "Forever",
  "Valid",
  IF(L110="", "Not Trained",
     IF(L110 &lt; TODAY() - 1, "Expired",
        IF(L110 &lt;= TODAY() + 90, "Expiring", "Valid")
     )
  )
)</f>
        <v>Valid</v>
      </c>
      <c r="N110" s="4">
        <v>46616</v>
      </c>
      <c r="O110" s="4" t="str">
        <f ca="1">IF(
  _xlfn.XLOOKUP($D110 &amp; "-" &amp; N$2, TrainingMan!$G:$G, TrainingMan!$F:$F, "2-Year") = "Forever",
  "Valid",
  IF(N110="", "Not Trained",
     IF(N110 &lt; TODAY() - 1, "Expired",
        IF(N110 &lt;= TODAY() + 90, "Expiring", "Valid")
     )
  )
)</f>
        <v>Valid</v>
      </c>
      <c r="P110" s="4">
        <v>46616</v>
      </c>
      <c r="Q110" s="4" t="str">
        <f ca="1">IF(
  _xlfn.XLOOKUP($D110 &amp; "-" &amp; P$2, TrainingMan!$G:$G, TrainingMan!$F:$F, "2-Year") = "Forever",
  "Valid",
  IF(P110="", "Not Trained",
     IF(P110 &lt; TODAY() - 1, "Expired",
        IF(P110 &lt;= TODAY() + 90, "Expiring", "Valid")
     )
  )
)</f>
        <v>Valid</v>
      </c>
      <c r="R110" s="4">
        <v>46616</v>
      </c>
      <c r="S110" s="4" t="str">
        <f ca="1">IF(
  _xlfn.XLOOKUP($D110 &amp; "-" &amp; R$2, TrainingMan!$G:$G, TrainingMan!$F:$F, "2-Year") = "Forever",
  "Valid",
  IF(R110="", "Not Trained",
     IF(R110 &lt; TODAY() - 1, "Expired",
        IF(R110 &lt;= TODAY() + 90, "Expiring", "Valid")
     )
  )
)</f>
        <v>Valid</v>
      </c>
      <c r="T110" s="4">
        <v>46616</v>
      </c>
      <c r="U110" s="4" t="str">
        <f ca="1">IF(
  _xlfn.XLOOKUP($D110 &amp; "-" &amp; T$2, TrainingMan!$G:$G, TrainingMan!$F:$F, "2-Year") = "Forever",
  "Valid",
  IF(T110="", "Not Trained",
     IF(T110 &lt; TODAY() - 1, "Expired",
        IF(T110 &lt;= TODAY() + 90, "Expiring", "Valid")
     )
  )
)</f>
        <v>Valid</v>
      </c>
      <c r="V110" s="4">
        <v>46616</v>
      </c>
      <c r="W110" s="4" t="str">
        <f ca="1">IF(
  _xlfn.XLOOKUP($D110 &amp; "-" &amp; V$2, TrainingMan!$G:$G, TrainingMan!$F:$F, "2-Year") = "Forever",
  "Valid",
  IF(V110="", "Not Trained",
     IF(V110 &lt; TODAY() - 1, "Expired",
        IF(V110 &lt;= TODAY() + 90, "Expiring", "Valid")
     )
  )
)</f>
        <v>Valid</v>
      </c>
      <c r="X110" s="4">
        <v>46616</v>
      </c>
      <c r="Y110" s="4" t="str">
        <f ca="1">IF(
  _xlfn.XLOOKUP($D110 &amp; "-" &amp; X$2, TrainingMan!$G:$G, TrainingMan!$F:$F, "2-Year") = "Forever",
  "Valid",
  IF(X110="", "Not Trained",
     IF(X110 &lt; TODAY() - 1, "Expired",
        IF(X110 &lt;= TODAY() + 90, "Expiring", "Valid")
     )
  )
)</f>
        <v>Valid</v>
      </c>
      <c r="Z110" s="4">
        <v>45171</v>
      </c>
      <c r="AA110" s="4" t="str">
        <f ca="1">IF(LEN(TRIM(Z110)) = 0, "Not Trained",
  IF(_xlfn.XLOOKUP($D110 &amp; "-" &amp; Z$2, TrainingMan!$G:$G, TrainingMan!$F:$F, "2-Year") = "Forever", "Valid",
    IF(Z110 &lt; TODAY() - 1, "Expired",
      IF(Z110 &lt;= TODAY() + 90, "Expiring", "Valid")
    )
  )
)</f>
        <v>Valid</v>
      </c>
      <c r="AB110" s="4">
        <v>40676</v>
      </c>
      <c r="AC110" s="4">
        <v>43010</v>
      </c>
      <c r="AD110" s="4">
        <v>43504</v>
      </c>
      <c r="AE110" s="4">
        <v>43527</v>
      </c>
      <c r="AF110" s="4">
        <v>43889</v>
      </c>
      <c r="AG110" s="4">
        <v>44404</v>
      </c>
      <c r="AH110" s="4"/>
      <c r="AI110" s="4"/>
      <c r="AJ110" s="4"/>
      <c r="AN110" s="4"/>
      <c r="AQ110" s="4"/>
      <c r="AR110" s="4"/>
      <c r="AS110" s="4"/>
      <c r="AT110" s="4"/>
      <c r="AU110" s="4"/>
      <c r="BB110" s="4">
        <v>45957</v>
      </c>
      <c r="BC110" s="4" t="s">
        <v>358</v>
      </c>
      <c r="BD110" s="4" t="s">
        <v>393</v>
      </c>
      <c r="BE110" s="4"/>
      <c r="BF110" s="4">
        <v>39701</v>
      </c>
      <c r="BG110" s="4"/>
      <c r="BH110" s="4"/>
      <c r="BI110" s="4">
        <v>42877</v>
      </c>
      <c r="BJ110" s="4" t="s">
        <v>140</v>
      </c>
      <c r="BK110" s="4" t="s">
        <v>147</v>
      </c>
      <c r="BL110" s="4"/>
      <c r="BM110" s="4" t="s">
        <v>255</v>
      </c>
      <c r="BN110" s="4"/>
      <c r="BO110" s="4"/>
      <c r="BP110" s="4"/>
      <c r="BQ110">
        <f>COUNTIF('TrainingReq (Ach)'!B:B,Table13[[#This Row],[Job Title]])</f>
        <v>15</v>
      </c>
      <c r="BR110" cm="1">
        <f t="array" aca="1" ref="BR11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0" s="5">
        <f t="shared" ca="1" si="3"/>
        <v>1</v>
      </c>
      <c r="BT110" t="s">
        <v>338</v>
      </c>
      <c r="BU110" t="s">
        <v>247</v>
      </c>
      <c r="BV110" t="s">
        <v>256</v>
      </c>
      <c r="BW110" s="4" t="s">
        <v>140</v>
      </c>
      <c r="BZ110" t="s">
        <v>562</v>
      </c>
      <c r="CA110">
        <v>1</v>
      </c>
      <c r="CC110" t="s">
        <v>563</v>
      </c>
      <c r="CD110" s="4">
        <v>46310</v>
      </c>
      <c r="CE110" s="4" t="str">
        <f ca="1">IF(
  _xlfn.XLOOKUP($D110 &amp; "-" &amp; CD$2, 'TrainingReq (Ach)'!$G:$G, 'TrainingReq (Ach)'!$F:$F, "2-Year") = "Forever",
  "Valid",
  IF(CD110="", "Not Trained",
     IF(CD110 &lt; TODAY() - 1, "Expired",
        IF(CD110 &lt;= TODAY() + 90, "Expiring", "Valid")
     )
  )
)</f>
        <v>Expiring</v>
      </c>
      <c r="CF110" t="s">
        <v>250</v>
      </c>
      <c r="CG110" s="4">
        <v>53112</v>
      </c>
      <c r="CH110" s="4" t="str">
        <f ca="1">IF(
  _xlfn.XLOOKUP($D109 &amp; "-" &amp; CG$2, 'TrainingReq (Ach)'!$G:$G, 'TrainingReq (Ach)'!$F:$F, "2-Year") = "Forever",
  "Valid",
  IF(CG109="", "Not Trained",
     IF(CG109 &lt; TODAY() - 1, "Expired",
        IF(CG109 &lt;= TODAY() + 90, "Expiring", "Valid")
     )
  )
)</f>
        <v>Valid</v>
      </c>
      <c r="CI110" t="str">
        <f t="shared" si="4"/>
        <v>Eligible</v>
      </c>
      <c r="CJ110" t="str">
        <f t="shared" si="5"/>
        <v>Not eligible</v>
      </c>
    </row>
    <row r="111" spans="1:88" x14ac:dyDescent="0.25">
      <c r="A111">
        <v>109</v>
      </c>
      <c r="B111">
        <v>580635</v>
      </c>
      <c r="C111" t="s">
        <v>564</v>
      </c>
      <c r="D111" t="s">
        <v>6</v>
      </c>
      <c r="E111" t="s">
        <v>243</v>
      </c>
      <c r="F111" t="s">
        <v>537</v>
      </c>
      <c r="G111" t="s">
        <v>53</v>
      </c>
      <c r="H111" s="4">
        <v>46654</v>
      </c>
      <c r="I111" s="4" t="str">
        <f ca="1">IF(
  _xlfn.XLOOKUP($D111 &amp; "-" &amp; H$2, 'TrainingReq (Ach)'!G:G, 'TrainingReq (Ach)'!F:F, "2-Year") = "Forever",
  "Valid",
  IF(H111="", "Not Trained",
     IF(H111 &lt; TODAY() - 1, "Expired",
        IF(H111 &lt;= TODAY() + 90, "Expiring", "Valid")
     )
  )
)</f>
        <v>Valid</v>
      </c>
      <c r="J111" s="4">
        <v>46654</v>
      </c>
      <c r="K111" s="4" t="str">
        <f ca="1">IF(
  _xlfn.XLOOKUP($D111 &amp; "-" &amp; J$2, 'TrainingReq (Ach)'!G:G, 'TrainingReq (Ach)'!F:F, "2-Year") = "Forever",
  "Valid",
  IF(J111="", "Not Trained",
     IF(J111 &lt; TODAY() - 1, "Expired",
        IF(J111 &lt;= TODAY() + 90, "Expiring", "Valid")
     )
  )
)</f>
        <v>Valid</v>
      </c>
      <c r="L111" s="4">
        <v>46679</v>
      </c>
      <c r="M111" s="4" t="str">
        <f ca="1">IF(
  _xlfn.XLOOKUP($D111 &amp; "-" &amp; L$2, TrainingMan!$G:$G, TrainingMan!$F:$F, "2-Year") = "Forever",
  "Valid",
  IF(L111="", "Not Trained",
     IF(L111 &lt; TODAY() - 1, "Expired",
        IF(L111 &lt;= TODAY() + 90, "Expiring", "Valid")
     )
  )
)</f>
        <v>Valid</v>
      </c>
      <c r="N111" s="4">
        <v>46679</v>
      </c>
      <c r="O111" s="4" t="str">
        <f ca="1">IF(
  _xlfn.XLOOKUP($D111 &amp; "-" &amp; N$2, TrainingMan!$G:$G, TrainingMan!$F:$F, "2-Year") = "Forever",
  "Valid",
  IF(N111="", "Not Trained",
     IF(N111 &lt; TODAY() - 1, "Expired",
        IF(N111 &lt;= TODAY() + 90, "Expiring", "Valid")
     )
  )
)</f>
        <v>Valid</v>
      </c>
      <c r="P111" s="4">
        <v>46679</v>
      </c>
      <c r="Q111" s="4" t="str">
        <f ca="1">IF(
  _xlfn.XLOOKUP($D111 &amp; "-" &amp; P$2, TrainingMan!$G:$G, TrainingMan!$F:$F, "2-Year") = "Forever",
  "Valid",
  IF(P111="", "Not Trained",
     IF(P111 &lt; TODAY() - 1, "Expired",
        IF(P111 &lt;= TODAY() + 90, "Expiring", "Valid")
     )
  )
)</f>
        <v>Valid</v>
      </c>
      <c r="R111" s="4">
        <v>46679</v>
      </c>
      <c r="S111" s="4" t="str">
        <f ca="1">IF(
  _xlfn.XLOOKUP($D111 &amp; "-" &amp; R$2, TrainingMan!$G:$G, TrainingMan!$F:$F, "2-Year") = "Forever",
  "Valid",
  IF(R111="", "Not Trained",
     IF(R111 &lt; TODAY() - 1, "Expired",
        IF(R111 &lt;= TODAY() + 90, "Expiring", "Valid")
     )
  )
)</f>
        <v>Valid</v>
      </c>
      <c r="T111" s="4">
        <v>46679</v>
      </c>
      <c r="U111" s="4" t="str">
        <f ca="1">IF(
  _xlfn.XLOOKUP($D111 &amp; "-" &amp; T$2, TrainingMan!$G:$G, TrainingMan!$F:$F, "2-Year") = "Forever",
  "Valid",
  IF(T111="", "Not Trained",
     IF(T111 &lt; TODAY() - 1, "Expired",
        IF(T111 &lt;= TODAY() + 90, "Expiring", "Valid")
     )
  )
)</f>
        <v>Valid</v>
      </c>
      <c r="V111" s="4">
        <v>46679</v>
      </c>
      <c r="W111" s="4" t="str">
        <f ca="1">IF(
  _xlfn.XLOOKUP($D111 &amp; "-" &amp; V$2, TrainingMan!$G:$G, TrainingMan!$F:$F, "2-Year") = "Forever",
  "Valid",
  IF(V111="", "Not Trained",
     IF(V111 &lt; TODAY() - 1, "Expired",
        IF(V111 &lt;= TODAY() + 90, "Expiring", "Valid")
     )
  )
)</f>
        <v>Valid</v>
      </c>
      <c r="X111" s="4">
        <v>46679</v>
      </c>
      <c r="Y111" s="4" t="str">
        <f ca="1">IF(
  _xlfn.XLOOKUP($D111 &amp; "-" &amp; X$2, TrainingMan!$G:$G, TrainingMan!$F:$F, "2-Year") = "Forever",
  "Valid",
  IF(X111="", "Not Trained",
     IF(X111 &lt; TODAY() - 1, "Expired",
        IF(X111 &lt;= TODAY() + 90, "Expiring", "Valid")
     )
  )
)</f>
        <v>Valid</v>
      </c>
      <c r="Z111" s="4">
        <v>45233</v>
      </c>
      <c r="AA111" s="4" t="str">
        <f ca="1">IF(LEN(TRIM(Z111)) = 0, "Not Trained",
  IF(_xlfn.XLOOKUP($D111 &amp; "-" &amp; Z$2, TrainingMan!$G:$G, TrainingMan!$F:$F, "2-Year") = "Forever", "Valid",
    IF(Z111 &lt; TODAY() - 1, "Expired",
      IF(Z111 &lt;= TODAY() + 90, "Expiring", "Valid")
    )
  )
)</f>
        <v>Valid</v>
      </c>
      <c r="AB111" s="4">
        <v>44175</v>
      </c>
      <c r="AC111" s="4">
        <v>43453</v>
      </c>
      <c r="AD111" s="4">
        <v>45100</v>
      </c>
      <c r="AE111" s="4"/>
      <c r="AF111" s="4">
        <v>45331</v>
      </c>
      <c r="AG111" s="4">
        <v>45181</v>
      </c>
      <c r="AH111" s="4"/>
      <c r="AI111" s="4"/>
      <c r="AJ111" s="4"/>
      <c r="AN111" s="4"/>
      <c r="AQ111" s="4"/>
      <c r="AR111" s="4"/>
      <c r="AS111" s="4"/>
      <c r="AT111" s="4" t="s">
        <v>565</v>
      </c>
      <c r="AU111" s="4"/>
      <c r="BB111" s="4">
        <v>46262</v>
      </c>
      <c r="BC111" s="4" t="s">
        <v>323</v>
      </c>
      <c r="BD111" s="4" t="s">
        <v>254</v>
      </c>
      <c r="BE111" s="4"/>
      <c r="BF111" s="4"/>
      <c r="BG111" s="4">
        <v>41799</v>
      </c>
      <c r="BH111" s="4"/>
      <c r="BI111" s="4">
        <v>45414</v>
      </c>
      <c r="BJ111" s="4" t="s">
        <v>140</v>
      </c>
      <c r="BK111" s="4"/>
      <c r="BL111" s="4"/>
      <c r="BM111" s="4"/>
      <c r="BN111" s="4"/>
      <c r="BO111" s="4"/>
      <c r="BP111" s="4"/>
      <c r="BQ111">
        <f>COUNTIF('TrainingReq (Ach)'!B:B,Table13[[#This Row],[Job Title]])</f>
        <v>15</v>
      </c>
      <c r="BR111" cm="1">
        <f t="array" aca="1" ref="BR11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1" s="5">
        <f t="shared" ca="1" si="3"/>
        <v>1</v>
      </c>
      <c r="BT111" t="s">
        <v>338</v>
      </c>
      <c r="BU111" t="s">
        <v>247</v>
      </c>
      <c r="BV111" t="s">
        <v>256</v>
      </c>
      <c r="BW111" s="4" t="s">
        <v>140</v>
      </c>
      <c r="BZ111">
        <v>11708</v>
      </c>
      <c r="CA111">
        <v>1</v>
      </c>
      <c r="CC111" t="s">
        <v>566</v>
      </c>
      <c r="CD111" s="4"/>
      <c r="CE111" s="4" t="str">
        <f ca="1">IF(
  _xlfn.XLOOKUP($D111 &amp; "-" &amp; CD$2, 'TrainingReq (Ach)'!$G:$G, 'TrainingReq (Ach)'!$F:$F, "2-Year") = "Forever",
  "Valid",
  IF(CD111="", "Not Trained",
     IF(CD111 &lt; TODAY() - 1, "Expired",
        IF(CD111 &lt;= TODAY() + 90, "Expiring", "Valid")
     )
  )
)</f>
        <v>Not Trained</v>
      </c>
      <c r="CF111" t="s">
        <v>250</v>
      </c>
      <c r="CG111" s="4">
        <v>54109</v>
      </c>
      <c r="CH111" s="4" t="str">
        <f ca="1">IF(
  _xlfn.XLOOKUP($D110 &amp; "-" &amp; CG$2, 'TrainingReq (Ach)'!$G:$G, 'TrainingReq (Ach)'!$F:$F, "2-Year") = "Forever",
  "Valid",
  IF(CG110="", "Not Trained",
     IF(CG110 &lt; TODAY() - 1, "Expired",
        IF(CG110 &lt;= TODAY() + 90, "Expiring", "Valid")
     )
  )
)</f>
        <v>Valid</v>
      </c>
      <c r="CI111" t="str">
        <f t="shared" si="4"/>
        <v>Eligible</v>
      </c>
      <c r="CJ111" t="str">
        <f t="shared" si="5"/>
        <v>Not eligible</v>
      </c>
    </row>
    <row r="112" spans="1:88" x14ac:dyDescent="0.25">
      <c r="A112">
        <v>110</v>
      </c>
      <c r="B112">
        <v>782751</v>
      </c>
      <c r="C112" t="s">
        <v>567</v>
      </c>
      <c r="D112" t="s">
        <v>23</v>
      </c>
      <c r="E112" t="s">
        <v>303</v>
      </c>
      <c r="F112" t="s">
        <v>537</v>
      </c>
      <c r="G112" t="s">
        <v>53</v>
      </c>
      <c r="H112" s="4">
        <v>46487</v>
      </c>
      <c r="I112" s="4" t="str">
        <f ca="1">IF(
  _xlfn.XLOOKUP($D112 &amp; "-" &amp; H$2, 'TrainingReq (Ach)'!G:G, 'TrainingReq (Ach)'!F:F, "2-Year") = "Forever",
  "Valid",
  IF(H112="", "Not Trained",
     IF(H112 &lt; TODAY() - 1, "Expired",
        IF(H112 &lt;= TODAY() + 90, "Expiring", "Valid")
     )
  )
)</f>
        <v>Valid</v>
      </c>
      <c r="J112" s="4">
        <v>46550</v>
      </c>
      <c r="K112" s="4" t="str">
        <f ca="1">IF(
  _xlfn.XLOOKUP($D112 &amp; "-" &amp; J$2, 'TrainingReq (Ach)'!G:G, 'TrainingReq (Ach)'!F:F, "2-Year") = "Forever",
  "Valid",
  IF(J112="", "Not Trained",
     IF(J112 &lt; TODAY() - 1, "Expired",
        IF(J112 &lt;= TODAY() + 90, "Expiring", "Valid")
     )
  )
)</f>
        <v>Valid</v>
      </c>
      <c r="L112" s="4">
        <f>Table13[[#This Row],[Mandatory for Supporting]]</f>
        <v>44986</v>
      </c>
      <c r="M112" s="4" t="str">
        <f ca="1">IF(
  _xlfn.XLOOKUP($D112 &amp; "-" &amp; L$2, TrainingMan!$G:$G, TrainingMan!$F:$F, "2-Year") = "Forever",
  "Valid",
  IF(L112="", "Not Trained",
     IF(L112 &lt; TODAY() - 1, "Expired",
        IF(L112 &lt;= TODAY() + 90, "Expiring", "Valid")
     )
  )
)</f>
        <v>Valid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>
        <v>45929</v>
      </c>
      <c r="AC112" s="4"/>
      <c r="AD112" s="4"/>
      <c r="AE112" s="4"/>
      <c r="AF112" s="4"/>
      <c r="AG112" s="4"/>
      <c r="AH112" s="4"/>
      <c r="AI112" s="4"/>
      <c r="AJ112" s="4"/>
      <c r="AN112" s="4"/>
      <c r="AQ112" s="4"/>
      <c r="AR112" s="4"/>
      <c r="AS112" s="4"/>
      <c r="AT112" s="4"/>
      <c r="AU112" s="4"/>
      <c r="BB112" s="4"/>
      <c r="BC112" s="4"/>
      <c r="BD112" s="4">
        <v>45819</v>
      </c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>
        <v>44986</v>
      </c>
      <c r="BQ112">
        <f>COUNTIF('TrainingReq (Ach)'!B:B,Table13[[#This Row],[Job Title]])</f>
        <v>3</v>
      </c>
      <c r="BR112" cm="1">
        <f t="array" aca="1" ref="BR11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12" s="5">
        <f t="shared" ca="1" si="3"/>
        <v>1</v>
      </c>
      <c r="BT112" t="s">
        <v>568</v>
      </c>
      <c r="BU112" t="s">
        <v>247</v>
      </c>
      <c r="BW112" s="4"/>
      <c r="CD112" s="4"/>
      <c r="CE112" s="4" t="str">
        <f ca="1">IF(
  _xlfn.XLOOKUP($D112 &amp; "-" &amp; CD$2, 'TrainingReq (Ach)'!$G:$G, 'TrainingReq (Ach)'!$F:$F, "2-Year") = "Forever",
  "Valid",
  IF(CD112="", "Not Trained",
     IF(CD112 &lt; TODAY() - 1, "Expired",
        IF(CD112 &lt;= TODAY() + 90, "Expiring", "Valid")
     )
  )
)</f>
        <v>Not Trained</v>
      </c>
      <c r="CF112" t="s">
        <v>250</v>
      </c>
      <c r="CG112" s="4"/>
      <c r="CH112" s="4" t="str">
        <f ca="1">IF(
  _xlfn.XLOOKUP($D111 &amp; "-" &amp; CG$2, 'TrainingReq (Ach)'!$G:$G, 'TrainingReq (Ach)'!$F:$F, "2-Year") = "Forever",
  "Valid",
  IF(CG111="", "Not Trained",
     IF(CG111 &lt; TODAY() - 1, "Expired",
        IF(CG111 &lt;= TODAY() + 90, "Expiring", "Valid")
     )
  )
)</f>
        <v>Valid</v>
      </c>
      <c r="CI112" t="str">
        <f t="shared" si="4"/>
        <v>Not eligible</v>
      </c>
      <c r="CJ112" t="str">
        <f t="shared" si="5"/>
        <v>Not eligible</v>
      </c>
    </row>
    <row r="113" spans="1:88" x14ac:dyDescent="0.25">
      <c r="A113">
        <v>111</v>
      </c>
      <c r="B113">
        <v>782752</v>
      </c>
      <c r="C113" t="s">
        <v>569</v>
      </c>
      <c r="D113" t="s">
        <v>23</v>
      </c>
      <c r="E113" t="s">
        <v>303</v>
      </c>
      <c r="F113" t="s">
        <v>537</v>
      </c>
      <c r="G113" t="s">
        <v>53</v>
      </c>
      <c r="H113" s="4">
        <v>46487</v>
      </c>
      <c r="I113" s="4" t="str">
        <f ca="1">IF(
  _xlfn.XLOOKUP($D113 &amp; "-" &amp; H$2, 'TrainingReq (Ach)'!G:G, 'TrainingReq (Ach)'!F:F, "2-Year") = "Forever",
  "Valid",
  IF(H113="", "Not Trained",
     IF(H113 &lt; TODAY() - 1, "Expired",
        IF(H113 &lt;= TODAY() + 90, "Expiring", "Valid")
     )
  )
)</f>
        <v>Valid</v>
      </c>
      <c r="J113" s="4">
        <v>46550</v>
      </c>
      <c r="K113" s="4" t="str">
        <f ca="1">IF(
  _xlfn.XLOOKUP($D113 &amp; "-" &amp; J$2, 'TrainingReq (Ach)'!G:G, 'TrainingReq (Ach)'!F:F, "2-Year") = "Forever",
  "Valid",
  IF(J113="", "Not Trained",
     IF(J113 &lt; TODAY() - 1, "Expired",
        IF(J113 &lt;= TODAY() + 90, "Expiring", "Valid")
     )
  )
)</f>
        <v>Valid</v>
      </c>
      <c r="L113" s="4">
        <f>Table13[[#This Row],[Mandatory for Supporting]]</f>
        <v>44986</v>
      </c>
      <c r="M113" s="4" t="str">
        <f ca="1">IF(
  _xlfn.XLOOKUP($D113 &amp; "-" &amp; L$2, TrainingMan!$G:$G, TrainingMan!$F:$F, "2-Year") = "Forever",
  "Valid",
  IF(L113="", "Not Trained",
     IF(L113 &lt; TODAY() - 1, "Expired",
        IF(L113 &lt;= TODAY() + 90, "Expiring", "Valid")
     )
  )
)</f>
        <v>Valid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N113" s="4"/>
      <c r="AQ113" s="4"/>
      <c r="AR113" s="4"/>
      <c r="AS113" s="4"/>
      <c r="AT113" s="4"/>
      <c r="AU113" s="4"/>
      <c r="BB113" s="4"/>
      <c r="BC113" s="4"/>
      <c r="BD113" s="4">
        <v>45819</v>
      </c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>
        <v>44986</v>
      </c>
      <c r="BQ113">
        <f>COUNTIF('TrainingReq (Ach)'!B:B,Table13[[#This Row],[Job Title]])</f>
        <v>3</v>
      </c>
      <c r="BR113" cm="1">
        <f t="array" aca="1" ref="BR11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13" s="5">
        <f t="shared" ca="1" si="3"/>
        <v>1</v>
      </c>
      <c r="BT113" t="s">
        <v>568</v>
      </c>
      <c r="BU113" t="s">
        <v>247</v>
      </c>
      <c r="BW113" s="4"/>
      <c r="CD113" s="4"/>
      <c r="CE113" s="4" t="str">
        <f ca="1">IF(
  _xlfn.XLOOKUP($D113 &amp; "-" &amp; CD$2, 'TrainingReq (Ach)'!$G:$G, 'TrainingReq (Ach)'!$F:$F, "2-Year") = "Forever",
  "Valid",
  IF(CD113="", "Not Trained",
     IF(CD113 &lt; TODAY() - 1, "Expired",
        IF(CD113 &lt;= TODAY() + 90, "Expiring", "Valid")
     )
  )
)</f>
        <v>Not Trained</v>
      </c>
      <c r="CF113" t="s">
        <v>250</v>
      </c>
      <c r="CG113" s="4"/>
      <c r="CH113" s="4" t="str">
        <f ca="1">IF(
  _xlfn.XLOOKUP($D112 &amp; "-" &amp; CG$2, 'TrainingReq (Ach)'!$G:$G, 'TrainingReq (Ach)'!$F:$F, "2-Year") = "Forever",
  "Valid",
  IF(CG112="", "Not Trained",
     IF(CG112 &lt; TODAY() - 1, "Expired",
        IF(CG112 &lt;= TODAY() + 90, "Expiring", "Valid")
     )
  )
)</f>
        <v>Not Trained</v>
      </c>
      <c r="CI113" t="str">
        <f t="shared" si="4"/>
        <v>Not eligible</v>
      </c>
      <c r="CJ113" t="str">
        <f t="shared" si="5"/>
        <v>Not eligible</v>
      </c>
    </row>
    <row r="114" spans="1:88" x14ac:dyDescent="0.25">
      <c r="A114">
        <v>112</v>
      </c>
      <c r="B114">
        <v>782753</v>
      </c>
      <c r="C114" t="s">
        <v>570</v>
      </c>
      <c r="D114" t="s">
        <v>23</v>
      </c>
      <c r="E114" t="s">
        <v>303</v>
      </c>
      <c r="F114" t="s">
        <v>537</v>
      </c>
      <c r="G114" t="s">
        <v>53</v>
      </c>
      <c r="H114" s="4">
        <v>46487</v>
      </c>
      <c r="I114" s="4" t="str">
        <f ca="1">IF(
  _xlfn.XLOOKUP($D114 &amp; "-" &amp; H$2, 'TrainingReq (Ach)'!G:G, 'TrainingReq (Ach)'!F:F, "2-Year") = "Forever",
  "Valid",
  IF(H114="", "Not Trained",
     IF(H114 &lt; TODAY() - 1, "Expired",
        IF(H114 &lt;= TODAY() + 90, "Expiring", "Valid")
     )
  )
)</f>
        <v>Valid</v>
      </c>
      <c r="J114" s="4">
        <v>46520</v>
      </c>
      <c r="K114" s="4" t="str">
        <f ca="1">IF(
  _xlfn.XLOOKUP($D114 &amp; "-" &amp; J$2, 'TrainingReq (Ach)'!G:G, 'TrainingReq (Ach)'!F:F, "2-Year") = "Forever",
  "Valid",
  IF(J114="", "Not Trained",
     IF(J114 &lt; TODAY() - 1, "Expired",
        IF(J114 &lt;= TODAY() + 90, "Expiring", "Valid")
     )
  )
)</f>
        <v>Valid</v>
      </c>
      <c r="L114" s="4">
        <f>Table13[[#This Row],[Mandatory for Supporting]]</f>
        <v>44986</v>
      </c>
      <c r="M114" s="4" t="str">
        <f ca="1">IF(
  _xlfn.XLOOKUP($D114 &amp; "-" &amp; L$2, TrainingMan!$G:$G, TrainingMan!$F:$F, "2-Year") = "Forever",
  "Valid",
  IF(L114="", "Not Trained",
     IF(L114 &lt; TODAY() - 1, "Expired",
        IF(L114 &lt;= TODAY() + 90, "Expiring", "Valid")
     )
  )
)</f>
        <v>Valid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N114" s="4"/>
      <c r="AQ114" s="4"/>
      <c r="AR114" s="4"/>
      <c r="AS114" s="4"/>
      <c r="AT114" s="4"/>
      <c r="AU114" s="4"/>
      <c r="BB114" s="4"/>
      <c r="BC114" s="4"/>
      <c r="BD114" s="4">
        <v>45819</v>
      </c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>
        <v>44986</v>
      </c>
      <c r="BQ114">
        <f>COUNTIF('TrainingReq (Ach)'!B:B,Table13[[#This Row],[Job Title]])</f>
        <v>3</v>
      </c>
      <c r="BR114" cm="1">
        <f t="array" aca="1" ref="BR11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14" s="5">
        <f t="shared" ca="1" si="3"/>
        <v>1</v>
      </c>
      <c r="BT114" t="s">
        <v>568</v>
      </c>
      <c r="BU114" t="s">
        <v>247</v>
      </c>
      <c r="BW114" s="4"/>
      <c r="CD114" s="4"/>
      <c r="CE114" s="4" t="str">
        <f ca="1">IF(
  _xlfn.XLOOKUP($D114 &amp; "-" &amp; CD$2, 'TrainingReq (Ach)'!$G:$G, 'TrainingReq (Ach)'!$F:$F, "2-Year") = "Forever",
  "Valid",
  IF(CD114="", "Not Trained",
     IF(CD114 &lt; TODAY() - 1, "Expired",
        IF(CD114 &lt;= TODAY() + 90, "Expiring", "Valid")
     )
  )
)</f>
        <v>Not Trained</v>
      </c>
      <c r="CF114" t="s">
        <v>250</v>
      </c>
      <c r="CG114" s="4"/>
      <c r="CH114" s="4" t="str">
        <f ca="1">IF(
  _xlfn.XLOOKUP($D113 &amp; "-" &amp; CG$2, 'TrainingReq (Ach)'!$G:$G, 'TrainingReq (Ach)'!$F:$F, "2-Year") = "Forever",
  "Valid",
  IF(CG113="", "Not Trained",
     IF(CG113 &lt; TODAY() - 1, "Expired",
        IF(CG113 &lt;= TODAY() + 90, "Expiring", "Valid")
     )
  )
)</f>
        <v>Not Trained</v>
      </c>
      <c r="CI114" t="str">
        <f t="shared" si="4"/>
        <v>Not eligible</v>
      </c>
      <c r="CJ114" t="str">
        <f t="shared" si="5"/>
        <v>Not eligible</v>
      </c>
    </row>
    <row r="115" spans="1:88" x14ac:dyDescent="0.25">
      <c r="A115">
        <v>113</v>
      </c>
      <c r="B115">
        <v>782754</v>
      </c>
      <c r="C115" t="s">
        <v>571</v>
      </c>
      <c r="D115" t="s">
        <v>23</v>
      </c>
      <c r="E115" t="s">
        <v>303</v>
      </c>
      <c r="F115" t="s">
        <v>537</v>
      </c>
      <c r="G115" t="s">
        <v>53</v>
      </c>
      <c r="H115" s="4">
        <v>46487</v>
      </c>
      <c r="I115" s="4" t="str">
        <f ca="1">IF(
  _xlfn.XLOOKUP($D115 &amp; "-" &amp; H$2, 'TrainingReq (Ach)'!G:G, 'TrainingReq (Ach)'!F:F, "2-Year") = "Forever",
  "Valid",
  IF(H115="", "Not Trained",
     IF(H115 &lt; TODAY() - 1, "Expired",
        IF(H115 &lt;= TODAY() + 90, "Expiring", "Valid")
     )
  )
)</f>
        <v>Valid</v>
      </c>
      <c r="J115" s="4">
        <v>46520</v>
      </c>
      <c r="K115" s="4" t="str">
        <f ca="1">IF(
  _xlfn.XLOOKUP($D115 &amp; "-" &amp; J$2, 'TrainingReq (Ach)'!G:G, 'TrainingReq (Ach)'!F:F, "2-Year") = "Forever",
  "Valid",
  IF(J115="", "Not Trained",
     IF(J115 &lt; TODAY() - 1, "Expired",
        IF(J115 &lt;= TODAY() + 90, "Expiring", "Valid")
     )
  )
)</f>
        <v>Valid</v>
      </c>
      <c r="L115" s="4">
        <f>Table13[[#This Row],[Mandatory for Supporting]]</f>
        <v>44986</v>
      </c>
      <c r="M115" s="4" t="str">
        <f ca="1">IF(
  _xlfn.XLOOKUP($D115 &amp; "-" &amp; L$2, TrainingMan!$G:$G, TrainingMan!$F:$F, "2-Year") = "Forever",
  "Valid",
  IF(L115="", "Not Trained",
     IF(L115 &lt; TODAY() - 1, "Expired",
        IF(L115 &lt;= TODAY() + 90, "Expiring", "Valid")
     )
  )
)</f>
        <v>Valid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>
        <v>45929</v>
      </c>
      <c r="AC115" s="4"/>
      <c r="AD115" s="4"/>
      <c r="AE115" s="4"/>
      <c r="AF115" s="4"/>
      <c r="AG115" s="4"/>
      <c r="AH115" s="4"/>
      <c r="AI115" s="4"/>
      <c r="AJ115" s="4"/>
      <c r="AN115" s="4"/>
      <c r="AQ115" s="4"/>
      <c r="AR115" s="4"/>
      <c r="AS115" s="4"/>
      <c r="AT115" s="4"/>
      <c r="AU115" s="4"/>
      <c r="BB115" s="4"/>
      <c r="BC115" s="4"/>
      <c r="BD115" s="4">
        <v>45819</v>
      </c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>
        <v>44986</v>
      </c>
      <c r="BQ115">
        <f>COUNTIF('TrainingReq (Ach)'!B:B,Table13[[#This Row],[Job Title]])</f>
        <v>3</v>
      </c>
      <c r="BR115" cm="1">
        <f t="array" aca="1" ref="BR11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15" s="5">
        <f t="shared" ca="1" si="3"/>
        <v>1</v>
      </c>
      <c r="BT115" t="s">
        <v>568</v>
      </c>
      <c r="BU115" t="s">
        <v>247</v>
      </c>
      <c r="BW115" s="4"/>
      <c r="CD115" s="4"/>
      <c r="CE115" s="4" t="str">
        <f ca="1">IF(
  _xlfn.XLOOKUP($D115 &amp; "-" &amp; CD$2, 'TrainingReq (Ach)'!$G:$G, 'TrainingReq (Ach)'!$F:$F, "2-Year") = "Forever",
  "Valid",
  IF(CD115="", "Not Trained",
     IF(CD115 &lt; TODAY() - 1, "Expired",
        IF(CD115 &lt;= TODAY() + 90, "Expiring", "Valid")
     )
  )
)</f>
        <v>Not Trained</v>
      </c>
      <c r="CF115" t="s">
        <v>250</v>
      </c>
      <c r="CG115" s="4"/>
      <c r="CH115" s="4" t="str">
        <f ca="1">IF(
  _xlfn.XLOOKUP($D114 &amp; "-" &amp; CG$2, 'TrainingReq (Ach)'!$G:$G, 'TrainingReq (Ach)'!$F:$F, "2-Year") = "Forever",
  "Valid",
  IF(CG114="", "Not Trained",
     IF(CG114 &lt; TODAY() - 1, "Expired",
        IF(CG114 &lt;= TODAY() + 90, "Expiring", "Valid")
     )
  )
)</f>
        <v>Not Trained</v>
      </c>
      <c r="CI115" t="str">
        <f t="shared" si="4"/>
        <v>Not eligible</v>
      </c>
      <c r="CJ115" t="str">
        <f t="shared" si="5"/>
        <v>Not eligible</v>
      </c>
    </row>
    <row r="116" spans="1:88" x14ac:dyDescent="0.25">
      <c r="A116">
        <v>114</v>
      </c>
      <c r="B116">
        <v>582691</v>
      </c>
      <c r="C116" t="s">
        <v>572</v>
      </c>
      <c r="D116" t="s">
        <v>6</v>
      </c>
      <c r="E116" t="s">
        <v>243</v>
      </c>
      <c r="F116" t="s">
        <v>537</v>
      </c>
      <c r="G116" t="s">
        <v>53</v>
      </c>
      <c r="H116" s="4">
        <v>46707</v>
      </c>
      <c r="I116" s="4" t="str">
        <f ca="1">IF(
  _xlfn.XLOOKUP($D116 &amp; "-" &amp; H$2, 'TrainingReq (Ach)'!G:G, 'TrainingReq (Ach)'!F:F, "2-Year") = "Forever",
  "Valid",
  IF(H116="", "Not Trained",
     IF(H116 &lt; TODAY() - 1, "Expired",
        IF(H116 &lt;= TODAY() + 90, "Expiring", "Valid")
     )
  )
)</f>
        <v>Valid</v>
      </c>
      <c r="J116" s="4">
        <v>46707</v>
      </c>
      <c r="K116" s="4" t="str">
        <f ca="1">IF(
  _xlfn.XLOOKUP($D116 &amp; "-" &amp; J$2, 'TrainingReq (Ach)'!G:G, 'TrainingReq (Ach)'!F:F, "2-Year") = "Forever",
  "Valid",
  IF(J116="", "Not Trained",
     IF(J116 &lt; TODAY() - 1, "Expired",
        IF(J116 &lt;= TODAY() + 90, "Expiring", "Valid")
     )
  )
)</f>
        <v>Valid</v>
      </c>
      <c r="L116" s="4">
        <v>46813</v>
      </c>
      <c r="M116" s="4" t="str">
        <f ca="1">IF(
  _xlfn.XLOOKUP($D116 &amp; "-" &amp; L$2, TrainingMan!$G:$G, TrainingMan!$F:$F, "2-Year") = "Forever",
  "Valid",
  IF(L116="", "Not Trained",
     IF(L116 &lt; TODAY() - 1, "Expired",
        IF(L116 &lt;= TODAY() + 90, "Expiring", "Valid")
     )
  )
)</f>
        <v>Valid</v>
      </c>
      <c r="N116" s="4">
        <v>46813</v>
      </c>
      <c r="O116" s="4" t="str">
        <f ca="1">IF(
  _xlfn.XLOOKUP($D116 &amp; "-" &amp; N$2, TrainingMan!$G:$G, TrainingMan!$F:$F, "2-Year") = "Forever",
  "Valid",
  IF(N116="", "Not Trained",
     IF(N116 &lt; TODAY() - 1, "Expired",
        IF(N116 &lt;= TODAY() + 90, "Expiring", "Valid")
     )
  )
)</f>
        <v>Valid</v>
      </c>
      <c r="P116" s="4">
        <v>46813</v>
      </c>
      <c r="Q116" s="4" t="str">
        <f ca="1">IF(
  _xlfn.XLOOKUP($D116 &amp; "-" &amp; P$2, TrainingMan!$G:$G, TrainingMan!$F:$F, "2-Year") = "Forever",
  "Valid",
  IF(P116="", "Not Trained",
     IF(P116 &lt; TODAY() - 1, "Expired",
        IF(P116 &lt;= TODAY() + 90, "Expiring", "Valid")
     )
  )
)</f>
        <v>Valid</v>
      </c>
      <c r="R116" s="4">
        <v>46813</v>
      </c>
      <c r="S116" s="4" t="str">
        <f ca="1">IF(
  _xlfn.XLOOKUP($D116 &amp; "-" &amp; R$2, TrainingMan!$G:$G, TrainingMan!$F:$F, "2-Year") = "Forever",
  "Valid",
  IF(R116="", "Not Trained",
     IF(R116 &lt; TODAY() - 1, "Expired",
        IF(R116 &lt;= TODAY() + 90, "Expiring", "Valid")
     )
  )
)</f>
        <v>Valid</v>
      </c>
      <c r="T116" s="4">
        <v>46813</v>
      </c>
      <c r="U116" s="4" t="str">
        <f ca="1">IF(
  _xlfn.XLOOKUP($D116 &amp; "-" &amp; T$2, TrainingMan!$G:$G, TrainingMan!$F:$F, "2-Year") = "Forever",
  "Valid",
  IF(T116="", "Not Trained",
     IF(T116 &lt; TODAY() - 1, "Expired",
        IF(T116 &lt;= TODAY() + 90, "Expiring", "Valid")
     )
  )
)</f>
        <v>Valid</v>
      </c>
      <c r="V116" s="4">
        <v>46813</v>
      </c>
      <c r="W116" s="4" t="str">
        <f ca="1">IF(
  _xlfn.XLOOKUP($D116 &amp; "-" &amp; V$2, TrainingMan!$G:$G, TrainingMan!$F:$F, "2-Year") = "Forever",
  "Valid",
  IF(V116="", "Not Trained",
     IF(V116 &lt; TODAY() - 1, "Expired",
        IF(V116 &lt;= TODAY() + 90, "Expiring", "Valid")
     )
  )
)</f>
        <v>Valid</v>
      </c>
      <c r="X116" s="4">
        <v>46813</v>
      </c>
      <c r="Y116" s="4" t="str">
        <f ca="1">IF(
  _xlfn.XLOOKUP($D116 &amp; "-" &amp; X$2, TrainingMan!$G:$G, TrainingMan!$F:$F, "2-Year") = "Forever",
  "Valid",
  IF(X116="", "Not Trained",
     IF(X116 &lt; TODAY() - 1, "Expired",
        IF(X116 &lt;= TODAY() + 90, "Expiring", "Valid")
     )
  )
)</f>
        <v>Valid</v>
      </c>
      <c r="Z116" s="4">
        <v>45548</v>
      </c>
      <c r="AA116" s="4" t="str">
        <f ca="1">IF(LEN(TRIM(Z116)) = 0, "Not Trained",
  IF(_xlfn.XLOOKUP($D116 &amp; "-" &amp; Z$2, TrainingMan!$G:$G, TrainingMan!$F:$F, "2-Year") = "Forever", "Valid",
    IF(Z116 &lt; TODAY() - 1, "Expired",
      IF(Z116 &lt;= TODAY() + 90, "Expiring", "Valid")
    )
  )
)</f>
        <v>Valid</v>
      </c>
      <c r="AB116" s="4">
        <v>43504</v>
      </c>
      <c r="AC116" s="4">
        <v>44130</v>
      </c>
      <c r="AD116" s="4">
        <v>44946</v>
      </c>
      <c r="AE116" s="4">
        <v>45620</v>
      </c>
      <c r="AF116" s="4">
        <v>45367</v>
      </c>
      <c r="AG116" s="4">
        <v>45349</v>
      </c>
      <c r="AH116" s="4"/>
      <c r="AI116" s="4"/>
      <c r="AJ116" s="4"/>
      <c r="AN116" s="4"/>
      <c r="AQ116" s="4"/>
      <c r="AR116" s="4"/>
      <c r="AS116" s="4"/>
      <c r="AT116" s="4" t="s">
        <v>573</v>
      </c>
      <c r="AU116" s="4"/>
      <c r="BB116" s="4">
        <v>46409</v>
      </c>
      <c r="BC116" s="4" t="s">
        <v>274</v>
      </c>
      <c r="BD116" s="4" t="s">
        <v>275</v>
      </c>
      <c r="BE116" s="4"/>
      <c r="BF116" s="4">
        <v>41890</v>
      </c>
      <c r="BG116" s="4"/>
      <c r="BH116" s="4"/>
      <c r="BI116" s="4">
        <v>43796</v>
      </c>
      <c r="BJ116" s="4" t="s">
        <v>144</v>
      </c>
      <c r="BK116" s="4" t="s">
        <v>151</v>
      </c>
      <c r="BL116" s="4"/>
      <c r="BM116" s="4"/>
      <c r="BN116" s="4"/>
      <c r="BO116" s="4"/>
      <c r="BP116" s="4"/>
      <c r="BQ116">
        <f>COUNTIF('TrainingReq (Ach)'!B:B,Table13[[#This Row],[Job Title]])</f>
        <v>15</v>
      </c>
      <c r="BR116" cm="1">
        <f t="array" aca="1" ref="BR11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6" s="5">
        <f t="shared" ca="1" si="3"/>
        <v>1</v>
      </c>
      <c r="BT116" t="s">
        <v>246</v>
      </c>
      <c r="BU116" t="s">
        <v>247</v>
      </c>
      <c r="BV116" t="s">
        <v>256</v>
      </c>
      <c r="BW116" s="4" t="s">
        <v>144</v>
      </c>
      <c r="BZ116" t="s">
        <v>574</v>
      </c>
      <c r="CA116">
        <v>1</v>
      </c>
      <c r="CC116" t="s">
        <v>575</v>
      </c>
      <c r="CD116" s="4">
        <v>46323</v>
      </c>
      <c r="CE116" s="4" t="str">
        <f ca="1">IF(
  _xlfn.XLOOKUP($D116 &amp; "-" &amp; CD$2, 'TrainingReq (Ach)'!$G:$G, 'TrainingReq (Ach)'!$F:$F, "2-Year") = "Forever",
  "Valid",
  IF(CD116="", "Not Trained",
     IF(CD116 &lt; TODAY() - 1, "Expired",
        IF(CD116 &lt;= TODAY() + 90, "Expiring", "Valid")
     )
  )
)</f>
        <v>Expiring</v>
      </c>
      <c r="CF116" t="s">
        <v>250</v>
      </c>
      <c r="CG116" s="4">
        <v>55104</v>
      </c>
      <c r="CH116" s="4" t="str">
        <f ca="1">IF(
  _xlfn.XLOOKUP($D115 &amp; "-" &amp; CG$2, 'TrainingReq (Ach)'!$G:$G, 'TrainingReq (Ach)'!$F:$F, "2-Year") = "Forever",
  "Valid",
  IF(CG115="", "Not Trained",
     IF(CG115 &lt; TODAY() - 1, "Expired",
        IF(CG115 &lt;= TODAY() + 90, "Expiring", "Valid")
     )
  )
)</f>
        <v>Not Trained</v>
      </c>
      <c r="CI116" t="str">
        <f t="shared" si="4"/>
        <v>Eligible</v>
      </c>
      <c r="CJ116" t="str">
        <f t="shared" si="5"/>
        <v>Not eligible</v>
      </c>
    </row>
    <row r="117" spans="1:88" x14ac:dyDescent="0.25">
      <c r="A117">
        <v>115</v>
      </c>
      <c r="B117">
        <v>582232</v>
      </c>
      <c r="C117" t="s">
        <v>77</v>
      </c>
      <c r="D117" t="s">
        <v>18</v>
      </c>
      <c r="E117" t="s">
        <v>263</v>
      </c>
      <c r="F117" t="s">
        <v>537</v>
      </c>
      <c r="G117" t="s">
        <v>53</v>
      </c>
      <c r="H117" s="4">
        <v>46766</v>
      </c>
      <c r="I117" s="4" t="str">
        <f ca="1">IF(
  _xlfn.XLOOKUP($D117 &amp; "-" &amp; H$2, 'TrainingReq (Ach)'!G:G, 'TrainingReq (Ach)'!F:F, "2-Year") = "Forever",
  "Valid",
  IF(H117="", "Not Trained",
     IF(H117 &lt; TODAY() - 1, "Expired",
        IF(H117 &lt;= TODAY() + 90, "Expiring", "Valid")
     )
  )
)</f>
        <v>Valid</v>
      </c>
      <c r="J117" s="4">
        <v>46766</v>
      </c>
      <c r="K117" s="4" t="str">
        <f ca="1">IF(
  _xlfn.XLOOKUP($D117 &amp; "-" &amp; J$2, 'TrainingReq (Ach)'!G:G, 'TrainingReq (Ach)'!F:F, "2-Year") = "Forever",
  "Valid",
  IF(J117="", "Not Trained",
     IF(J117 &lt; TODAY() - 1, "Expired",
        IF(J117 &lt;= TODAY() + 90, "Expiring", "Valid")
     )
  )
)</f>
        <v>Valid</v>
      </c>
      <c r="L117" s="4">
        <v>46888</v>
      </c>
      <c r="M117" s="4" t="str">
        <f ca="1">IF(
  _xlfn.XLOOKUP($D117 &amp; "-" &amp; L$2, TrainingMan!$G:$G, TrainingMan!$F:$F, "2-Year") = "Forever",
  "Valid",
  IF(L117="", "Not Trained",
     IF(L117 &lt; TODAY() - 1, "Expired",
        IF(L117 &lt;= TODAY() + 90, "Expiring", "Valid")
     )
  )
)</f>
        <v>Valid</v>
      </c>
      <c r="N117" s="4">
        <v>46888</v>
      </c>
      <c r="O117" s="4" t="str">
        <f ca="1">IF(
  _xlfn.XLOOKUP($D117 &amp; "-" &amp; N$2, TrainingMan!$G:$G, TrainingMan!$F:$F, "2-Year") = "Forever",
  "Valid",
  IF(N117="", "Not Trained",
     IF(N117 &lt; TODAY() - 1, "Expired",
        IF(N117 &lt;= TODAY() + 90, "Expiring", "Valid")
     )
  )
)</f>
        <v>Valid</v>
      </c>
      <c r="P117" s="4">
        <v>46888</v>
      </c>
      <c r="Q117" s="4" t="str">
        <f ca="1">IF(
  _xlfn.XLOOKUP($D117 &amp; "-" &amp; P$2, TrainingMan!$G:$G, TrainingMan!$F:$F, "2-Year") = "Forever",
  "Valid",
  IF(P117="", "Not Trained",
     IF(P117 &lt; TODAY() - 1, "Expired",
        IF(P117 &lt;= TODAY() + 90, "Expiring", "Valid")
     )
  )
)</f>
        <v>Valid</v>
      </c>
      <c r="R117" s="4">
        <v>46888</v>
      </c>
      <c r="S117" s="4" t="str">
        <f ca="1">IF(
  _xlfn.XLOOKUP($D117 &amp; "-" &amp; R$2, TrainingMan!$G:$G, TrainingMan!$F:$F, "2-Year") = "Forever",
  "Valid",
  IF(R117="", "Not Trained",
     IF(R117 &lt; TODAY() - 1, "Expired",
        IF(R117 &lt;= TODAY() + 90, "Expiring", "Valid")
     )
  )
)</f>
        <v>Valid</v>
      </c>
      <c r="T117" s="4">
        <v>46888</v>
      </c>
      <c r="U117" s="4" t="str">
        <f ca="1">IF(
  _xlfn.XLOOKUP($D117 &amp; "-" &amp; T$2, TrainingMan!$G:$G, TrainingMan!$F:$F, "2-Year") = "Forever",
  "Valid",
  IF(T117="", "Not Trained",
     IF(T117 &lt; TODAY() - 1, "Expired",
        IF(T117 &lt;= TODAY() + 90, "Expiring", "Valid")
     )
  )
)</f>
        <v>Valid</v>
      </c>
      <c r="V117" s="4">
        <v>46888</v>
      </c>
      <c r="W117" s="4" t="str">
        <f ca="1">IF(
  _xlfn.XLOOKUP($D117 &amp; "-" &amp; V$2, TrainingMan!$G:$G, TrainingMan!$F:$F, "2-Year") = "Forever",
  "Valid",
  IF(V117="", "Not Trained",
     IF(V117 &lt; TODAY() - 1, "Expired",
        IF(V117 &lt;= TODAY() + 90, "Expiring", "Valid")
     )
  )
)</f>
        <v>Valid</v>
      </c>
      <c r="X117" s="4">
        <v>46888</v>
      </c>
      <c r="Y117" s="4" t="str">
        <f ca="1">IF(
  _xlfn.XLOOKUP($D117 &amp; "-" &amp; X$2, TrainingMan!$G:$G, TrainingMan!$F:$F, "2-Year") = "Forever",
  "Valid",
  IF(X117="", "Not Trained",
     IF(X117 &lt; TODAY() - 1, "Expired",
        IF(X117 &lt;= TODAY() + 90, "Expiring", "Valid")
     )
  )
)</f>
        <v>Valid</v>
      </c>
      <c r="Z117" s="4">
        <v>45249</v>
      </c>
      <c r="AA117" s="4" t="str">
        <f ca="1">IF(LEN(TRIM(Z117)) = 0, "Not Trained",
  IF(_xlfn.XLOOKUP($D117 &amp; "-" &amp; Z$2, TrainingMan!$G:$G, TrainingMan!$F:$F, "2-Year") = "Forever", "Valid",
    IF(Z117 &lt; TODAY() - 1, "Expired",
      IF(Z117 &lt;= TODAY() + 90, "Expiring", "Valid")
    )
  )
)</f>
        <v>Valid</v>
      </c>
      <c r="AB117" s="4">
        <v>43855</v>
      </c>
      <c r="AC117" s="4">
        <v>45985</v>
      </c>
      <c r="AD117" s="4">
        <v>44049</v>
      </c>
      <c r="AE117" s="4"/>
      <c r="AF117" s="4"/>
      <c r="AG117" s="4"/>
      <c r="AH117" s="4"/>
      <c r="AI117" s="4"/>
      <c r="AJ117" s="4"/>
      <c r="AN117" s="4"/>
      <c r="AQ117" s="4"/>
      <c r="AR117" s="4"/>
      <c r="AS117" s="4"/>
      <c r="AT117" s="4"/>
      <c r="AU117" s="4"/>
      <c r="BB117" s="4">
        <v>46325</v>
      </c>
      <c r="BC117" s="4" t="s">
        <v>323</v>
      </c>
      <c r="BD117" s="4" t="s">
        <v>393</v>
      </c>
      <c r="BE117" s="4"/>
      <c r="BF117" s="4"/>
      <c r="BG117" s="4"/>
      <c r="BH117" s="4"/>
      <c r="BI117" s="4">
        <v>43473</v>
      </c>
      <c r="BJ117" s="4" t="s">
        <v>145</v>
      </c>
      <c r="BK117" s="27" t="s">
        <v>149</v>
      </c>
      <c r="BL117" s="4"/>
      <c r="BM117" s="4"/>
      <c r="BN117" s="4"/>
      <c r="BO117" s="4"/>
      <c r="BP117" s="4"/>
      <c r="BQ117">
        <f>COUNTIF('TrainingReq (Ach)'!B:B,Table13[[#This Row],[Job Title]])</f>
        <v>15</v>
      </c>
      <c r="BR117" cm="1">
        <f t="array" aca="1" ref="BR11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7" s="5">
        <f t="shared" ca="1" si="3"/>
        <v>1</v>
      </c>
      <c r="BT117" t="s">
        <v>265</v>
      </c>
      <c r="BU117" t="s">
        <v>247</v>
      </c>
      <c r="BV117" t="s">
        <v>276</v>
      </c>
      <c r="BW117" s="4" t="s">
        <v>145</v>
      </c>
      <c r="BZ117">
        <v>16486</v>
      </c>
      <c r="CC117" t="s">
        <v>576</v>
      </c>
      <c r="CD117" s="4">
        <v>46916</v>
      </c>
      <c r="CE117" s="4" t="str">
        <f ca="1">IF(
  _xlfn.XLOOKUP($D117 &amp; "-" &amp; CD$2, 'TrainingReq (Ach)'!$G:$G, 'TrainingReq (Ach)'!$F:$F, "2-Year") = "Forever",
  "Valid",
  IF(CD117="", "Not Trained",
     IF(CD117 &lt; TODAY() - 1, "Expired",
        IF(CD117 &lt;= TODAY() + 90, "Expiring", "Valid")
     )
  )
)</f>
        <v>Valid</v>
      </c>
      <c r="CF117" t="s">
        <v>250</v>
      </c>
      <c r="CG117" s="4">
        <v>55268</v>
      </c>
      <c r="CH117" s="4" t="str">
        <f ca="1">IF(
  _xlfn.XLOOKUP($D116 &amp; "-" &amp; CG$2, 'TrainingReq (Ach)'!$G:$G, 'TrainingReq (Ach)'!$F:$F, "2-Year") = "Forever",
  "Valid",
  IF(CG116="", "Not Trained",
     IF(CG116 &lt; TODAY() - 1, "Expired",
        IF(CG116 &lt;= TODAY() + 90, "Expiring", "Valid")
     )
  )
)</f>
        <v>Valid</v>
      </c>
      <c r="CI117" t="str">
        <f t="shared" si="4"/>
        <v>Eligible</v>
      </c>
      <c r="CJ117" t="str">
        <f t="shared" si="5"/>
        <v>Not eligible</v>
      </c>
    </row>
    <row r="118" spans="1:88" x14ac:dyDescent="0.25">
      <c r="A118">
        <v>116</v>
      </c>
      <c r="B118">
        <v>582701</v>
      </c>
      <c r="C118" t="s">
        <v>577</v>
      </c>
      <c r="D118" t="s">
        <v>6</v>
      </c>
      <c r="E118" t="s">
        <v>243</v>
      </c>
      <c r="F118" t="s">
        <v>537</v>
      </c>
      <c r="G118" t="s">
        <v>53</v>
      </c>
      <c r="H118" s="4">
        <v>46770</v>
      </c>
      <c r="I118" s="4" t="str">
        <f ca="1">IF(
  _xlfn.XLOOKUP($D118 &amp; "-" &amp; H$2, 'TrainingReq (Ach)'!G:G, 'TrainingReq (Ach)'!F:F, "2-Year") = "Forever",
  "Valid",
  IF(H118="", "Not Trained",
     IF(H118 &lt; TODAY() - 1, "Expired",
        IF(H118 &lt;= TODAY() + 90, "Expiring", "Valid")
     )
  )
)</f>
        <v>Valid</v>
      </c>
      <c r="J118" s="4">
        <v>46770</v>
      </c>
      <c r="K118" s="4" t="str">
        <f ca="1">IF(
  _xlfn.XLOOKUP($D118 &amp; "-" &amp; J$2, 'TrainingReq (Ach)'!G:G, 'TrainingReq (Ach)'!F:F, "2-Year") = "Forever",
  "Valid",
  IF(J118="", "Not Trained",
     IF(J118 &lt; TODAY() - 1, "Expired",
        IF(J118 &lt;= TODAY() + 90, "Expiring", "Valid")
     )
  )
)</f>
        <v>Valid</v>
      </c>
      <c r="L118" s="4">
        <v>46799</v>
      </c>
      <c r="M118" s="4" t="str">
        <f ca="1">IF(
  _xlfn.XLOOKUP($D118 &amp; "-" &amp; L$2, TrainingMan!$G:$G, TrainingMan!$F:$F, "2-Year") = "Forever",
  "Valid",
  IF(L118="", "Not Trained",
     IF(L118 &lt; TODAY() - 1, "Expired",
        IF(L118 &lt;= TODAY() + 90, "Expiring", "Valid")
     )
  )
)</f>
        <v>Valid</v>
      </c>
      <c r="N118" s="4">
        <v>46799</v>
      </c>
      <c r="O118" s="4" t="str">
        <f ca="1">IF(
  _xlfn.XLOOKUP($D118 &amp; "-" &amp; N$2, TrainingMan!$G:$G, TrainingMan!$F:$F, "2-Year") = "Forever",
  "Valid",
  IF(N118="", "Not Trained",
     IF(N118 &lt; TODAY() - 1, "Expired",
        IF(N118 &lt;= TODAY() + 90, "Expiring", "Valid")
     )
  )
)</f>
        <v>Valid</v>
      </c>
      <c r="P118" s="4">
        <v>46799</v>
      </c>
      <c r="Q118" s="4" t="str">
        <f ca="1">IF(
  _xlfn.XLOOKUP($D118 &amp; "-" &amp; P$2, TrainingMan!$G:$G, TrainingMan!$F:$F, "2-Year") = "Forever",
  "Valid",
  IF(P118="", "Not Trained",
     IF(P118 &lt; TODAY() - 1, "Expired",
        IF(P118 &lt;= TODAY() + 90, "Expiring", "Valid")
     )
  )
)</f>
        <v>Valid</v>
      </c>
      <c r="R118" s="4">
        <v>46799</v>
      </c>
      <c r="S118" s="4" t="str">
        <f ca="1">IF(
  _xlfn.XLOOKUP($D118 &amp; "-" &amp; R$2, TrainingMan!$G:$G, TrainingMan!$F:$F, "2-Year") = "Forever",
  "Valid",
  IF(R118="", "Not Trained",
     IF(R118 &lt; TODAY() - 1, "Expired",
        IF(R118 &lt;= TODAY() + 90, "Expiring", "Valid")
     )
  )
)</f>
        <v>Valid</v>
      </c>
      <c r="T118" s="4">
        <v>46799</v>
      </c>
      <c r="U118" s="4" t="str">
        <f ca="1">IF(
  _xlfn.XLOOKUP($D118 &amp; "-" &amp; T$2, TrainingMan!$G:$G, TrainingMan!$F:$F, "2-Year") = "Forever",
  "Valid",
  IF(T118="", "Not Trained",
     IF(T118 &lt; TODAY() - 1, "Expired",
        IF(T118 &lt;= TODAY() + 90, "Expiring", "Valid")
     )
  )
)</f>
        <v>Valid</v>
      </c>
      <c r="V118" s="4">
        <v>46799</v>
      </c>
      <c r="W118" s="4" t="str">
        <f ca="1">IF(
  _xlfn.XLOOKUP($D118 &amp; "-" &amp; V$2, TrainingMan!$G:$G, TrainingMan!$F:$F, "2-Year") = "Forever",
  "Valid",
  IF(V118="", "Not Trained",
     IF(V118 &lt; TODAY() - 1, "Expired",
        IF(V118 &lt;= TODAY() + 90, "Expiring", "Valid")
     )
  )
)</f>
        <v>Valid</v>
      </c>
      <c r="X118" s="4">
        <v>46799</v>
      </c>
      <c r="Y118" s="4" t="str">
        <f ca="1">IF(
  _xlfn.XLOOKUP($D118 &amp; "-" &amp; X$2, TrainingMan!$G:$G, TrainingMan!$F:$F, "2-Year") = "Forever",
  "Valid",
  IF(X118="", "Not Trained",
     IF(X118 &lt; TODAY() - 1, "Expired",
        IF(X118 &lt;= TODAY() + 90, "Expiring", "Valid")
     )
  )
)</f>
        <v>Valid</v>
      </c>
      <c r="Z118" s="4">
        <v>45403</v>
      </c>
      <c r="AA118" s="4" t="str">
        <f ca="1">IF(LEN(TRIM(Z118)) = 0, "Not Trained",
  IF(_xlfn.XLOOKUP($D118 &amp; "-" &amp; Z$2, TrainingMan!$G:$G, TrainingMan!$F:$F, "2-Year") = "Forever", "Valid",
    IF(Z118 &lt; TODAY() - 1, "Expired",
      IF(Z118 &lt;= TODAY() + 90, "Expiring", "Valid")
    )
  )
)</f>
        <v>Valid</v>
      </c>
      <c r="AB118" s="4">
        <v>43308</v>
      </c>
      <c r="AC118" s="4">
        <v>45625</v>
      </c>
      <c r="AD118" s="4">
        <v>45277</v>
      </c>
      <c r="AE118" s="4">
        <v>46033</v>
      </c>
      <c r="AF118" s="4">
        <v>45550</v>
      </c>
      <c r="AG118" s="4"/>
      <c r="AH118" s="4"/>
      <c r="AI118" s="4"/>
      <c r="AJ118" s="4"/>
      <c r="AN118" s="4"/>
      <c r="AQ118" s="4"/>
      <c r="AR118" s="4"/>
      <c r="AS118" s="4"/>
      <c r="AT118" s="4" t="s">
        <v>578</v>
      </c>
      <c r="AU118" s="4"/>
      <c r="BB118" s="4">
        <v>46325</v>
      </c>
      <c r="BC118" s="4" t="s">
        <v>579</v>
      </c>
      <c r="BD118" s="4" t="s">
        <v>393</v>
      </c>
      <c r="BE118" s="4"/>
      <c r="BF118" s="4">
        <v>41890</v>
      </c>
      <c r="BG118" s="4"/>
      <c r="BH118" s="4"/>
      <c r="BI118" s="4">
        <v>44312</v>
      </c>
      <c r="BJ118" s="4" t="s">
        <v>144</v>
      </c>
      <c r="BK118" s="4"/>
      <c r="BL118" s="4"/>
      <c r="BM118" s="4"/>
      <c r="BN118" s="4"/>
      <c r="BO118" s="4"/>
      <c r="BP118" s="4"/>
      <c r="BQ118">
        <f>COUNTIF('TrainingReq (Ach)'!B:B,Table13[[#This Row],[Job Title]])</f>
        <v>15</v>
      </c>
      <c r="BR118" cm="1">
        <f t="array" aca="1" ref="BR11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18" s="5">
        <f t="shared" ca="1" si="3"/>
        <v>1</v>
      </c>
      <c r="BT118" t="s">
        <v>246</v>
      </c>
      <c r="BU118" t="s">
        <v>247</v>
      </c>
      <c r="BV118" t="s">
        <v>256</v>
      </c>
      <c r="BW118" s="4" t="s">
        <v>144</v>
      </c>
      <c r="BZ118" t="s">
        <v>580</v>
      </c>
      <c r="CC118" t="s">
        <v>581</v>
      </c>
      <c r="CD118" s="4">
        <v>47105</v>
      </c>
      <c r="CE118" s="4" t="str">
        <f ca="1">IF(
  _xlfn.XLOOKUP($D118 &amp; "-" &amp; CD$2, 'TrainingReq (Ach)'!$G:$G, 'TrainingReq (Ach)'!$F:$F, "2-Year") = "Forever",
  "Valid",
  IF(CD118="", "Not Trained",
     IF(CD118 &lt; TODAY() - 1, "Expired",
        IF(CD118 &lt;= TODAY() + 90, "Expiring", "Valid")
     )
  )
)</f>
        <v>Valid</v>
      </c>
      <c r="CF118" t="s">
        <v>250</v>
      </c>
      <c r="CG118" s="4">
        <v>55636</v>
      </c>
      <c r="CH118" s="4" t="str">
        <f ca="1">IF(
  _xlfn.XLOOKUP($D117 &amp; "-" &amp; CG$2, 'TrainingReq (Ach)'!$G:$G, 'TrainingReq (Ach)'!$F:$F, "2-Year") = "Forever",
  "Valid",
  IF(CG117="", "Not Trained",
     IF(CG117 &lt; TODAY() - 1, "Expired",
        IF(CG117 &lt;= TODAY() + 90, "Expiring", "Valid")
     )
  )
)</f>
        <v>Valid</v>
      </c>
      <c r="CI118" t="str">
        <f t="shared" si="4"/>
        <v>Eligible</v>
      </c>
      <c r="CJ118" t="str">
        <f t="shared" si="5"/>
        <v>Not eligible</v>
      </c>
    </row>
    <row r="119" spans="1:88" x14ac:dyDescent="0.25">
      <c r="A119">
        <v>117</v>
      </c>
      <c r="B119">
        <v>582602</v>
      </c>
      <c r="C119" t="s">
        <v>582</v>
      </c>
      <c r="D119" t="s">
        <v>10</v>
      </c>
      <c r="E119" t="s">
        <v>327</v>
      </c>
      <c r="F119" t="s">
        <v>537</v>
      </c>
      <c r="G119" t="s">
        <v>50</v>
      </c>
      <c r="H119" s="4">
        <v>46773</v>
      </c>
      <c r="I119" s="4" t="str">
        <f ca="1">IF(
  _xlfn.XLOOKUP($D119 &amp; "-" &amp; H$2, 'TrainingReq (Ach)'!G:G, 'TrainingReq (Ach)'!F:F, "2-Year") = "Forever",
  "Valid",
  IF(H119="", "Not Trained",
     IF(H119 &lt; TODAY() - 1, "Expired",
        IF(H119 &lt;= TODAY() + 90, "Expiring", "Valid")
     )
  )
)</f>
        <v>Valid</v>
      </c>
      <c r="J119" s="4">
        <v>46773</v>
      </c>
      <c r="K119" s="4" t="str">
        <f ca="1">IF(
  _xlfn.XLOOKUP($D119 &amp; "-" &amp; J$2, 'TrainingReq (Ach)'!G:G, 'TrainingReq (Ach)'!F:F, "2-Year") = "Forever",
  "Valid",
  IF(J119="", "Not Trained",
     IF(J119 &lt; TODAY() - 1, "Expired",
        IF(J119 &lt;= TODAY() + 90, "Expiring", "Valid")
     )
  )
)</f>
        <v>Valid</v>
      </c>
      <c r="L119" s="4">
        <v>46948</v>
      </c>
      <c r="M119" s="4" t="str">
        <f ca="1">IF(
  _xlfn.XLOOKUP($D119 &amp; "-" &amp; L$2, TrainingMan!$G:$G, TrainingMan!$F:$F, "2-Year") = "Forever",
  "Valid",
  IF(L119="", "Not Trained",
     IF(L119 &lt; TODAY() - 1, "Expired",
        IF(L119 &lt;= TODAY() + 90, "Expiring", "Valid")
     )
  )
)</f>
        <v>Valid</v>
      </c>
      <c r="N119" s="4">
        <v>46929</v>
      </c>
      <c r="O119" s="4" t="str">
        <f ca="1">IF(
  _xlfn.XLOOKUP($D119 &amp; "-" &amp; N$2, TrainingMan!$G:$G, TrainingMan!$F:$F, "2-Year") = "Forever",
  "Valid",
  IF(N119="", "Not Trained",
     IF(N119 &lt; TODAY() - 1, "Expired",
        IF(N119 &lt;= TODAY() + 90, "Expiring", "Valid")
     )
  )
)</f>
        <v>Valid</v>
      </c>
      <c r="P119" s="4">
        <v>46930</v>
      </c>
      <c r="Q119" s="4" t="str">
        <f ca="1">IF(
  _xlfn.XLOOKUP($D119 &amp; "-" &amp; P$2, TrainingMan!$G:$G, TrainingMan!$F:$F, "2-Year") = "Forever",
  "Valid",
  IF(P119="", "Not Trained",
     IF(P119 &lt; TODAY() - 1, "Expired",
        IF(P119 &lt;= TODAY() + 90, "Expiring", "Valid")
     )
  )
)</f>
        <v>Valid</v>
      </c>
      <c r="R119" s="4">
        <v>46930</v>
      </c>
      <c r="S119" s="4" t="str">
        <f ca="1">IF(
  _xlfn.XLOOKUP($D119 &amp; "-" &amp; R$2, TrainingMan!$G:$G, TrainingMan!$F:$F, "2-Year") = "Forever",
  "Valid",
  IF(R119="", "Not Trained",
     IF(R119 &lt; TODAY() - 1, "Expired",
        IF(R119 &lt;= TODAY() + 90, "Expiring", "Valid")
     )
  )
)</f>
        <v>Valid</v>
      </c>
      <c r="T119" s="4">
        <v>46930</v>
      </c>
      <c r="U119" s="4" t="str">
        <f ca="1">IF(
  _xlfn.XLOOKUP($D119 &amp; "-" &amp; T$2, TrainingMan!$G:$G, TrainingMan!$F:$F, "2-Year") = "Forever",
  "Valid",
  IF(T119="", "Not Trained",
     IF(T119 &lt; TODAY() - 1, "Expired",
        IF(T119 &lt;= TODAY() + 90, "Expiring", "Valid")
     )
  )
)</f>
        <v>Valid</v>
      </c>
      <c r="V119" s="4">
        <v>46930</v>
      </c>
      <c r="W119" s="4" t="str">
        <f ca="1">IF(
  _xlfn.XLOOKUP($D119 &amp; "-" &amp; V$2, TrainingMan!$G:$G, TrainingMan!$F:$F, "2-Year") = "Forever",
  "Valid",
  IF(V119="", "Not Trained",
     IF(V119 &lt; TODAY() - 1, "Expired",
        IF(V119 &lt;= TODAY() + 90, "Expiring", "Valid")
     )
  )
)</f>
        <v>Valid</v>
      </c>
      <c r="X119" s="4">
        <v>46930</v>
      </c>
      <c r="Y119" s="4" t="str">
        <f ca="1">IF(
  _xlfn.XLOOKUP($D119 &amp; "-" &amp; X$2, TrainingMan!$G:$G, TrainingMan!$F:$F, "2-Year") = "Forever",
  "Valid",
  IF(X119="", "Not Trained",
     IF(X119 &lt; TODAY() - 1, "Expired",
        IF(X119 &lt;= TODAY() + 90, "Expiring", "Valid")
     )
  )
)</f>
        <v>Valid</v>
      </c>
      <c r="Z119" s="4">
        <v>45389</v>
      </c>
      <c r="AA119" s="4" t="str">
        <f ca="1">IF(LEN(TRIM(Z119)) = 0, "Not Trained",
  IF(_xlfn.XLOOKUP($D119 &amp; "-" &amp; Z$2, TrainingMan!$G:$G, TrainingMan!$F:$F, "2-Year") = "Forever", "Valid",
    IF(Z119 &lt; TODAY() - 1, "Expired",
      IF(Z119 &lt;= TODAY() + 90, "Expiring", "Valid")
    )
  )
)</f>
        <v>Valid</v>
      </c>
      <c r="AB119" s="4">
        <v>44235</v>
      </c>
      <c r="AC119" s="4"/>
      <c r="AD119" s="4"/>
      <c r="AE119" s="4"/>
      <c r="AF119" s="4"/>
      <c r="AG119" s="4"/>
      <c r="AH119" s="4"/>
      <c r="AI119" s="4"/>
      <c r="AJ119" s="4"/>
      <c r="AN119" s="4"/>
      <c r="AQ119" s="4"/>
      <c r="AR119" s="4"/>
      <c r="AS119" s="4"/>
      <c r="AT119" s="4"/>
      <c r="AU119" s="4"/>
      <c r="BB119" s="4">
        <v>45133</v>
      </c>
      <c r="BC119" s="4" t="s">
        <v>358</v>
      </c>
      <c r="BD119" s="4" t="s">
        <v>269</v>
      </c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>
        <f>COUNTIF('TrainingReq (Ach)'!B:B,Table13[[#This Row],[Job Title]])</f>
        <v>12</v>
      </c>
      <c r="BR119" cm="1">
        <f t="array" aca="1" ref="BR11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19" s="5">
        <f t="shared" ca="1" si="3"/>
        <v>1</v>
      </c>
      <c r="BT119" t="s">
        <v>246</v>
      </c>
      <c r="BU119" t="s">
        <v>247</v>
      </c>
      <c r="BV119" t="s">
        <v>276</v>
      </c>
      <c r="BW119" s="4"/>
      <c r="CC119" t="s">
        <v>583</v>
      </c>
      <c r="CD119" s="4"/>
      <c r="CE119" s="4" t="str">
        <f ca="1">IF(
  _xlfn.XLOOKUP($D119 &amp; "-" &amp; CD$2, 'TrainingReq (Ach)'!$G:$G, 'TrainingReq (Ach)'!$F:$F, "2-Year") = "Forever",
  "Valid",
  IF(CD119="", "Not Trained",
     IF(CD119 &lt; TODAY() - 1, "Expired",
        IF(CD119 &lt;= TODAY() + 90, "Expiring", "Valid")
     )
  )
)</f>
        <v>Not Trained</v>
      </c>
      <c r="CF119" t="s">
        <v>250</v>
      </c>
      <c r="CG119" s="4">
        <v>53395</v>
      </c>
      <c r="CH119" s="4" t="str">
        <f ca="1">IF(
  _xlfn.XLOOKUP($D118 &amp; "-" &amp; CG$2, 'TrainingReq (Ach)'!$G:$G, 'TrainingReq (Ach)'!$F:$F, "2-Year") = "Forever",
  "Valid",
  IF(CG118="", "Not Trained",
     IF(CG118 &lt; TODAY() - 1, "Expired",
        IF(CG118 &lt;= TODAY() + 90, "Expiring", "Valid")
     )
  )
)</f>
        <v>Valid</v>
      </c>
      <c r="CI119" t="str">
        <f t="shared" si="4"/>
        <v>Not eligible</v>
      </c>
      <c r="CJ119" t="str">
        <f t="shared" si="5"/>
        <v>Not eligible</v>
      </c>
    </row>
    <row r="120" spans="1:88" x14ac:dyDescent="0.25">
      <c r="A120">
        <v>118</v>
      </c>
      <c r="B120">
        <v>582706</v>
      </c>
      <c r="C120" t="s">
        <v>584</v>
      </c>
      <c r="D120" t="s">
        <v>6</v>
      </c>
      <c r="E120" t="s">
        <v>243</v>
      </c>
      <c r="F120" t="s">
        <v>537</v>
      </c>
      <c r="G120" t="s">
        <v>53</v>
      </c>
      <c r="H120" s="4">
        <v>46780</v>
      </c>
      <c r="I120" s="4" t="str">
        <f ca="1">IF(
  _xlfn.XLOOKUP($D120 &amp; "-" &amp; H$2, 'TrainingReq (Ach)'!G:G, 'TrainingReq (Ach)'!F:F, "2-Year") = "Forever",
  "Valid",
  IF(H120="", "Not Trained",
     IF(H120 &lt; TODAY() - 1, "Expired",
        IF(H120 &lt;= TODAY() + 90, "Expiring", "Valid")
     )
  )
)</f>
        <v>Valid</v>
      </c>
      <c r="J120" s="4">
        <v>46780</v>
      </c>
      <c r="K120" s="4" t="str">
        <f ca="1">IF(
  _xlfn.XLOOKUP($D120 &amp; "-" &amp; J$2, 'TrainingReq (Ach)'!G:G, 'TrainingReq (Ach)'!F:F, "2-Year") = "Forever",
  "Valid",
  IF(J120="", "Not Trained",
     IF(J120 &lt; TODAY() - 1, "Expired",
        IF(J120 &lt;= TODAY() + 90, "Expiring", "Valid")
     )
  )
)</f>
        <v>Valid</v>
      </c>
      <c r="L120" s="4">
        <v>46580</v>
      </c>
      <c r="M120" s="4" t="str">
        <f ca="1">IF(
  _xlfn.XLOOKUP($D120 &amp; "-" &amp; L$2, TrainingMan!$G:$G, TrainingMan!$F:$F, "2-Year") = "Forever",
  "Valid",
  IF(L120="", "Not Trained",
     IF(L120 &lt; TODAY() - 1, "Expired",
        IF(L120 &lt;= TODAY() + 90, "Expiring", "Valid")
     )
  )
)</f>
        <v>Valid</v>
      </c>
      <c r="N120" s="4">
        <v>46935</v>
      </c>
      <c r="O120" s="4" t="str">
        <f ca="1">IF(
  _xlfn.XLOOKUP($D120 &amp; "-" &amp; N$2, TrainingMan!$G:$G, TrainingMan!$F:$F, "2-Year") = "Forever",
  "Valid",
  IF(N120="", "Not Trained",
     IF(N120 &lt; TODAY() - 1, "Expired",
        IF(N120 &lt;= TODAY() + 90, "Expiring", "Valid")
     )
  )
)</f>
        <v>Valid</v>
      </c>
      <c r="P120" s="4">
        <v>46935</v>
      </c>
      <c r="Q120" s="4" t="str">
        <f ca="1">IF(
  _xlfn.XLOOKUP($D120 &amp; "-" &amp; P$2, TrainingMan!$G:$G, TrainingMan!$F:$F, "2-Year") = "Forever",
  "Valid",
  IF(P120="", "Not Trained",
     IF(P120 &lt; TODAY() - 1, "Expired",
        IF(P120 &lt;= TODAY() + 90, "Expiring", "Valid")
     )
  )
)</f>
        <v>Valid</v>
      </c>
      <c r="R120" s="4">
        <v>46935</v>
      </c>
      <c r="S120" s="4" t="str">
        <f ca="1">IF(
  _xlfn.XLOOKUP($D120 &amp; "-" &amp; R$2, TrainingMan!$G:$G, TrainingMan!$F:$F, "2-Year") = "Forever",
  "Valid",
  IF(R120="", "Not Trained",
     IF(R120 &lt; TODAY() - 1, "Expired",
        IF(R120 &lt;= TODAY() + 90, "Expiring", "Valid")
     )
  )
)</f>
        <v>Valid</v>
      </c>
      <c r="T120" s="4">
        <v>46935</v>
      </c>
      <c r="U120" s="4" t="str">
        <f ca="1">IF(
  _xlfn.XLOOKUP($D120 &amp; "-" &amp; T$2, TrainingMan!$G:$G, TrainingMan!$F:$F, "2-Year") = "Forever",
  "Valid",
  IF(T120="", "Not Trained",
     IF(T120 &lt; TODAY() - 1, "Expired",
        IF(T120 &lt;= TODAY() + 90, "Expiring", "Valid")
     )
  )
)</f>
        <v>Valid</v>
      </c>
      <c r="V120" s="4">
        <v>46935</v>
      </c>
      <c r="W120" s="4" t="str">
        <f ca="1">IF(
  _xlfn.XLOOKUP($D120 &amp; "-" &amp; V$2, TrainingMan!$G:$G, TrainingMan!$F:$F, "2-Year") = "Forever",
  "Valid",
  IF(V120="", "Not Trained",
     IF(V120 &lt; TODAY() - 1, "Expired",
        IF(V120 &lt;= TODAY() + 90, "Expiring", "Valid")
     )
  )
)</f>
        <v>Valid</v>
      </c>
      <c r="X120" s="4">
        <v>46679</v>
      </c>
      <c r="Y120" s="4" t="str">
        <f ca="1">IF(
  _xlfn.XLOOKUP($D120 &amp; "-" &amp; X$2, TrainingMan!$G:$G, TrainingMan!$F:$F, "2-Year") = "Forever",
  "Valid",
  IF(X120="", "Not Trained",
     IF(X120 &lt; TODAY() - 1, "Expired",
        IF(X120 &lt;= TODAY() + 90, "Expiring", "Valid")
     )
  )
)</f>
        <v>Valid</v>
      </c>
      <c r="Z120" s="4">
        <v>45456</v>
      </c>
      <c r="AA120" s="4" t="str">
        <f ca="1">IF(LEN(TRIM(Z120)) = 0, "Not Trained",
  IF(_xlfn.XLOOKUP($D120 &amp; "-" &amp; Z$2, TrainingMan!$G:$G, TrainingMan!$F:$F, "2-Year") = "Forever", "Valid",
    IF(Z120 &lt; TODAY() - 1, "Expired",
      IF(Z120 &lt;= TODAY() + 90, "Expiring", "Valid")
    )
  )
)</f>
        <v>Valid</v>
      </c>
      <c r="AB120" s="4">
        <v>43504</v>
      </c>
      <c r="AC120" s="4">
        <v>45870</v>
      </c>
      <c r="AD120" s="4">
        <v>45389</v>
      </c>
      <c r="AE120" s="4"/>
      <c r="AF120" s="4">
        <v>45852</v>
      </c>
      <c r="AG120" s="4"/>
      <c r="AH120" s="4"/>
      <c r="AI120" s="4"/>
      <c r="AJ120" s="4"/>
      <c r="AN120" s="4" t="s">
        <v>483</v>
      </c>
      <c r="AQ120" s="4"/>
      <c r="AR120" s="4"/>
      <c r="AS120" s="4"/>
      <c r="AT120" s="4"/>
      <c r="AU120" s="4"/>
      <c r="BB120" s="4">
        <v>46101</v>
      </c>
      <c r="BC120" s="4" t="s">
        <v>579</v>
      </c>
      <c r="BD120" s="4" t="s">
        <v>236</v>
      </c>
      <c r="BE120" s="4"/>
      <c r="BF120" s="4">
        <v>41890</v>
      </c>
      <c r="BG120" s="4"/>
      <c r="BH120" s="4"/>
      <c r="BI120" s="4">
        <v>44284</v>
      </c>
      <c r="BJ120" s="4" t="s">
        <v>151</v>
      </c>
      <c r="BK120" s="4"/>
      <c r="BL120" s="4"/>
      <c r="BM120" s="4"/>
      <c r="BN120" s="4"/>
      <c r="BO120" s="4"/>
      <c r="BP120" s="4"/>
      <c r="BQ120">
        <f>COUNTIF('TrainingReq (Ach)'!B:B,Table13[[#This Row],[Job Title]])</f>
        <v>15</v>
      </c>
      <c r="BR120" cm="1">
        <f t="array" aca="1" ref="BR12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0" s="5">
        <f t="shared" ca="1" si="3"/>
        <v>1</v>
      </c>
      <c r="BT120" t="s">
        <v>348</v>
      </c>
      <c r="BU120" t="s">
        <v>247</v>
      </c>
      <c r="BV120" t="s">
        <v>256</v>
      </c>
      <c r="BW120" s="4" t="s">
        <v>151</v>
      </c>
      <c r="BZ120" t="s">
        <v>585</v>
      </c>
      <c r="CC120" t="s">
        <v>586</v>
      </c>
      <c r="CD120" s="4">
        <v>46324</v>
      </c>
      <c r="CE120" s="4" t="str">
        <f ca="1">IF(
  _xlfn.XLOOKUP($D120 &amp; "-" &amp; CD$2, 'TrainingReq (Ach)'!$G:$G, 'TrainingReq (Ach)'!$F:$F, "2-Year") = "Forever",
  "Valid",
  IF(CD120="", "Not Trained",
     IF(CD120 &lt; TODAY() - 1, "Expired",
        IF(CD120 &lt;= TODAY() + 90, "Expiring", "Valid")
     )
  )
)</f>
        <v>Expiring</v>
      </c>
      <c r="CF120" t="s">
        <v>250</v>
      </c>
      <c r="CG120" s="4">
        <v>55370</v>
      </c>
      <c r="CH120" s="4" t="str">
        <f ca="1">IF(
  _xlfn.XLOOKUP($D119 &amp; "-" &amp; CG$2, 'TrainingReq (Ach)'!$G:$G, 'TrainingReq (Ach)'!$F:$F, "2-Year") = "Forever",
  "Valid",
  IF(CG119="", "Not Trained",
     IF(CG119 &lt; TODAY() - 1, "Expired",
        IF(CG119 &lt;= TODAY() + 90, "Expiring", "Valid")
     )
  )
)</f>
        <v>Valid</v>
      </c>
      <c r="CI120" t="str">
        <f t="shared" si="4"/>
        <v>Eligible</v>
      </c>
      <c r="CJ120" t="str">
        <f t="shared" si="5"/>
        <v>Not eligible</v>
      </c>
    </row>
    <row r="121" spans="1:88" x14ac:dyDescent="0.25">
      <c r="A121">
        <v>119</v>
      </c>
      <c r="B121">
        <v>583743</v>
      </c>
      <c r="C121" t="s">
        <v>86</v>
      </c>
      <c r="D121" t="s">
        <v>18</v>
      </c>
      <c r="E121" t="s">
        <v>263</v>
      </c>
      <c r="F121" t="s">
        <v>537</v>
      </c>
      <c r="G121" t="s">
        <v>53</v>
      </c>
      <c r="H121" s="4">
        <v>46805</v>
      </c>
      <c r="I121" s="4" t="str">
        <f ca="1">IF(
  _xlfn.XLOOKUP($D121 &amp; "-" &amp; H$2, 'TrainingReq (Ach)'!G:G, 'TrainingReq (Ach)'!F:F, "2-Year") = "Forever",
  "Valid",
  IF(H121="", "Not Trained",
     IF(H121 &lt; TODAY() - 1, "Expired",
        IF(H121 &lt;= TODAY() + 90, "Expiring", "Valid")
     )
  )
)</f>
        <v>Valid</v>
      </c>
      <c r="J121" s="4">
        <v>46805</v>
      </c>
      <c r="K121" s="4" t="str">
        <f ca="1">IF(
  _xlfn.XLOOKUP($D121 &amp; "-" &amp; J$2, 'TrainingReq (Ach)'!G:G, 'TrainingReq (Ach)'!F:F, "2-Year") = "Forever",
  "Valid",
  IF(J121="", "Not Trained",
     IF(J121 &lt; TODAY() - 1, "Expired",
        IF(J121 &lt;= TODAY() + 90, "Expiring", "Valid")
     )
  )
)</f>
        <v>Valid</v>
      </c>
      <c r="L121" s="4">
        <v>46584</v>
      </c>
      <c r="M121" s="4" t="str">
        <f ca="1">IF(
  _xlfn.XLOOKUP($D121 &amp; "-" &amp; L$2, TrainingMan!$G:$G, TrainingMan!$F:$F, "2-Year") = "Forever",
  "Valid",
  IF(L121="", "Not Trained",
     IF(L121 &lt; TODAY() - 1, "Expired",
        IF(L121 &lt;= TODAY() + 90, "Expiring", "Valid")
     )
  )
)</f>
        <v>Valid</v>
      </c>
      <c r="N121" s="4">
        <v>46584</v>
      </c>
      <c r="O121" s="4" t="str">
        <f ca="1">IF(
  _xlfn.XLOOKUP($D121 &amp; "-" &amp; N$2, TrainingMan!$G:$G, TrainingMan!$F:$F, "2-Year") = "Forever",
  "Valid",
  IF(N121="", "Not Trained",
     IF(N121 &lt; TODAY() - 1, "Expired",
        IF(N121 &lt;= TODAY() + 90, "Expiring", "Valid")
     )
  )
)</f>
        <v>Valid</v>
      </c>
      <c r="P121" s="4">
        <v>46584</v>
      </c>
      <c r="Q121" s="4" t="str">
        <f ca="1">IF(
  _xlfn.XLOOKUP($D121 &amp; "-" &amp; P$2, TrainingMan!$G:$G, TrainingMan!$F:$F, "2-Year") = "Forever",
  "Valid",
  IF(P121="", "Not Trained",
     IF(P121 &lt; TODAY() - 1, "Expired",
        IF(P121 &lt;= TODAY() + 90, "Expiring", "Valid")
     )
  )
)</f>
        <v>Valid</v>
      </c>
      <c r="R121" s="4">
        <v>46584</v>
      </c>
      <c r="S121" s="4" t="str">
        <f ca="1">IF(
  _xlfn.XLOOKUP($D121 &amp; "-" &amp; R$2, TrainingMan!$G:$G, TrainingMan!$F:$F, "2-Year") = "Forever",
  "Valid",
  IF(R121="", "Not Trained",
     IF(R121 &lt; TODAY() - 1, "Expired",
        IF(R121 &lt;= TODAY() + 90, "Expiring", "Valid")
     )
  )
)</f>
        <v>Valid</v>
      </c>
      <c r="T121" s="4">
        <v>46584</v>
      </c>
      <c r="U121" s="4" t="str">
        <f ca="1">IF(
  _xlfn.XLOOKUP($D121 &amp; "-" &amp; T$2, TrainingMan!$G:$G, TrainingMan!$F:$F, "2-Year") = "Forever",
  "Valid",
  IF(T121="", "Not Trained",
     IF(T121 &lt; TODAY() - 1, "Expired",
        IF(T121 &lt;= TODAY() + 90, "Expiring", "Valid")
     )
  )
)</f>
        <v>Valid</v>
      </c>
      <c r="V121" s="4">
        <v>46584</v>
      </c>
      <c r="W121" s="4" t="str">
        <f ca="1">IF(
  _xlfn.XLOOKUP($D121 &amp; "-" &amp; V$2, TrainingMan!$G:$G, TrainingMan!$F:$F, "2-Year") = "Forever",
  "Valid",
  IF(V121="", "Not Trained",
     IF(V121 &lt; TODAY() - 1, "Expired",
        IF(V121 &lt;= TODAY() + 90, "Expiring", "Valid")
     )
  )
)</f>
        <v>Valid</v>
      </c>
      <c r="X121" s="4">
        <v>46584</v>
      </c>
      <c r="Y121" s="4" t="str">
        <f ca="1">IF(
  _xlfn.XLOOKUP($D121 &amp; "-" &amp; X$2, TrainingMan!$G:$G, TrainingMan!$F:$F, "2-Year") = "Forever",
  "Valid",
  IF(X121="", "Not Trained",
     IF(X121 &lt; TODAY() - 1, "Expired",
        IF(X121 &lt;= TODAY() + 90, "Expiring", "Valid")
     )
  )
)</f>
        <v>Valid</v>
      </c>
      <c r="Z121" s="4">
        <v>45129</v>
      </c>
      <c r="AA121" s="4" t="str">
        <f ca="1">IF(LEN(TRIM(Z121)) = 0, "Not Trained",
  IF(_xlfn.XLOOKUP($D121 &amp; "-" &amp; Z$2, TrainingMan!$G:$G, TrainingMan!$F:$F, "2-Year") = "Forever", "Valid",
    IF(Z121 &lt; TODAY() - 1, "Expired",
      IF(Z121 &lt;= TODAY() + 90, "Expiring", "Valid")
    )
  )
)</f>
        <v>Valid</v>
      </c>
      <c r="AB121" s="4">
        <v>45326</v>
      </c>
      <c r="AC121" s="4">
        <v>46261</v>
      </c>
      <c r="AD121" s="4">
        <v>45371</v>
      </c>
      <c r="AE121" s="4">
        <v>45888</v>
      </c>
      <c r="AF121" s="4"/>
      <c r="AG121" s="4">
        <v>45307</v>
      </c>
      <c r="AH121" s="4"/>
      <c r="AI121" s="4"/>
      <c r="AJ121" s="4"/>
      <c r="AN121" s="4"/>
      <c r="AQ121" s="4"/>
      <c r="AR121" s="4"/>
      <c r="AS121" s="4"/>
      <c r="AT121" s="4"/>
      <c r="AU121" s="4"/>
      <c r="BB121" s="4">
        <v>45922</v>
      </c>
      <c r="BC121" s="4" t="s">
        <v>297</v>
      </c>
      <c r="BD121" s="4">
        <v>45821</v>
      </c>
      <c r="BE121" s="4"/>
      <c r="BF121" s="4">
        <v>42983</v>
      </c>
      <c r="BG121" s="4"/>
      <c r="BH121" s="4"/>
      <c r="BI121" s="4">
        <v>44984</v>
      </c>
      <c r="BJ121" s="4" t="s">
        <v>144</v>
      </c>
      <c r="BK121" s="4"/>
      <c r="BL121" s="4"/>
      <c r="BM121" s="4"/>
      <c r="BN121" s="4"/>
      <c r="BO121" s="4"/>
      <c r="BP121" s="4"/>
      <c r="BQ121">
        <f>COUNTIF('TrainingReq (Ach)'!B:B,Table13[[#This Row],[Job Title]])</f>
        <v>15</v>
      </c>
      <c r="BR121" cm="1">
        <f t="array" aca="1" ref="BR12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1" s="5">
        <f t="shared" ca="1" si="3"/>
        <v>1</v>
      </c>
      <c r="BT121" t="s">
        <v>265</v>
      </c>
      <c r="BU121" t="s">
        <v>247</v>
      </c>
      <c r="BV121" t="s">
        <v>270</v>
      </c>
      <c r="BW121" s="4" t="s">
        <v>144</v>
      </c>
      <c r="BZ121" t="s">
        <v>587</v>
      </c>
      <c r="CC121" t="s">
        <v>588</v>
      </c>
      <c r="CD121" s="4">
        <v>46618</v>
      </c>
      <c r="CE121" s="4" t="str">
        <f ca="1">IF(
  _xlfn.XLOOKUP($D121 &amp; "-" &amp; CD$2, 'TrainingReq (Ach)'!$G:$G, 'TrainingReq (Ach)'!$F:$F, "2-Year") = "Forever",
  "Valid",
  IF(CD121="", "Not Trained",
     IF(CD121 &lt; TODAY() - 1, "Expired",
        IF(CD121 &lt;= TODAY() + 90, "Expiring", "Valid")
     )
  )
)</f>
        <v>Valid</v>
      </c>
      <c r="CF121" t="s">
        <v>250</v>
      </c>
      <c r="CG121" s="4">
        <v>57093</v>
      </c>
      <c r="CH121" s="4" t="str">
        <f ca="1">IF(
  _xlfn.XLOOKUP($D120 &amp; "-" &amp; CG$2, 'TrainingReq (Ach)'!$G:$G, 'TrainingReq (Ach)'!$F:$F, "2-Year") = "Forever",
  "Valid",
  IF(CG120="", "Not Trained",
     IF(CG120 &lt; TODAY() - 1, "Expired",
        IF(CG120 &lt;= TODAY() + 90, "Expiring", "Valid")
     )
  )
)</f>
        <v>Valid</v>
      </c>
      <c r="CI121" t="str">
        <f t="shared" si="4"/>
        <v>Eligible</v>
      </c>
      <c r="CJ121" t="str">
        <f t="shared" si="5"/>
        <v>Not eligible</v>
      </c>
    </row>
    <row r="122" spans="1:88" x14ac:dyDescent="0.25">
      <c r="A122">
        <v>120</v>
      </c>
      <c r="B122">
        <v>533476</v>
      </c>
      <c r="C122" t="s">
        <v>589</v>
      </c>
      <c r="D122" t="s">
        <v>8</v>
      </c>
      <c r="E122" t="s">
        <v>463</v>
      </c>
      <c r="F122" t="s">
        <v>537</v>
      </c>
      <c r="G122" t="s">
        <v>53</v>
      </c>
      <c r="H122" s="4">
        <v>46801</v>
      </c>
      <c r="I122" s="4" t="str">
        <f ca="1">IF(
  _xlfn.XLOOKUP($D122 &amp; "-" &amp; H$2, 'TrainingReq (Ach)'!G:G, 'TrainingReq (Ach)'!F:F, "2-Year") = "Forever",
  "Valid",
  IF(H122="", "Not Trained",
     IF(H122 &lt; TODAY() - 1, "Expired",
        IF(H122 &lt;= TODAY() + 90, "Expiring", "Valid")
     )
  )
)</f>
        <v>Valid</v>
      </c>
      <c r="J122" s="4">
        <v>46801</v>
      </c>
      <c r="K122" s="4" t="str">
        <f ca="1">IF(
  _xlfn.XLOOKUP($D122 &amp; "-" &amp; J$2, 'TrainingReq (Ach)'!G:G, 'TrainingReq (Ach)'!F:F, "2-Year") = "Forever",
  "Valid",
  IF(J122="", "Not Trained",
     IF(J122 &lt; TODAY() - 1, "Expired",
        IF(J122 &lt;= TODAY() + 90, "Expiring", "Valid")
     )
  )
)</f>
        <v>Valid</v>
      </c>
      <c r="L122" s="4">
        <v>46654</v>
      </c>
      <c r="M122" s="4" t="str">
        <f ca="1">IF(
  _xlfn.XLOOKUP($D122 &amp; "-" &amp; L$2, TrainingMan!$G:$G, TrainingMan!$F:$F, "2-Year") = "Forever",
  "Valid",
  IF(L122="", "Not Trained",
     IF(L122 &lt; TODAY() - 1, "Expired",
        IF(L122 &lt;= TODAY() + 90, "Expiring", "Valid")
     )
  )
)</f>
        <v>Valid</v>
      </c>
      <c r="N122" s="4">
        <v>46654</v>
      </c>
      <c r="O122" s="4" t="str">
        <f ca="1">IF(
  _xlfn.XLOOKUP($D122 &amp; "-" &amp; N$2, TrainingMan!$G:$G, TrainingMan!$F:$F, "2-Year") = "Forever",
  "Valid",
  IF(N122="", "Not Trained",
     IF(N122 &lt; TODAY() - 1, "Expired",
        IF(N122 &lt;= TODAY() + 90, "Expiring", "Valid")
     )
  )
)</f>
        <v>Valid</v>
      </c>
      <c r="P122" s="4">
        <v>46654</v>
      </c>
      <c r="Q122" s="4" t="str">
        <f ca="1">IF(
  _xlfn.XLOOKUP($D122 &amp; "-" &amp; P$2, TrainingMan!$G:$G, TrainingMan!$F:$F, "2-Year") = "Forever",
  "Valid",
  IF(P122="", "Not Trained",
     IF(P122 &lt; TODAY() - 1, "Expired",
        IF(P122 &lt;= TODAY() + 90, "Expiring", "Valid")
     )
  )
)</f>
        <v>Valid</v>
      </c>
      <c r="R122" s="4">
        <v>46654</v>
      </c>
      <c r="S122" s="4" t="str">
        <f ca="1">IF(
  _xlfn.XLOOKUP($D122 &amp; "-" &amp; R$2, TrainingMan!$G:$G, TrainingMan!$F:$F, "2-Year") = "Forever",
  "Valid",
  IF(R122="", "Not Trained",
     IF(R122 &lt; TODAY() - 1, "Expired",
        IF(R122 &lt;= TODAY() + 90, "Expiring", "Valid")
     )
  )
)</f>
        <v>Valid</v>
      </c>
      <c r="T122" s="4">
        <v>46654</v>
      </c>
      <c r="U122" s="4" t="str">
        <f ca="1">IF(
  _xlfn.XLOOKUP($D122 &amp; "-" &amp; T$2, TrainingMan!$G:$G, TrainingMan!$F:$F, "2-Year") = "Forever",
  "Valid",
  IF(T122="", "Not Trained",
     IF(T122 &lt; TODAY() - 1, "Expired",
        IF(T122 &lt;= TODAY() + 90, "Expiring", "Valid")
     )
  )
)</f>
        <v>Valid</v>
      </c>
      <c r="V122" s="4">
        <v>46654</v>
      </c>
      <c r="W122" s="4" t="str">
        <f ca="1">IF(
  _xlfn.XLOOKUP($D122 &amp; "-" &amp; V$2, TrainingMan!$G:$G, TrainingMan!$F:$F, "2-Year") = "Forever",
  "Valid",
  IF(V122="", "Not Trained",
     IF(V122 &lt; TODAY() - 1, "Expired",
        IF(V122 &lt;= TODAY() + 90, "Expiring", "Valid")
     )
  )
)</f>
        <v>Valid</v>
      </c>
      <c r="X122" s="4">
        <v>46654</v>
      </c>
      <c r="Y122" s="4" t="str">
        <f ca="1">IF(
  _xlfn.XLOOKUP($D122 &amp; "-" &amp; X$2, TrainingMan!$G:$G, TrainingMan!$F:$F, "2-Year") = "Forever",
  "Valid",
  IF(X122="", "Not Trained",
     IF(X122 &lt; TODAY() - 1, "Expired",
        IF(X122 &lt;= TODAY() + 90, "Expiring", "Valid")
     )
  )
)</f>
        <v>Valid</v>
      </c>
      <c r="Z122" s="4">
        <v>45564</v>
      </c>
      <c r="AA122" s="4" t="str">
        <f ca="1">IF(LEN(TRIM(Z122)) = 0, "Not Trained",
  IF(_xlfn.XLOOKUP($D122 &amp; "-" &amp; Z$2, TrainingMan!$G:$G, TrainingMan!$F:$F, "2-Year") = "Forever", "Valid",
    IF(Z122 &lt; TODAY() - 1, "Expired",
      IF(Z122 &lt;= TODAY() + 90, "Expiring", "Valid")
    )
  )
)</f>
        <v>Valid</v>
      </c>
      <c r="AB122" s="4">
        <v>40843</v>
      </c>
      <c r="AC122" s="4">
        <v>43593</v>
      </c>
      <c r="AD122" s="4">
        <v>43322</v>
      </c>
      <c r="AE122" s="4">
        <v>44269</v>
      </c>
      <c r="AF122" s="4">
        <v>45606</v>
      </c>
      <c r="AG122" s="4">
        <v>45699</v>
      </c>
      <c r="AH122" s="4"/>
      <c r="AI122" s="4"/>
      <c r="AJ122" s="4"/>
      <c r="AN122" s="4"/>
      <c r="AQ122" s="4"/>
      <c r="AR122" s="4"/>
      <c r="AS122" s="4"/>
      <c r="AT122" s="4"/>
      <c r="AU122" s="4"/>
      <c r="BB122" s="4">
        <v>45894</v>
      </c>
      <c r="BC122" s="4" t="s">
        <v>337</v>
      </c>
      <c r="BD122" s="4" t="s">
        <v>393</v>
      </c>
      <c r="BE122" s="4"/>
      <c r="BF122" s="4"/>
      <c r="BG122" s="4"/>
      <c r="BH122" s="4"/>
      <c r="BI122" s="4">
        <v>44512</v>
      </c>
      <c r="BJ122" s="4" t="s">
        <v>145</v>
      </c>
      <c r="BK122" t="s">
        <v>146</v>
      </c>
      <c r="BL122" t="s">
        <v>153</v>
      </c>
      <c r="BM122" s="4"/>
      <c r="BN122" s="4" t="s">
        <v>590</v>
      </c>
      <c r="BO122" s="4"/>
      <c r="BP122" s="4"/>
      <c r="BQ122">
        <f>COUNTIF('TrainingReq (Ach)'!B:B,Table13[[#This Row],[Job Title]])</f>
        <v>17</v>
      </c>
      <c r="BR122" cm="1">
        <f t="array" aca="1" ref="BR12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17</v>
      </c>
      <c r="BS122" s="5">
        <f t="shared" ca="1" si="3"/>
        <v>1</v>
      </c>
      <c r="BT122" t="s">
        <v>338</v>
      </c>
      <c r="BU122" t="s">
        <v>247</v>
      </c>
      <c r="BV122" t="s">
        <v>256</v>
      </c>
      <c r="BW122" s="4" t="s">
        <v>145</v>
      </c>
      <c r="BX122" t="s">
        <v>146</v>
      </c>
      <c r="BY122" t="s">
        <v>153</v>
      </c>
      <c r="BZ122" t="s">
        <v>591</v>
      </c>
      <c r="CA122">
        <v>3</v>
      </c>
      <c r="CB122" s="26" t="s">
        <v>592</v>
      </c>
      <c r="CC122" t="s">
        <v>593</v>
      </c>
      <c r="CD122" s="4">
        <v>47047</v>
      </c>
      <c r="CE122" s="4" t="str">
        <f ca="1">IF(
  _xlfn.XLOOKUP($D122 &amp; "-" &amp; CD$2, 'TrainingReq (Ach)'!$G:$G, 'TrainingReq (Ach)'!$F:$F, "2-Year") = "Forever",
  "Valid",
  IF(CD122="", "Not Trained",
     IF(CD122 &lt; TODAY() - 1, "Expired",
        IF(CD122 &lt;= TODAY() + 90, "Expiring", "Valid")
     )
  )
)</f>
        <v>Valid</v>
      </c>
      <c r="CF122" t="s">
        <v>250</v>
      </c>
      <c r="CG122" s="4">
        <v>53706</v>
      </c>
      <c r="CH122" s="4" t="str">
        <f ca="1">IF(
  _xlfn.XLOOKUP($D121 &amp; "-" &amp; CG$2, 'TrainingReq (Ach)'!$G:$G, 'TrainingReq (Ach)'!$F:$F, "2-Year") = "Forever",
  "Valid",
  IF(CG121="", "Not Trained",
     IF(CG121 &lt; TODAY() - 1, "Expired",
        IF(CG121 &lt;= TODAY() + 90, "Expiring", "Valid")
     )
  )
)</f>
        <v>Valid</v>
      </c>
      <c r="CI122" t="str">
        <f t="shared" si="4"/>
        <v>Eligible</v>
      </c>
      <c r="CJ122" t="str">
        <f t="shared" si="5"/>
        <v>Eligible</v>
      </c>
    </row>
    <row r="123" spans="1:88" x14ac:dyDescent="0.25">
      <c r="A123">
        <v>121</v>
      </c>
      <c r="B123">
        <v>581763</v>
      </c>
      <c r="C123" t="s">
        <v>594</v>
      </c>
      <c r="D123" t="s">
        <v>18</v>
      </c>
      <c r="E123" t="s">
        <v>263</v>
      </c>
      <c r="F123" t="s">
        <v>537</v>
      </c>
      <c r="G123" t="s">
        <v>53</v>
      </c>
      <c r="H123" s="4">
        <v>46805</v>
      </c>
      <c r="I123" s="4" t="str">
        <f ca="1">IF(
  _xlfn.XLOOKUP($D123 &amp; "-" &amp; H$2, 'TrainingReq (Ach)'!G:G, 'TrainingReq (Ach)'!F:F, "2-Year") = "Forever",
  "Valid",
  IF(H123="", "Not Trained",
     IF(H123 &lt; TODAY() - 1, "Expired",
        IF(H123 &lt;= TODAY() + 90, "Expiring", "Valid")
     )
  )
)</f>
        <v>Valid</v>
      </c>
      <c r="J123" s="4">
        <v>46805</v>
      </c>
      <c r="K123" s="4" t="str">
        <f ca="1">IF(
  _xlfn.XLOOKUP($D123 &amp; "-" &amp; J$2, 'TrainingReq (Ach)'!G:G, 'TrainingReq (Ach)'!F:F, "2-Year") = "Forever",
  "Valid",
  IF(J123="", "Not Trained",
     IF(J123 &lt; TODAY() - 1, "Expired",
        IF(J123 &lt;= TODAY() + 90, "Expiring", "Valid")
     )
  )
)</f>
        <v>Valid</v>
      </c>
      <c r="L123" s="4">
        <v>46816</v>
      </c>
      <c r="M123" s="4" t="str">
        <f ca="1">IF(
  _xlfn.XLOOKUP($D123 &amp; "-" &amp; L$2, TrainingMan!$G:$G, TrainingMan!$F:$F, "2-Year") = "Forever",
  "Valid",
  IF(L123="", "Not Trained",
     IF(L123 &lt; TODAY() - 1, "Expired",
        IF(L123 &lt;= TODAY() + 90, "Expiring", "Valid")
     )
  )
)</f>
        <v>Valid</v>
      </c>
      <c r="N123" s="4">
        <v>46816</v>
      </c>
      <c r="O123" s="4" t="str">
        <f ca="1">IF(
  _xlfn.XLOOKUP($D123 &amp; "-" &amp; N$2, TrainingMan!$G:$G, TrainingMan!$F:$F, "2-Year") = "Forever",
  "Valid",
  IF(N123="", "Not Trained",
     IF(N123 &lt; TODAY() - 1, "Expired",
        IF(N123 &lt;= TODAY() + 90, "Expiring", "Valid")
     )
  )
)</f>
        <v>Valid</v>
      </c>
      <c r="P123" s="4">
        <v>46816</v>
      </c>
      <c r="Q123" s="4" t="str">
        <f ca="1">IF(
  _xlfn.XLOOKUP($D123 &amp; "-" &amp; P$2, TrainingMan!$G:$G, TrainingMan!$F:$F, "2-Year") = "Forever",
  "Valid",
  IF(P123="", "Not Trained",
     IF(P123 &lt; TODAY() - 1, "Expired",
        IF(P123 &lt;= TODAY() + 90, "Expiring", "Valid")
     )
  )
)</f>
        <v>Valid</v>
      </c>
      <c r="R123" s="4">
        <v>46816</v>
      </c>
      <c r="S123" s="4" t="str">
        <f ca="1">IF(
  _xlfn.XLOOKUP($D123 &amp; "-" &amp; R$2, TrainingMan!$G:$G, TrainingMan!$F:$F, "2-Year") = "Forever",
  "Valid",
  IF(R123="", "Not Trained",
     IF(R123 &lt; TODAY() - 1, "Expired",
        IF(R123 &lt;= TODAY() + 90, "Expiring", "Valid")
     )
  )
)</f>
        <v>Valid</v>
      </c>
      <c r="T123" s="4">
        <v>46816</v>
      </c>
      <c r="U123" s="4" t="str">
        <f ca="1">IF(
  _xlfn.XLOOKUP($D123 &amp; "-" &amp; T$2, TrainingMan!$G:$G, TrainingMan!$F:$F, "2-Year") = "Forever",
  "Valid",
  IF(T123="", "Not Trained",
     IF(T123 &lt; TODAY() - 1, "Expired",
        IF(T123 &lt;= TODAY() + 90, "Expiring", "Valid")
     )
  )
)</f>
        <v>Valid</v>
      </c>
      <c r="V123" s="4">
        <v>46816</v>
      </c>
      <c r="W123" s="4" t="str">
        <f ca="1">IF(
  _xlfn.XLOOKUP($D123 &amp; "-" &amp; V$2, TrainingMan!$G:$G, TrainingMan!$F:$F, "2-Year") = "Forever",
  "Valid",
  IF(V123="", "Not Trained",
     IF(V123 &lt; TODAY() - 1, "Expired",
        IF(V123 &lt;= TODAY() + 90, "Expiring", "Valid")
     )
  )
)</f>
        <v>Valid</v>
      </c>
      <c r="X123" s="4">
        <v>46816</v>
      </c>
      <c r="Y123" s="4" t="str">
        <f ca="1">IF(
  _xlfn.XLOOKUP($D123 &amp; "-" &amp; X$2, TrainingMan!$G:$G, TrainingMan!$F:$F, "2-Year") = "Forever",
  "Valid",
  IF(X123="", "Not Trained",
     IF(X123 &lt; TODAY() - 1, "Expired",
        IF(X123 &lt;= TODAY() + 90, "Expiring", "Valid")
     )
  )
)</f>
        <v>Valid</v>
      </c>
      <c r="Z123" s="4">
        <v>45426</v>
      </c>
      <c r="AA123" s="4" t="str">
        <f ca="1">IF(LEN(TRIM(Z123)) = 0, "Not Trained",
  IF(_xlfn.XLOOKUP($D123 &amp; "-" &amp; Z$2, TrainingMan!$G:$G, TrainingMan!$F:$F, "2-Year") = "Forever", "Valid",
    IF(Z123 &lt; TODAY() - 1, "Expired",
      IF(Z123 &lt;= TODAY() + 90, "Expiring", "Valid")
    )
  )
)</f>
        <v>Valid</v>
      </c>
      <c r="AB123" s="4">
        <v>45116</v>
      </c>
      <c r="AC123" s="4">
        <v>45471</v>
      </c>
      <c r="AD123" s="4">
        <v>44617</v>
      </c>
      <c r="AE123" s="4">
        <v>45015</v>
      </c>
      <c r="AF123" s="4">
        <v>43195</v>
      </c>
      <c r="AG123" s="4"/>
      <c r="AH123" s="4"/>
      <c r="AI123" s="4"/>
      <c r="AJ123" s="4"/>
      <c r="AN123" s="4"/>
      <c r="AQ123" s="4"/>
      <c r="AR123" s="4"/>
      <c r="AS123" s="4"/>
      <c r="AT123" s="4"/>
      <c r="AU123" s="4"/>
      <c r="BB123" s="4">
        <v>46262</v>
      </c>
      <c r="BC123" s="4" t="s">
        <v>323</v>
      </c>
      <c r="BD123" s="4" t="s">
        <v>275</v>
      </c>
      <c r="BE123" s="4"/>
      <c r="BF123" s="4"/>
      <c r="BG123" s="4"/>
      <c r="BH123" s="4"/>
      <c r="BI123" s="4">
        <v>44235</v>
      </c>
      <c r="BJ123" s="4" t="s">
        <v>140</v>
      </c>
      <c r="BK123" t="s">
        <v>148</v>
      </c>
      <c r="BL123" s="4"/>
      <c r="BM123" s="4"/>
      <c r="BN123" s="4"/>
      <c r="BO123" s="4"/>
      <c r="BP123" s="4"/>
      <c r="BQ123">
        <f>COUNTIF('TrainingReq (Ach)'!B:B,Table13[[#This Row],[Job Title]])</f>
        <v>15</v>
      </c>
      <c r="BR123" cm="1">
        <f t="array" aca="1" ref="BR12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3" s="5">
        <f t="shared" ca="1" si="3"/>
        <v>1</v>
      </c>
      <c r="BT123" t="s">
        <v>246</v>
      </c>
      <c r="BU123" t="s">
        <v>247</v>
      </c>
      <c r="BV123" t="s">
        <v>276</v>
      </c>
      <c r="BW123" s="4" t="s">
        <v>140</v>
      </c>
      <c r="BX123" t="s">
        <v>148</v>
      </c>
      <c r="BZ123" t="s">
        <v>595</v>
      </c>
      <c r="CC123" t="s">
        <v>596</v>
      </c>
      <c r="CD123" s="4">
        <v>47078</v>
      </c>
      <c r="CE123" s="4" t="str">
        <f ca="1">IF(
  _xlfn.XLOOKUP($D123 &amp; "-" &amp; CD$2, 'TrainingReq (Ach)'!$G:$G, 'TrainingReq (Ach)'!$F:$F, "2-Year") = "Forever",
  "Valid",
  IF(CD123="", "Not Trained",
     IF(CD123 &lt; TODAY() - 1, "Expired",
        IF(CD123 &lt;= TODAY() + 90, "Expiring", "Valid")
     )
  )
)</f>
        <v>Valid</v>
      </c>
      <c r="CF123" t="s">
        <v>250</v>
      </c>
      <c r="CG123" s="4">
        <v>55417</v>
      </c>
      <c r="CH123" s="4" t="str">
        <f ca="1">IF(
  _xlfn.XLOOKUP($D122 &amp; "-" &amp; CG$2, 'TrainingReq (Ach)'!$G:$G, 'TrainingReq (Ach)'!$F:$F, "2-Year") = "Forever",
  "Valid",
  IF(CG122="", "Not Trained",
     IF(CG122 &lt; TODAY() - 1, "Expired",
        IF(CG122 &lt;= TODAY() + 90, "Expiring", "Valid")
     )
  )
)</f>
        <v>Valid</v>
      </c>
      <c r="CI123" t="str">
        <f t="shared" si="4"/>
        <v>Eligible</v>
      </c>
      <c r="CJ123" t="str">
        <f t="shared" si="5"/>
        <v>Eligible</v>
      </c>
    </row>
    <row r="124" spans="1:88" x14ac:dyDescent="0.25">
      <c r="A124">
        <v>122</v>
      </c>
      <c r="B124">
        <v>533482</v>
      </c>
      <c r="C124" t="s">
        <v>597</v>
      </c>
      <c r="D124" t="s">
        <v>6</v>
      </c>
      <c r="E124" t="s">
        <v>243</v>
      </c>
      <c r="F124" t="s">
        <v>537</v>
      </c>
      <c r="G124" t="s">
        <v>53</v>
      </c>
      <c r="H124" s="4">
        <v>46808</v>
      </c>
      <c r="I124" s="4" t="str">
        <f ca="1">IF(
  _xlfn.XLOOKUP($D124 &amp; "-" &amp; H$2, 'TrainingReq (Ach)'!G:G, 'TrainingReq (Ach)'!F:F, "2-Year") = "Forever",
  "Valid",
  IF(H124="", "Not Trained",
     IF(H124 &lt; TODAY() - 1, "Expired",
        IF(H124 &lt;= TODAY() + 90, "Expiring", "Valid")
     )
  )
)</f>
        <v>Valid</v>
      </c>
      <c r="J124" s="4">
        <v>46808</v>
      </c>
      <c r="K124" s="4" t="str">
        <f ca="1">IF(
  _xlfn.XLOOKUP($D124 &amp; "-" &amp; J$2, 'TrainingReq (Ach)'!G:G, 'TrainingReq (Ach)'!F:F, "2-Year") = "Forever",
  "Valid",
  IF(J124="", "Not Trained",
     IF(J124 &lt; TODAY() - 1, "Expired",
        IF(J124 &lt;= TODAY() + 90, "Expiring", "Valid")
     )
  )
)</f>
        <v>Valid</v>
      </c>
      <c r="L124" s="4">
        <v>46893</v>
      </c>
      <c r="M124" s="4" t="str">
        <f ca="1">IF(
  _xlfn.XLOOKUP($D124 &amp; "-" &amp; L$2, TrainingMan!$G:$G, TrainingMan!$F:$F, "2-Year") = "Forever",
  "Valid",
  IF(L124="", "Not Trained",
     IF(L124 &lt; TODAY() - 1, "Expired",
        IF(L124 &lt;= TODAY() + 90, "Expiring", "Valid")
     )
  )
)</f>
        <v>Valid</v>
      </c>
      <c r="N124" s="4">
        <v>46879</v>
      </c>
      <c r="O124" s="4" t="str">
        <f ca="1">IF(
  _xlfn.XLOOKUP($D124 &amp; "-" &amp; N$2, TrainingMan!$G:$G, TrainingMan!$F:$F, "2-Year") = "Forever",
  "Valid",
  IF(N124="", "Not Trained",
     IF(N124 &lt; TODAY() - 1, "Expired",
        IF(N124 &lt;= TODAY() + 90, "Expiring", "Valid")
     )
  )
)</f>
        <v>Valid</v>
      </c>
      <c r="P124" s="4">
        <v>46879</v>
      </c>
      <c r="Q124" s="4" t="str">
        <f ca="1">IF(
  _xlfn.XLOOKUP($D124 &amp; "-" &amp; P$2, TrainingMan!$G:$G, TrainingMan!$F:$F, "2-Year") = "Forever",
  "Valid",
  IF(P124="", "Not Trained",
     IF(P124 &lt; TODAY() - 1, "Expired",
        IF(P124 &lt;= TODAY() + 90, "Expiring", "Valid")
     )
  )
)</f>
        <v>Valid</v>
      </c>
      <c r="R124" s="4">
        <v>46879</v>
      </c>
      <c r="S124" s="4" t="str">
        <f ca="1">IF(
  _xlfn.XLOOKUP($D124 &amp; "-" &amp; R$2, TrainingMan!$G:$G, TrainingMan!$F:$F, "2-Year") = "Forever",
  "Valid",
  IF(R124="", "Not Trained",
     IF(R124 &lt; TODAY() - 1, "Expired",
        IF(R124 &lt;= TODAY() + 90, "Expiring", "Valid")
     )
  )
)</f>
        <v>Valid</v>
      </c>
      <c r="T124" s="4">
        <v>46879</v>
      </c>
      <c r="U124" s="4" t="str">
        <f ca="1">IF(
  _xlfn.XLOOKUP($D124 &amp; "-" &amp; T$2, TrainingMan!$G:$G, TrainingMan!$F:$F, "2-Year") = "Forever",
  "Valid",
  IF(T124="", "Not Trained",
     IF(T124 &lt; TODAY() - 1, "Expired",
        IF(T124 &lt;= TODAY() + 90, "Expiring", "Valid")
     )
  )
)</f>
        <v>Valid</v>
      </c>
      <c r="V124" s="4">
        <v>46893</v>
      </c>
      <c r="W124" s="4" t="str">
        <f ca="1">IF(
  _xlfn.XLOOKUP($D124 &amp; "-" &amp; V$2, TrainingMan!$G:$G, TrainingMan!$F:$F, "2-Year") = "Forever",
  "Valid",
  IF(V124="", "Not Trained",
     IF(V124 &lt; TODAY() - 1, "Expired",
        IF(V124 &lt;= TODAY() + 90, "Expiring", "Valid")
     )
  )
)</f>
        <v>Valid</v>
      </c>
      <c r="X124" s="4">
        <v>46646</v>
      </c>
      <c r="Y124" s="4" t="str">
        <f ca="1">IF(
  _xlfn.XLOOKUP($D124 &amp; "-" &amp; X$2, TrainingMan!$G:$G, TrainingMan!$F:$F, "2-Year") = "Forever",
  "Valid",
  IF(X124="", "Not Trained",
     IF(X124 &lt; TODAY() - 1, "Expired",
        IF(X124 &lt;= TODAY() + 90, "Expiring", "Valid")
     )
  )
)</f>
        <v>Valid</v>
      </c>
      <c r="Z124" s="4">
        <v>45406</v>
      </c>
      <c r="AA124" s="4" t="str">
        <f ca="1">IF(LEN(TRIM(Z124)) = 0, "Not Trained",
  IF(_xlfn.XLOOKUP($D124 &amp; "-" &amp; Z$2, TrainingMan!$G:$G, TrainingMan!$F:$F, "2-Year") = "Forever", "Valid",
    IF(Z124 &lt; TODAY() - 1, "Expired",
      IF(Z124 &lt;= TODAY() + 90, "Expiring", "Valid")
    )
  )
)</f>
        <v>Valid</v>
      </c>
      <c r="AB124" s="4">
        <v>40843</v>
      </c>
      <c r="AC124" s="4">
        <v>45023</v>
      </c>
      <c r="AD124" s="4">
        <v>43882</v>
      </c>
      <c r="AE124" s="4"/>
      <c r="AF124" s="4">
        <v>45881</v>
      </c>
      <c r="AG124" s="4">
        <v>46091</v>
      </c>
      <c r="AH124" s="4"/>
      <c r="AI124" s="4"/>
      <c r="AJ124" s="4"/>
      <c r="AN124" s="4"/>
      <c r="AQ124" s="4"/>
      <c r="AR124" s="4"/>
      <c r="AS124" s="4"/>
      <c r="AT124" s="4" t="s">
        <v>313</v>
      </c>
      <c r="AU124" s="4"/>
      <c r="BB124" s="4">
        <v>46255</v>
      </c>
      <c r="BC124" s="4" t="s">
        <v>337</v>
      </c>
      <c r="BD124" s="4" t="s">
        <v>598</v>
      </c>
      <c r="BE124" s="4"/>
      <c r="BF124" s="4"/>
      <c r="BG124" s="4"/>
      <c r="BH124" s="4"/>
      <c r="BI124" s="4">
        <v>42750</v>
      </c>
      <c r="BJ124" s="4" t="s">
        <v>140</v>
      </c>
      <c r="BK124" t="s">
        <v>148</v>
      </c>
      <c r="BL124" s="4"/>
      <c r="BM124" s="4"/>
      <c r="BN124" s="4"/>
      <c r="BO124" s="4"/>
      <c r="BP124" s="4"/>
      <c r="BQ124">
        <f>COUNTIF('TrainingReq (Ach)'!B:B,Table13[[#This Row],[Job Title]])</f>
        <v>15</v>
      </c>
      <c r="BR124" cm="1">
        <f t="array" aca="1" ref="BR12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4" s="5">
        <f t="shared" ca="1" si="3"/>
        <v>1</v>
      </c>
      <c r="BT124" t="s">
        <v>348</v>
      </c>
      <c r="BU124" t="s">
        <v>247</v>
      </c>
      <c r="BV124" t="s">
        <v>256</v>
      </c>
      <c r="BW124" s="4" t="s">
        <v>140</v>
      </c>
      <c r="BX124" t="s">
        <v>148</v>
      </c>
      <c r="BZ124" t="s">
        <v>599</v>
      </c>
      <c r="CA124">
        <v>2</v>
      </c>
      <c r="CC124" t="s">
        <v>600</v>
      </c>
      <c r="CD124" s="4">
        <v>46817</v>
      </c>
      <c r="CE124" s="4" t="str">
        <f ca="1">IF(
  _xlfn.XLOOKUP($D124 &amp; "-" &amp; CD$2, 'TrainingReq (Ach)'!$G:$G, 'TrainingReq (Ach)'!$F:$F, "2-Year") = "Forever",
  "Valid",
  IF(CD124="", "Not Trained",
     IF(CD124 &lt; TODAY() - 1, "Expired",
        IF(CD124 &lt;= TODAY() + 90, "Expiring", "Valid")
     )
  )
)</f>
        <v>Valid</v>
      </c>
      <c r="CF124" t="s">
        <v>250</v>
      </c>
      <c r="CG124" s="4">
        <v>54044</v>
      </c>
      <c r="CH124" s="4" t="str">
        <f ca="1">IF(
  _xlfn.XLOOKUP($D123 &amp; "-" &amp; CG$2, 'TrainingReq (Ach)'!$G:$G, 'TrainingReq (Ach)'!$F:$F, "2-Year") = "Forever",
  "Valid",
  IF(CG123="", "Not Trained",
     IF(CG123 &lt; TODAY() - 1, "Expired",
        IF(CG123 &lt;= TODAY() + 90, "Expiring", "Valid")
     )
  )
)</f>
        <v>Valid</v>
      </c>
      <c r="CI124" t="str">
        <f t="shared" si="4"/>
        <v>Eligible</v>
      </c>
      <c r="CJ124" t="str">
        <f t="shared" si="5"/>
        <v>Eligible</v>
      </c>
    </row>
    <row r="125" spans="1:88" x14ac:dyDescent="0.25">
      <c r="A125">
        <v>123</v>
      </c>
      <c r="B125">
        <v>582608</v>
      </c>
      <c r="C125" t="s">
        <v>601</v>
      </c>
      <c r="D125" t="s">
        <v>18</v>
      </c>
      <c r="E125" t="s">
        <v>263</v>
      </c>
      <c r="F125" t="s">
        <v>537</v>
      </c>
      <c r="G125" t="s">
        <v>53</v>
      </c>
      <c r="H125" s="4">
        <v>46808</v>
      </c>
      <c r="I125" s="4" t="str">
        <f ca="1">IF(
  _xlfn.XLOOKUP($D125 &amp; "-" &amp; H$2, 'TrainingReq (Ach)'!G:G, 'TrainingReq (Ach)'!F:F, "2-Year") = "Forever",
  "Valid",
  IF(H125="", "Not Trained",
     IF(H125 &lt; TODAY() - 1, "Expired",
        IF(H125 &lt;= TODAY() + 90, "Expiring", "Valid")
     )
  )
)</f>
        <v>Valid</v>
      </c>
      <c r="J125" s="4">
        <v>46808</v>
      </c>
      <c r="K125" s="4" t="str">
        <f ca="1">IF(
  _xlfn.XLOOKUP($D125 &amp; "-" &amp; J$2, 'TrainingReq (Ach)'!G:G, 'TrainingReq (Ach)'!F:F, "2-Year") = "Forever",
  "Valid",
  IF(J125="", "Not Trained",
     IF(J125 &lt; TODAY() - 1, "Expired",
        IF(J125 &lt;= TODAY() + 90, "Expiring", "Valid")
     )
  )
)</f>
        <v>Valid</v>
      </c>
      <c r="L125" s="4">
        <v>46893</v>
      </c>
      <c r="M125" s="4" t="str">
        <f ca="1">IF(
  _xlfn.XLOOKUP($D125 &amp; "-" &amp; L$2, TrainingMan!$G:$G, TrainingMan!$F:$F, "2-Year") = "Forever",
  "Valid",
  IF(L125="", "Not Trained",
     IF(L125 &lt; TODAY() - 1, "Expired",
        IF(L125 &lt;= TODAY() + 90, "Expiring", "Valid")
     )
  )
)</f>
        <v>Valid</v>
      </c>
      <c r="N125" s="4">
        <v>46893</v>
      </c>
      <c r="O125" s="4" t="str">
        <f ca="1">IF(
  _xlfn.XLOOKUP($D125 &amp; "-" &amp; N$2, TrainingMan!$G:$G, TrainingMan!$F:$F, "2-Year") = "Forever",
  "Valid",
  IF(N125="", "Not Trained",
     IF(N125 &lt; TODAY() - 1, "Expired",
        IF(N125 &lt;= TODAY() + 90, "Expiring", "Valid")
     )
  )
)</f>
        <v>Valid</v>
      </c>
      <c r="P125" s="4">
        <v>46893</v>
      </c>
      <c r="Q125" s="4" t="str">
        <f ca="1">IF(
  _xlfn.XLOOKUP($D125 &amp; "-" &amp; P$2, TrainingMan!$G:$G, TrainingMan!$F:$F, "2-Year") = "Forever",
  "Valid",
  IF(P125="", "Not Trained",
     IF(P125 &lt; TODAY() - 1, "Expired",
        IF(P125 &lt;= TODAY() + 90, "Expiring", "Valid")
     )
  )
)</f>
        <v>Valid</v>
      </c>
      <c r="R125" s="4">
        <v>46893</v>
      </c>
      <c r="S125" s="4" t="str">
        <f ca="1">IF(
  _xlfn.XLOOKUP($D125 &amp; "-" &amp; R$2, TrainingMan!$G:$G, TrainingMan!$F:$F, "2-Year") = "Forever",
  "Valid",
  IF(R125="", "Not Trained",
     IF(R125 &lt; TODAY() - 1, "Expired",
        IF(R125 &lt;= TODAY() + 90, "Expiring", "Valid")
     )
  )
)</f>
        <v>Valid</v>
      </c>
      <c r="T125" s="4">
        <v>46893</v>
      </c>
      <c r="U125" s="4" t="str">
        <f ca="1">IF(
  _xlfn.XLOOKUP($D125 &amp; "-" &amp; T$2, TrainingMan!$G:$G, TrainingMan!$F:$F, "2-Year") = "Forever",
  "Valid",
  IF(T125="", "Not Trained",
     IF(T125 &lt; TODAY() - 1, "Expired",
        IF(T125 &lt;= TODAY() + 90, "Expiring", "Valid")
     )
  )
)</f>
        <v>Valid</v>
      </c>
      <c r="V125" s="4">
        <v>46893</v>
      </c>
      <c r="W125" s="4" t="str">
        <f ca="1">IF(
  _xlfn.XLOOKUP($D125 &amp; "-" &amp; V$2, TrainingMan!$G:$G, TrainingMan!$F:$F, "2-Year") = "Forever",
  "Valid",
  IF(V125="", "Not Trained",
     IF(V125 &lt; TODAY() - 1, "Expired",
        IF(V125 &lt;= TODAY() + 90, "Expiring", "Valid")
     )
  )
)</f>
        <v>Valid</v>
      </c>
      <c r="X125" s="4">
        <v>46893</v>
      </c>
      <c r="Y125" s="4" t="str">
        <f ca="1">IF(
  _xlfn.XLOOKUP($D125 &amp; "-" &amp; X$2, TrainingMan!$G:$G, TrainingMan!$F:$F, "2-Year") = "Forever",
  "Valid",
  IF(X125="", "Not Trained",
     IF(X125 &lt; TODAY() - 1, "Expired",
        IF(X125 &lt;= TODAY() + 90, "Expiring", "Valid")
     )
  )
)</f>
        <v>Valid</v>
      </c>
      <c r="Z125" s="4">
        <v>45443</v>
      </c>
      <c r="AA125" s="4" t="str">
        <f ca="1">IF(LEN(TRIM(Z125)) = 0, "Not Trained",
  IF(_xlfn.XLOOKUP($D125 &amp; "-" &amp; Z$2, TrainingMan!$G:$G, TrainingMan!$F:$F, "2-Year") = "Forever", "Valid",
    IF(Z125 &lt; TODAY() - 1, "Expired",
      IF(Z125 &lt;= TODAY() + 90, "Expiring", "Valid")
    )
  )
)</f>
        <v>Valid</v>
      </c>
      <c r="AB125" s="4">
        <v>44310</v>
      </c>
      <c r="AC125" s="4">
        <v>44116</v>
      </c>
      <c r="AD125" s="4">
        <v>43881</v>
      </c>
      <c r="AE125" s="4">
        <v>45096</v>
      </c>
      <c r="AF125" s="4">
        <v>45943</v>
      </c>
      <c r="AG125" s="4"/>
      <c r="AH125" s="4"/>
      <c r="AI125" s="4"/>
      <c r="AJ125" s="4"/>
      <c r="AN125" s="4"/>
      <c r="AQ125" s="4"/>
      <c r="AR125" s="4"/>
      <c r="AS125" s="4"/>
      <c r="AT125" s="4"/>
      <c r="AU125" s="4"/>
      <c r="BB125" s="4">
        <v>46039</v>
      </c>
      <c r="BC125" s="4" t="s">
        <v>268</v>
      </c>
      <c r="BD125" s="4" t="s">
        <v>602</v>
      </c>
      <c r="BE125" s="4"/>
      <c r="BF125" s="4"/>
      <c r="BG125" s="4"/>
      <c r="BH125" s="4"/>
      <c r="BI125" s="4">
        <v>43669</v>
      </c>
      <c r="BJ125" s="4" t="s">
        <v>140</v>
      </c>
      <c r="BK125" t="s">
        <v>148</v>
      </c>
      <c r="BL125" s="4"/>
      <c r="BM125" s="4"/>
      <c r="BN125" s="4"/>
      <c r="BO125" s="4"/>
      <c r="BP125" s="4"/>
      <c r="BQ125">
        <f>COUNTIF('TrainingReq (Ach)'!B:B,Table13[[#This Row],[Job Title]])</f>
        <v>15</v>
      </c>
      <c r="BR125" cm="1">
        <f t="array" aca="1" ref="BR12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5" s="5">
        <f t="shared" ca="1" si="3"/>
        <v>1</v>
      </c>
      <c r="BT125" t="s">
        <v>246</v>
      </c>
      <c r="BU125" t="s">
        <v>247</v>
      </c>
      <c r="BV125" t="s">
        <v>256</v>
      </c>
      <c r="BW125" s="4" t="s">
        <v>140</v>
      </c>
      <c r="BX125" t="s">
        <v>148</v>
      </c>
      <c r="BZ125" t="s">
        <v>603</v>
      </c>
      <c r="CC125" t="s">
        <v>604</v>
      </c>
      <c r="CD125" s="4">
        <v>46316</v>
      </c>
      <c r="CE125" s="4" t="str">
        <f ca="1">IF(
  _xlfn.XLOOKUP($D125 &amp; "-" &amp; CD$2, 'TrainingReq (Ach)'!$G:$G, 'TrainingReq (Ach)'!$F:$F, "2-Year") = "Forever",
  "Valid",
  IF(CD125="", "Not Trained",
     IF(CD125 &lt; TODAY() - 1, "Expired",
        IF(CD125 &lt;= TODAY() + 90, "Expiring", "Valid")
     )
  )
)</f>
        <v>Expiring</v>
      </c>
      <c r="CF125" t="s">
        <v>250</v>
      </c>
      <c r="CG125" s="4">
        <v>54884</v>
      </c>
      <c r="CH125" s="4" t="str">
        <f ca="1">IF(
  _xlfn.XLOOKUP($D124 &amp; "-" &amp; CG$2, 'TrainingReq (Ach)'!$G:$G, 'TrainingReq (Ach)'!$F:$F, "2-Year") = "Forever",
  "Valid",
  IF(CG124="", "Not Trained",
     IF(CG124 &lt; TODAY() - 1, "Expired",
        IF(CG124 &lt;= TODAY() + 90, "Expiring", "Valid")
     )
  )
)</f>
        <v>Valid</v>
      </c>
      <c r="CI125" t="str">
        <f t="shared" si="4"/>
        <v>Eligible</v>
      </c>
      <c r="CJ125" t="str">
        <f t="shared" si="5"/>
        <v>Eligible</v>
      </c>
    </row>
    <row r="126" spans="1:88" x14ac:dyDescent="0.25">
      <c r="A126">
        <v>124</v>
      </c>
      <c r="B126">
        <v>581769</v>
      </c>
      <c r="C126" t="s">
        <v>605</v>
      </c>
      <c r="D126" t="s">
        <v>25</v>
      </c>
      <c r="E126" t="s">
        <v>243</v>
      </c>
      <c r="F126" t="s">
        <v>537</v>
      </c>
      <c r="G126" t="s">
        <v>55</v>
      </c>
      <c r="H126" s="4">
        <v>46820</v>
      </c>
      <c r="I126" s="4" t="str">
        <f ca="1">IF(
  _xlfn.XLOOKUP($D126 &amp; "-" &amp; H$2, 'TrainingReq (Ach)'!G:G, 'TrainingReq (Ach)'!F:F, "2-Year") = "Forever",
  "Valid",
  IF(H126="", "Not Trained",
     IF(H126 &lt; TODAY() - 1, "Expired",
        IF(H126 &lt;= TODAY() + 90, "Expiring", "Valid")
     )
  )
)</f>
        <v>Valid</v>
      </c>
      <c r="J126" s="4">
        <v>46820</v>
      </c>
      <c r="K126" s="4" t="str">
        <f ca="1">IF(
  _xlfn.XLOOKUP($D126 &amp; "-" &amp; J$2, 'TrainingReq (Ach)'!G:G, 'TrainingReq (Ach)'!F:F, "2-Year") = "Forever",
  "Valid",
  IF(J126="", "Not Trained",
     IF(J126 &lt; TODAY() - 1, "Expired",
        IF(J126 &lt;= TODAY() + 90, "Expiring", "Valid")
     )
  )
)</f>
        <v>Valid</v>
      </c>
      <c r="L126" s="4">
        <v>46446</v>
      </c>
      <c r="M126" s="4" t="str">
        <f ca="1">IF(
  _xlfn.XLOOKUP($D126 &amp; "-" &amp; L$2, TrainingMan!$G:$G, TrainingMan!$F:$F, "2-Year") = "Forever",
  "Valid",
  IF(L126="", "Not Trained",
     IF(L126 &lt; TODAY() - 1, "Expired",
        IF(L126 &lt;= TODAY() + 90, "Expiring", "Valid")
     )
  )
)</f>
        <v>Valid</v>
      </c>
      <c r="N126" s="4">
        <v>46446</v>
      </c>
      <c r="O126" s="4" t="str">
        <f ca="1">IF(
  _xlfn.XLOOKUP($D126 &amp; "-" &amp; N$2, TrainingMan!$G:$G, TrainingMan!$F:$F, "2-Year") = "Forever",
  "Valid",
  IF(N126="", "Not Trained",
     IF(N126 &lt; TODAY() - 1, "Expired",
        IF(N126 &lt;= TODAY() + 90, "Expiring", "Valid")
     )
  )
)</f>
        <v>Valid</v>
      </c>
      <c r="P126" s="4">
        <v>46446</v>
      </c>
      <c r="Q126" s="4" t="str">
        <f ca="1">IF(
  _xlfn.XLOOKUP($D126 &amp; "-" &amp; P$2, TrainingMan!$G:$G, TrainingMan!$F:$F, "2-Year") = "Forever",
  "Valid",
  IF(P126="", "Not Trained",
     IF(P126 &lt; TODAY() - 1, "Expired",
        IF(P126 &lt;= TODAY() + 90, "Expiring", "Valid")
     )
  )
)</f>
        <v>Valid</v>
      </c>
      <c r="R126" s="4">
        <v>46446</v>
      </c>
      <c r="S126" s="4" t="str">
        <f ca="1">IF(
  _xlfn.XLOOKUP($D126 &amp; "-" &amp; R$2, TrainingMan!$G:$G, TrainingMan!$F:$F, "2-Year") = "Forever",
  "Valid",
  IF(R126="", "Not Trained",
     IF(R126 &lt; TODAY() - 1, "Expired",
        IF(R126 &lt;= TODAY() + 90, "Expiring", "Valid")
     )
  )
)</f>
        <v>Valid</v>
      </c>
      <c r="T126" s="4">
        <v>46446</v>
      </c>
      <c r="U126" s="4" t="str">
        <f ca="1">IF(
  _xlfn.XLOOKUP($D126 &amp; "-" &amp; T$2, TrainingMan!$G:$G, TrainingMan!$F:$F, "2-Year") = "Forever",
  "Valid",
  IF(T126="", "Not Trained",
     IF(T126 &lt; TODAY() - 1, "Expired",
        IF(T126 &lt;= TODAY() + 90, "Expiring", "Valid")
     )
  )
)</f>
        <v>Valid</v>
      </c>
      <c r="V126" s="4">
        <v>46446</v>
      </c>
      <c r="W126" s="4" t="str">
        <f ca="1">IF(
  _xlfn.XLOOKUP($D126 &amp; "-" &amp; V$2, TrainingMan!$G:$G, TrainingMan!$F:$F, "2-Year") = "Forever",
  "Valid",
  IF(V126="", "Not Trained",
     IF(V126 &lt; TODAY() - 1, "Expired",
        IF(V126 &lt;= TODAY() + 90, "Expiring", "Valid")
     )
  )
)</f>
        <v>Valid</v>
      </c>
      <c r="X126" s="4">
        <v>46549</v>
      </c>
      <c r="Y126" s="4" t="str">
        <f ca="1">IF(
  _xlfn.XLOOKUP($D126 &amp; "-" &amp; X$2, TrainingMan!$G:$G, TrainingMan!$F:$F, "2-Year") = "Forever",
  "Valid",
  IF(X126="", "Not Trained",
     IF(X126 &lt; TODAY() - 1, "Expired",
        IF(X126 &lt;= TODAY() + 90, "Expiring", "Valid")
     )
  )
)</f>
        <v>Valid</v>
      </c>
      <c r="Z126" s="4">
        <v>44690</v>
      </c>
      <c r="AA126" s="4" t="str">
        <f ca="1">IF(LEN(TRIM(Z126)) = 0, "Not Trained",
  IF(_xlfn.XLOOKUP($D126 &amp; "-" &amp; Z$2, TrainingMan!$G:$G, TrainingMan!$F:$F, "2-Year") = "Forever", "Valid",
    IF(Z126 &lt; TODAY() - 1, "Expired",
      IF(Z126 &lt;= TODAY() + 90, "Expiring", "Valid")
    )
  )
)</f>
        <v>Valid</v>
      </c>
      <c r="AB126" s="4">
        <v>43887</v>
      </c>
      <c r="AC126" s="4">
        <v>44014</v>
      </c>
      <c r="AD126" s="4">
        <v>44025</v>
      </c>
      <c r="AE126" s="4">
        <v>45355</v>
      </c>
      <c r="AF126" s="4">
        <v>44988</v>
      </c>
      <c r="AG126" s="4">
        <v>45000</v>
      </c>
      <c r="AH126" s="4"/>
      <c r="AI126" s="4"/>
      <c r="AJ126" s="4"/>
      <c r="AN126" s="4"/>
      <c r="AQ126" s="4"/>
      <c r="AR126" s="4"/>
      <c r="AS126" s="4"/>
      <c r="AT126" s="4" t="s">
        <v>515</v>
      </c>
      <c r="AU126" s="4"/>
      <c r="BB126" s="4">
        <v>46144</v>
      </c>
      <c r="BC126" s="4"/>
      <c r="BD126" s="4" t="s">
        <v>254</v>
      </c>
      <c r="BE126" s="4"/>
      <c r="BF126" s="4"/>
      <c r="BG126" s="4"/>
      <c r="BH126" s="4"/>
      <c r="BI126" s="4">
        <v>43024</v>
      </c>
      <c r="BJ126" s="4" t="s">
        <v>153</v>
      </c>
      <c r="BK126" t="s">
        <v>140</v>
      </c>
      <c r="BL126" s="4" t="s">
        <v>147</v>
      </c>
      <c r="BM126" s="4" t="s">
        <v>606</v>
      </c>
      <c r="BN126" s="4"/>
      <c r="BO126" s="4"/>
      <c r="BP126" s="4"/>
      <c r="BQ126">
        <f>COUNTIF('TrainingReq (Ach)'!B:B,Table13[[#This Row],[Job Title]])</f>
        <v>9</v>
      </c>
      <c r="BR126" cm="1">
        <f t="array" aca="1" ref="BR12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9</v>
      </c>
      <c r="BS126" s="5">
        <f t="shared" ca="1" si="3"/>
        <v>1</v>
      </c>
      <c r="BT126" t="s">
        <v>338</v>
      </c>
      <c r="BU126" t="s">
        <v>247</v>
      </c>
      <c r="BV126" t="s">
        <v>256</v>
      </c>
      <c r="BW126" s="4" t="s">
        <v>153</v>
      </c>
      <c r="BX126" t="s">
        <v>140</v>
      </c>
      <c r="BZ126" t="s">
        <v>607</v>
      </c>
      <c r="CA126">
        <v>2</v>
      </c>
      <c r="CC126" t="s">
        <v>608</v>
      </c>
      <c r="CD126" s="4">
        <v>47251</v>
      </c>
      <c r="CE126" s="4" t="str">
        <f ca="1">IF(
  _xlfn.XLOOKUP($D126 &amp; "-" &amp; CD$2, 'TrainingReq (Ach)'!$G:$G, 'TrainingReq (Ach)'!$F:$F, "2-Year") = "Forever",
  "Valid",
  IF(CD126="", "Not Trained",
     IF(CD126 &lt; TODAY() - 1, "Expired",
        IF(CD126 &lt;= TODAY() + 90, "Expiring", "Valid")
     )
  )
)</f>
        <v>Valid</v>
      </c>
      <c r="CF126" t="s">
        <v>250</v>
      </c>
      <c r="CG126" s="4">
        <v>55347</v>
      </c>
      <c r="CH126" s="4" t="str">
        <f ca="1">IF(
  _xlfn.XLOOKUP($D125 &amp; "-" &amp; CG$2, 'TrainingReq (Ach)'!$G:$G, 'TrainingReq (Ach)'!$F:$F, "2-Year") = "Forever",
  "Valid",
  IF(CG125="", "Not Trained",
     IF(CG125 &lt; TODAY() - 1, "Expired",
        IF(CG125 &lt;= TODAY() + 90, "Expiring", "Valid")
     )
  )
)</f>
        <v>Valid</v>
      </c>
      <c r="CI126" t="str">
        <f t="shared" si="4"/>
        <v>Eligible</v>
      </c>
      <c r="CJ126" t="str">
        <f t="shared" si="5"/>
        <v>Eligible</v>
      </c>
    </row>
    <row r="127" spans="1:88" x14ac:dyDescent="0.25">
      <c r="A127">
        <v>125</v>
      </c>
      <c r="B127">
        <v>584036</v>
      </c>
      <c r="C127" t="s">
        <v>95</v>
      </c>
      <c r="D127" t="s">
        <v>18</v>
      </c>
      <c r="E127" t="s">
        <v>263</v>
      </c>
      <c r="F127" t="s">
        <v>537</v>
      </c>
      <c r="G127" t="s">
        <v>53</v>
      </c>
      <c r="H127" s="4">
        <v>46855</v>
      </c>
      <c r="I127" s="4" t="str">
        <f ca="1">IF(
  _xlfn.XLOOKUP($D127 &amp; "-" &amp; H$2, 'TrainingReq (Ach)'!G:G, 'TrainingReq (Ach)'!F:F, "2-Year") = "Forever",
  "Valid",
  IF(H127="", "Not Trained",
     IF(H127 &lt; TODAY() - 1, "Expired",
        IF(H127 &lt;= TODAY() + 90, "Expiring", "Valid")
     )
  )
)</f>
        <v>Valid</v>
      </c>
      <c r="J127" s="4">
        <v>46855</v>
      </c>
      <c r="K127" s="4" t="str">
        <f ca="1">IF(
  _xlfn.XLOOKUP($D127 &amp; "-" &amp; J$2, 'TrainingReq (Ach)'!G:G, 'TrainingReq (Ach)'!F:F, "2-Year") = "Forever",
  "Valid",
  IF(J127="", "Not Trained",
     IF(J127 &lt; TODAY() - 1, "Expired",
        IF(J127 &lt;= TODAY() + 90, "Expiring", "Valid")
     )
  )
)</f>
        <v>Valid</v>
      </c>
      <c r="L127" s="4">
        <v>46937</v>
      </c>
      <c r="M127" s="4" t="str">
        <f ca="1">IF(
  _xlfn.XLOOKUP($D127 &amp; "-" &amp; L$2, TrainingMan!$G:$G, TrainingMan!$F:$F, "2-Year") = "Forever",
  "Valid",
  IF(L127="", "Not Trained",
     IF(L127 &lt; TODAY() - 1, "Expired",
        IF(L127 &lt;= TODAY() + 90, "Expiring", "Valid")
     )
  )
)</f>
        <v>Valid</v>
      </c>
      <c r="N127" s="4">
        <v>46937</v>
      </c>
      <c r="O127" s="4" t="str">
        <f ca="1">IF(
  _xlfn.XLOOKUP($D127 &amp; "-" &amp; N$2, TrainingMan!$G:$G, TrainingMan!$F:$F, "2-Year") = "Forever",
  "Valid",
  IF(N127="", "Not Trained",
     IF(N127 &lt; TODAY() - 1, "Expired",
        IF(N127 &lt;= TODAY() + 90, "Expiring", "Valid")
     )
  )
)</f>
        <v>Valid</v>
      </c>
      <c r="P127" s="4">
        <v>46937</v>
      </c>
      <c r="Q127" s="4" t="str">
        <f ca="1">IF(
  _xlfn.XLOOKUP($D127 &amp; "-" &amp; P$2, TrainingMan!$G:$G, TrainingMan!$F:$F, "2-Year") = "Forever",
  "Valid",
  IF(P127="", "Not Trained",
     IF(P127 &lt; TODAY() - 1, "Expired",
        IF(P127 &lt;= TODAY() + 90, "Expiring", "Valid")
     )
  )
)</f>
        <v>Valid</v>
      </c>
      <c r="R127" s="4">
        <v>46937</v>
      </c>
      <c r="S127" s="4" t="str">
        <f ca="1">IF(
  _xlfn.XLOOKUP($D127 &amp; "-" &amp; R$2, TrainingMan!$G:$G, TrainingMan!$F:$F, "2-Year") = "Forever",
  "Valid",
  IF(R127="", "Not Trained",
     IF(R127 &lt; TODAY() - 1, "Expired",
        IF(R127 &lt;= TODAY() + 90, "Expiring", "Valid")
     )
  )
)</f>
        <v>Valid</v>
      </c>
      <c r="T127" s="4">
        <v>46937</v>
      </c>
      <c r="U127" s="4" t="str">
        <f ca="1">IF(
  _xlfn.XLOOKUP($D127 &amp; "-" &amp; T$2, TrainingMan!$G:$G, TrainingMan!$F:$F, "2-Year") = "Forever",
  "Valid",
  IF(T127="", "Not Trained",
     IF(T127 &lt; TODAY() - 1, "Expired",
        IF(T127 &lt;= TODAY() + 90, "Expiring", "Valid")
     )
  )
)</f>
        <v>Valid</v>
      </c>
      <c r="V127" s="4">
        <v>46302</v>
      </c>
      <c r="W127" s="4" t="str">
        <f ca="1">IF(
  _xlfn.XLOOKUP($D127 &amp; "-" &amp; V$2, TrainingMan!$G:$G, TrainingMan!$F:$F, "2-Year") = "Forever",
  "Valid",
  IF(V127="", "Not Trained",
     IF(V127 &lt; TODAY() - 1, "Expired",
        IF(V127 &lt;= TODAY() + 90, "Expiring", "Valid")
     )
  )
)</f>
        <v>Expiring</v>
      </c>
      <c r="X127" s="4">
        <v>46937</v>
      </c>
      <c r="Y127" s="4" t="str">
        <f ca="1">IF(
  _xlfn.XLOOKUP($D127 &amp; "-" &amp; X$2, TrainingMan!$G:$G, TrainingMan!$F:$F, "2-Year") = "Forever",
  "Valid",
  IF(X127="", "Not Trained",
     IF(X127 &lt; TODAY() - 1, "Expired",
        IF(X127 &lt;= TODAY() + 90, "Expiring", "Valid")
     )
  )
)</f>
        <v>Valid</v>
      </c>
      <c r="Z127" s="4">
        <v>46222</v>
      </c>
      <c r="AA127" s="4" t="str">
        <f ca="1">IF(LEN(TRIM(Z127)) = 0, "Not Trained",
  IF(_xlfn.XLOOKUP($D127 &amp; "-" &amp; Z$2, TrainingMan!$G:$G, TrainingMan!$F:$F, "2-Year") = "Forever", "Valid",
    IF(Z127 &lt; TODAY() - 1, "Expired",
      IF(Z127 &lt;= TODAY() + 90, "Expiring", "Valid")
    )
  )
)</f>
        <v>Valid</v>
      </c>
      <c r="AB127" s="4">
        <v>45929</v>
      </c>
      <c r="AC127" s="4"/>
      <c r="AD127" s="4"/>
      <c r="AE127" s="4"/>
      <c r="AF127" s="4"/>
      <c r="AG127" s="4"/>
      <c r="AH127" s="4"/>
      <c r="AI127" s="4"/>
      <c r="AJ127" s="4"/>
      <c r="AN127" s="4"/>
      <c r="AQ127" s="4"/>
      <c r="AR127" s="4"/>
      <c r="AS127" s="4"/>
      <c r="AT127" s="4"/>
      <c r="AU127" s="4"/>
      <c r="BB127" s="4">
        <v>46444</v>
      </c>
      <c r="BC127" s="4"/>
      <c r="BD127" s="4" t="s">
        <v>448</v>
      </c>
      <c r="BE127" s="4"/>
      <c r="BF127" s="4"/>
      <c r="BG127" s="4"/>
      <c r="BH127" s="4"/>
      <c r="BI127" s="4">
        <v>46078</v>
      </c>
      <c r="BJ127" s="4" t="s">
        <v>151</v>
      </c>
      <c r="BK127" s="4"/>
      <c r="BL127" s="4"/>
      <c r="BM127" s="4" t="s">
        <v>609</v>
      </c>
      <c r="BN127" s="4"/>
      <c r="BO127" s="4"/>
      <c r="BP127" s="4"/>
      <c r="BQ127">
        <f>COUNTIF('TrainingReq (Ach)'!B:B,Table13[[#This Row],[Job Title]])</f>
        <v>15</v>
      </c>
      <c r="BR127" cm="1">
        <f t="array" aca="1" ref="BR12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27" s="5">
        <f t="shared" ca="1" si="3"/>
        <v>0.93333333333333335</v>
      </c>
      <c r="BT127" t="s">
        <v>319</v>
      </c>
      <c r="BU127" t="s">
        <v>247</v>
      </c>
      <c r="BW127" s="4"/>
      <c r="CC127" t="s">
        <v>610</v>
      </c>
      <c r="CD127" s="4"/>
      <c r="CE127" s="4" t="str">
        <f ca="1">IF(
  _xlfn.XLOOKUP($D127 &amp; "-" &amp; CD$2, 'TrainingReq (Ach)'!$G:$G, 'TrainingReq (Ach)'!$F:$F, "2-Year") = "Forever",
  "Valid",
  IF(CD127="", "Not Trained",
     IF(CD127 &lt; TODAY() - 1, "Expired",
        IF(CD127 &lt;= TODAY() + 90, "Expiring", "Valid")
     )
  )
)</f>
        <v>Not Trained</v>
      </c>
      <c r="CF127" t="s">
        <v>250</v>
      </c>
      <c r="CG127" s="4">
        <v>57590</v>
      </c>
      <c r="CH127" s="4" t="str">
        <f ca="1">IF(
  _xlfn.XLOOKUP($D126 &amp; "-" &amp; CG$2, 'TrainingReq (Ach)'!$G:$G, 'TrainingReq (Ach)'!$F:$F, "2-Year") = "Forever",
  "Valid",
  IF(CG126="", "Not Trained",
     IF(CG126 &lt; TODAY() - 1, "Expired",
        IF(CG126 &lt;= TODAY() + 90, "Expiring", "Valid")
     )
  )
)</f>
        <v>Valid</v>
      </c>
      <c r="CI127" t="str">
        <f t="shared" si="4"/>
        <v>Not eligible</v>
      </c>
      <c r="CJ127" t="str">
        <f t="shared" si="5"/>
        <v>Not eligible</v>
      </c>
    </row>
    <row r="128" spans="1:88" x14ac:dyDescent="0.25">
      <c r="A128">
        <v>126</v>
      </c>
      <c r="B128">
        <v>584034</v>
      </c>
      <c r="C128" t="s">
        <v>79</v>
      </c>
      <c r="D128" t="s">
        <v>18</v>
      </c>
      <c r="E128" t="s">
        <v>263</v>
      </c>
      <c r="F128" t="s">
        <v>537</v>
      </c>
      <c r="G128" t="s">
        <v>53</v>
      </c>
      <c r="H128" s="4">
        <v>46855</v>
      </c>
      <c r="I128" s="4" t="str">
        <f ca="1">IF(
  _xlfn.XLOOKUP($D128 &amp; "-" &amp; H$2, 'TrainingReq (Ach)'!G:G, 'TrainingReq (Ach)'!F:F, "2-Year") = "Forever",
  "Valid",
  IF(H128="", "Not Trained",
     IF(H128 &lt; TODAY() - 1, "Expired",
        IF(H128 &lt;= TODAY() + 90, "Expiring", "Valid")
     )
  )
)</f>
        <v>Valid</v>
      </c>
      <c r="J128" s="4">
        <v>46855</v>
      </c>
      <c r="K128" s="4" t="str">
        <f ca="1">IF(
  _xlfn.XLOOKUP($D128 &amp; "-" &amp; J$2, 'TrainingReq (Ach)'!G:G, 'TrainingReq (Ach)'!F:F, "2-Year") = "Forever",
  "Valid",
  IF(J128="", "Not Trained",
     IF(J128 &lt; TODAY() - 1, "Expired",
        IF(J128 &lt;= TODAY() + 90, "Expiring", "Valid")
     )
  )
)</f>
        <v>Valid</v>
      </c>
      <c r="L128" s="4">
        <v>46271</v>
      </c>
      <c r="M128" s="4" t="str">
        <f ca="1">IF(
  _xlfn.XLOOKUP($D128 &amp; "-" &amp; L$2, TrainingMan!$G:$G, TrainingMan!$F:$F, "2-Year") = "Forever",
  "Valid",
  IF(L128="", "Not Trained",
     IF(L128 &lt; TODAY() - 1, "Expired",
        IF(L128 &lt;= TODAY() + 90, "Expiring", "Valid")
     )
  )
)</f>
        <v>Expiring</v>
      </c>
      <c r="N128" s="4">
        <v>46242</v>
      </c>
      <c r="O128" s="4" t="str">
        <f ca="1">IF(
  _xlfn.XLOOKUP($D128 &amp; "-" &amp; N$2, TrainingMan!$G:$G, TrainingMan!$F:$F, "2-Year") = "Forever",
  "Valid",
  IF(N128="", "Not Trained",
     IF(N128 &lt; TODAY() - 1, "Expired",
        IF(N128 &lt;= TODAY() + 90, "Expiring", "Valid")
     )
  )
)</f>
        <v>Expired</v>
      </c>
      <c r="P128" s="4">
        <v>46242</v>
      </c>
      <c r="Q128" s="4" t="str">
        <f ca="1">IF(
  _xlfn.XLOOKUP($D128 &amp; "-" &amp; P$2, TrainingMan!$G:$G, TrainingMan!$F:$F, "2-Year") = "Forever",
  "Valid",
  IF(P128="", "Not Trained",
     IF(P128 &lt; TODAY() - 1, "Expired",
        IF(P128 &lt;= TODAY() + 90, "Expiring", "Valid")
     )
  )
)</f>
        <v>Expired</v>
      </c>
      <c r="R128" s="4">
        <v>46242</v>
      </c>
      <c r="S128" s="4" t="str">
        <f ca="1">IF(
  _xlfn.XLOOKUP($D128 &amp; "-" &amp; R$2, TrainingMan!$G:$G, TrainingMan!$F:$F, "2-Year") = "Forever",
  "Valid",
  IF(R128="", "Not Trained",
     IF(R128 &lt; TODAY() - 1, "Expired",
        IF(R128 &lt;= TODAY() + 90, "Expiring", "Valid")
     )
  )
)</f>
        <v>Expired</v>
      </c>
      <c r="T128" s="4">
        <v>46243</v>
      </c>
      <c r="U128" s="4" t="str">
        <f ca="1">IF(
  _xlfn.XLOOKUP($D128 &amp; "-" &amp; T$2, TrainingMan!$G:$G, TrainingMan!$F:$F, "2-Year") = "Forever",
  "Valid",
  IF(T128="", "Not Trained",
     IF(T128 &lt; TODAY() - 1, "Expired",
        IF(T128 &lt;= TODAY() + 90, "Expiring", "Valid")
     )
  )
)</f>
        <v>Expired</v>
      </c>
      <c r="V128" s="4">
        <v>46302</v>
      </c>
      <c r="W128" s="4" t="str">
        <f ca="1">IF(
  _xlfn.XLOOKUP($D128 &amp; "-" &amp; V$2, TrainingMan!$G:$G, TrainingMan!$F:$F, "2-Year") = "Forever",
  "Valid",
  IF(V128="", "Not Trained",
     IF(V128 &lt; TODAY() - 1, "Expired",
        IF(V128 &lt;= TODAY() + 90, "Expiring", "Valid")
     )
  )
)</f>
        <v>Expiring</v>
      </c>
      <c r="X128" s="4">
        <v>46320</v>
      </c>
      <c r="Y128" s="4" t="str">
        <f ca="1">IF(
  _xlfn.XLOOKUP($D128 &amp; "-" &amp; X$2, TrainingMan!$G:$G, TrainingMan!$F:$F, "2-Year") = "Forever",
  "Valid",
  IF(X128="", "Not Trained",
     IF(X128 &lt; TODAY() - 1, "Expired",
        IF(X128 &lt;= TODAY() + 90, "Expiring", "Valid")
     )
  )
)</f>
        <v>Expiring</v>
      </c>
      <c r="Z128" s="4">
        <v>46222</v>
      </c>
      <c r="AA128" s="4" t="str">
        <f ca="1">IF(LEN(TRIM(Z128)) = 0, "Not Trained",
  IF(_xlfn.XLOOKUP($D128 &amp; "-" &amp; Z$2, TrainingMan!$G:$G, TrainingMan!$F:$F, "2-Year") = "Forever", "Valid",
    IF(Z128 &lt; TODAY() - 1, "Expired",
      IF(Z128 &lt;= TODAY() + 90, "Expiring", "Valid")
    )
  )
)</f>
        <v>Valid</v>
      </c>
      <c r="AB128" s="4">
        <v>45929</v>
      </c>
      <c r="AC128" s="4">
        <v>46132</v>
      </c>
      <c r="AD128" s="4">
        <v>46181</v>
      </c>
      <c r="AE128" s="4"/>
      <c r="AF128" s="4"/>
      <c r="AG128" s="4"/>
      <c r="AH128" s="4"/>
      <c r="AI128" s="4"/>
      <c r="AJ128" s="4"/>
      <c r="AN128" s="4"/>
      <c r="AQ128" s="4"/>
      <c r="AR128" s="4"/>
      <c r="AS128" s="4"/>
      <c r="AT128" s="4"/>
      <c r="AU128" s="4"/>
      <c r="BB128" s="4">
        <v>45818</v>
      </c>
      <c r="BC128" s="4"/>
      <c r="BD128" s="4" t="s">
        <v>448</v>
      </c>
      <c r="BE128" s="4"/>
      <c r="BF128" s="4"/>
      <c r="BG128" s="4"/>
      <c r="BH128" s="4"/>
      <c r="BI128" s="4">
        <v>46078</v>
      </c>
      <c r="BJ128" s="4" t="s">
        <v>151</v>
      </c>
      <c r="BK128" s="4"/>
      <c r="BL128" s="4"/>
      <c r="BM128" s="4" t="s">
        <v>609</v>
      </c>
      <c r="BN128" s="4"/>
      <c r="BO128" s="4"/>
      <c r="BP128" s="4"/>
      <c r="BQ128">
        <f>COUNTIF('TrainingReq (Ach)'!B:B,Table13[[#This Row],[Job Title]])</f>
        <v>15</v>
      </c>
      <c r="BR128" cm="1">
        <f t="array" aca="1" ref="BR12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8" s="5">
        <f t="shared" ca="1" si="3"/>
        <v>1</v>
      </c>
      <c r="BT128" t="s">
        <v>364</v>
      </c>
      <c r="BU128" t="s">
        <v>247</v>
      </c>
      <c r="BW128" s="4"/>
      <c r="CC128" t="s">
        <v>611</v>
      </c>
      <c r="CD128" s="4"/>
      <c r="CE128" s="4" t="str">
        <f ca="1">IF(
  _xlfn.XLOOKUP($D128 &amp; "-" &amp; CD$2, 'TrainingReq (Ach)'!$G:$G, 'TrainingReq (Ach)'!$F:$F, "2-Year") = "Forever",
  "Valid",
  IF(CD128="", "Not Trained",
     IF(CD128 &lt; TODAY() - 1, "Expired",
        IF(CD128 &lt;= TODAY() + 90, "Expiring", "Valid")
     )
  )
)</f>
        <v>Not Trained</v>
      </c>
      <c r="CF128" t="s">
        <v>250</v>
      </c>
      <c r="CG128" s="4">
        <v>57190</v>
      </c>
      <c r="CH128" s="4" t="str">
        <f ca="1">IF(
  _xlfn.XLOOKUP($D127 &amp; "-" &amp; CG$2, 'TrainingReq (Ach)'!$G:$G, 'TrainingReq (Ach)'!$F:$F, "2-Year") = "Forever",
  "Valid",
  IF(CG127="", "Not Trained",
     IF(CG127 &lt; TODAY() - 1, "Expired",
        IF(CG127 &lt;= TODAY() + 90, "Expiring", "Valid")
     )
  )
)</f>
        <v>Valid</v>
      </c>
      <c r="CI128" t="str">
        <f t="shared" si="4"/>
        <v>Not eligible</v>
      </c>
      <c r="CJ128" t="str">
        <f t="shared" si="5"/>
        <v>Not eligible</v>
      </c>
    </row>
    <row r="129" spans="1:88" x14ac:dyDescent="0.25">
      <c r="A129">
        <v>127</v>
      </c>
      <c r="B129">
        <v>583620</v>
      </c>
      <c r="C129" t="s">
        <v>85</v>
      </c>
      <c r="D129" t="s">
        <v>18</v>
      </c>
      <c r="E129" t="s">
        <v>263</v>
      </c>
      <c r="F129" t="s">
        <v>537</v>
      </c>
      <c r="G129" t="s">
        <v>53</v>
      </c>
      <c r="H129" s="4">
        <v>46862</v>
      </c>
      <c r="I129" s="4" t="str">
        <f ca="1">IF(
  _xlfn.XLOOKUP($D129 &amp; "-" &amp; H$2, 'TrainingReq (Ach)'!G:G, 'TrainingReq (Ach)'!F:F, "2-Year") = "Forever",
  "Valid",
  IF(H129="", "Not Trained",
     IF(H129 &lt; TODAY() - 1, "Expired",
        IF(H129 &lt;= TODAY() + 90, "Expiring", "Valid")
     )
  )
)</f>
        <v>Valid</v>
      </c>
      <c r="J129" s="4">
        <v>46862</v>
      </c>
      <c r="K129" s="4" t="str">
        <f ca="1">IF(
  _xlfn.XLOOKUP($D129 &amp; "-" &amp; J$2, 'TrainingReq (Ach)'!G:G, 'TrainingReq (Ach)'!F:F, "2-Year") = "Forever",
  "Valid",
  IF(J129="", "Not Trained",
     IF(J129 &lt; TODAY() - 1, "Expired",
        IF(J129 &lt;= TODAY() + 90, "Expiring", "Valid")
     )
  )
)</f>
        <v>Valid</v>
      </c>
      <c r="L129" s="4">
        <v>46575</v>
      </c>
      <c r="M129" s="4" t="str">
        <f ca="1">IF(
  _xlfn.XLOOKUP($D129 &amp; "-" &amp; L$2, TrainingMan!$G:$G, TrainingMan!$F:$F, "2-Year") = "Forever",
  "Valid",
  IF(L129="", "Not Trained",
     IF(L129 &lt; TODAY() - 1, "Expired",
        IF(L129 &lt;= TODAY() + 90, "Expiring", "Valid")
     )
  )
)</f>
        <v>Valid</v>
      </c>
      <c r="N129" s="4">
        <v>46292</v>
      </c>
      <c r="O129" s="4" t="str">
        <f ca="1">IF(
  _xlfn.XLOOKUP($D129 &amp; "-" &amp; N$2, TrainingMan!$G:$G, TrainingMan!$F:$F, "2-Year") = "Forever",
  "Valid",
  IF(N129="", "Not Trained",
     IF(N129 &lt; TODAY() - 1, "Expired",
        IF(N129 &lt;= TODAY() + 90, "Expiring", "Valid")
     )
  )
)</f>
        <v>Expiring</v>
      </c>
      <c r="P129" s="4">
        <v>46575</v>
      </c>
      <c r="Q129" s="4" t="str">
        <f ca="1">IF(
  _xlfn.XLOOKUP($D129 &amp; "-" &amp; P$2, TrainingMan!$G:$G, TrainingMan!$F:$F, "2-Year") = "Forever",
  "Valid",
  IF(P129="", "Not Trained",
     IF(P129 &lt; TODAY() - 1, "Expired",
        IF(P129 &lt;= TODAY() + 90, "Expiring", "Valid")
     )
  )
)</f>
        <v>Valid</v>
      </c>
      <c r="R129" s="4">
        <v>46292</v>
      </c>
      <c r="S129" s="4" t="str">
        <f ca="1">IF(
  _xlfn.XLOOKUP($D129 &amp; "-" &amp; R$2, TrainingMan!$G:$G, TrainingMan!$F:$F, "2-Year") = "Forever",
  "Valid",
  IF(R129="", "Not Trained",
     IF(R129 &lt; TODAY() - 1, "Expired",
        IF(R129 &lt;= TODAY() + 90, "Expiring", "Valid")
     )
  )
)</f>
        <v>Expiring</v>
      </c>
      <c r="T129" s="4">
        <v>46292</v>
      </c>
      <c r="U129" s="4" t="str">
        <f ca="1">IF(
  _xlfn.XLOOKUP($D129 &amp; "-" &amp; T$2, TrainingMan!$G:$G, TrainingMan!$F:$F, "2-Year") = "Forever",
  "Valid",
  IF(T129="", "Not Trained",
     IF(T129 &lt; TODAY() - 1, "Expired",
        IF(T129 &lt;= TODAY() + 90, "Expiring", "Valid")
     )
  )
)</f>
        <v>Expiring</v>
      </c>
      <c r="V129" s="4">
        <v>46292</v>
      </c>
      <c r="W129" s="4" t="str">
        <f ca="1">IF(
  _xlfn.XLOOKUP($D129 &amp; "-" &amp; V$2, TrainingMan!$G:$G, TrainingMan!$F:$F, "2-Year") = "Forever",
  "Valid",
  IF(V129="", "Not Trained",
     IF(V129 &lt; TODAY() - 1, "Expired",
        IF(V129 &lt;= TODAY() + 90, "Expiring", "Valid")
     )
  )
)</f>
        <v>Expiring</v>
      </c>
      <c r="X129" s="4">
        <v>46635</v>
      </c>
      <c r="Y129" s="4" t="str">
        <f ca="1">IF(
  _xlfn.XLOOKUP($D129 &amp; "-" &amp; X$2, TrainingMan!$G:$G, TrainingMan!$F:$F, "2-Year") = "Forever",
  "Valid",
  IF(X129="", "Not Trained",
     IF(X129 &lt; TODAY() - 1, "Expired",
        IF(X129 &lt;= TODAY() + 90, "Expiring", "Valid")
     )
  )
)</f>
        <v>Valid</v>
      </c>
      <c r="Z129" s="4">
        <v>45550</v>
      </c>
      <c r="AA129" s="4" t="str">
        <f ca="1">IF(LEN(TRIM(Z129)) = 0, "Not Trained",
  IF(_xlfn.XLOOKUP($D129 &amp; "-" &amp; Z$2, TrainingMan!$G:$G, TrainingMan!$F:$F, "2-Year") = "Forever", "Valid",
    IF(Z129 &lt; TODAY() - 1, "Expired",
      IF(Z129 &lt;= TODAY() + 90, "Expiring", "Valid")
    )
  )
)</f>
        <v>Valid</v>
      </c>
      <c r="AB129" s="4">
        <v>44829</v>
      </c>
      <c r="AC129" s="4">
        <v>45845</v>
      </c>
      <c r="AD129" s="4">
        <v>45803</v>
      </c>
      <c r="AE129" s="4"/>
      <c r="AF129" s="4">
        <v>45000</v>
      </c>
      <c r="AG129" s="4"/>
      <c r="AH129" s="4"/>
      <c r="AI129" s="4"/>
      <c r="AJ129" s="4"/>
      <c r="AN129" s="4"/>
      <c r="AQ129" s="4"/>
      <c r="AR129" s="4"/>
      <c r="AS129" s="4"/>
      <c r="AT129" s="4"/>
      <c r="AU129" s="4"/>
      <c r="BB129" s="4">
        <v>45761</v>
      </c>
      <c r="BC129" s="4" t="s">
        <v>546</v>
      </c>
      <c r="BD129" s="4" t="s">
        <v>612</v>
      </c>
      <c r="BE129" s="4"/>
      <c r="BF129" s="4"/>
      <c r="BG129" s="4"/>
      <c r="BH129" s="4"/>
      <c r="BI129" s="4">
        <v>45075</v>
      </c>
      <c r="BJ129" s="4" t="s">
        <v>145</v>
      </c>
      <c r="BK129" s="4"/>
      <c r="BL129" s="4"/>
      <c r="BM129" s="4"/>
      <c r="BN129" s="4"/>
      <c r="BO129" s="4"/>
      <c r="BP129" s="4"/>
      <c r="BQ129">
        <f>COUNTIF('TrainingReq (Ach)'!B:B,Table13[[#This Row],[Job Title]])</f>
        <v>15</v>
      </c>
      <c r="BR129" cm="1">
        <f t="array" aca="1" ref="BR12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29" s="5">
        <f t="shared" ca="1" si="3"/>
        <v>1</v>
      </c>
      <c r="BT129" t="s">
        <v>319</v>
      </c>
      <c r="BU129" t="s">
        <v>247</v>
      </c>
      <c r="BV129" t="s">
        <v>256</v>
      </c>
      <c r="BW129" s="4"/>
      <c r="CC129" t="s">
        <v>613</v>
      </c>
      <c r="CD129" s="4"/>
      <c r="CE129" s="4" t="str">
        <f ca="1">IF(
  _xlfn.XLOOKUP($D129 &amp; "-" &amp; CD$2, 'TrainingReq (Ach)'!$G:$G, 'TrainingReq (Ach)'!$F:$F, "2-Year") = "Forever",
  "Valid",
  IF(CD129="", "Not Trained",
     IF(CD129 &lt; TODAY() - 1, "Expired",
        IF(CD129 &lt;= TODAY() + 90, "Expiring", "Valid")
     )
  )
)</f>
        <v>Not Trained</v>
      </c>
      <c r="CF129" t="s">
        <v>250</v>
      </c>
      <c r="CG129" s="4">
        <v>56463</v>
      </c>
      <c r="CH129" s="4" t="str">
        <f ca="1">IF(
  _xlfn.XLOOKUP($D128 &amp; "-" &amp; CG$2, 'TrainingReq (Ach)'!$G:$G, 'TrainingReq (Ach)'!$F:$F, "2-Year") = "Forever",
  "Valid",
  IF(CG128="", "Not Trained",
     IF(CG128 &lt; TODAY() - 1, "Expired",
        IF(CG128 &lt;= TODAY() + 90, "Expiring", "Valid")
     )
  )
)</f>
        <v>Valid</v>
      </c>
      <c r="CI129" t="str">
        <f t="shared" si="4"/>
        <v>Not eligible</v>
      </c>
      <c r="CJ129" t="str">
        <f t="shared" si="5"/>
        <v>Not eligible</v>
      </c>
    </row>
    <row r="130" spans="1:88" x14ac:dyDescent="0.25">
      <c r="A130">
        <v>128</v>
      </c>
      <c r="B130">
        <v>581767</v>
      </c>
      <c r="C130" t="s">
        <v>614</v>
      </c>
      <c r="D130" t="s">
        <v>18</v>
      </c>
      <c r="E130" t="s">
        <v>263</v>
      </c>
      <c r="F130" t="s">
        <v>537</v>
      </c>
      <c r="G130" t="s">
        <v>53</v>
      </c>
      <c r="H130" s="4">
        <v>46893</v>
      </c>
      <c r="I130" s="4" t="str">
        <f ca="1">IF(
  _xlfn.XLOOKUP($D130 &amp; "-" &amp; H$2, 'TrainingReq (Ach)'!G:G, 'TrainingReq (Ach)'!F:F, "2-Year") = "Forever",
  "Valid",
  IF(H130="", "Not Trained",
     IF(H130 &lt; TODAY() - 1, "Expired",
        IF(H130 &lt;= TODAY() + 90, "Expiring", "Valid")
     )
  )
)</f>
        <v>Valid</v>
      </c>
      <c r="J130" s="4">
        <v>46893</v>
      </c>
      <c r="K130" s="4" t="str">
        <f ca="1">IF(
  _xlfn.XLOOKUP($D130 &amp; "-" &amp; J$2, 'TrainingReq (Ach)'!G:G, 'TrainingReq (Ach)'!F:F, "2-Year") = "Forever",
  "Valid",
  IF(J130="", "Not Trained",
     IF(J130 &lt; TODAY() - 1, "Expired",
        IF(J130 &lt;= TODAY() + 90, "Expiring", "Valid")
     )
  )
)</f>
        <v>Valid</v>
      </c>
      <c r="L130" s="4">
        <v>46250</v>
      </c>
      <c r="M130" s="4" t="str">
        <f ca="1">IF(
  _xlfn.XLOOKUP($D130 &amp; "-" &amp; L$2, TrainingMan!$G:$G, TrainingMan!$F:$F, "2-Year") = "Forever",
  "Valid",
  IF(L130="", "Not Trained",
     IF(L130 &lt; TODAY() - 1, "Expired",
        IF(L130 &lt;= TODAY() + 90, "Expiring", "Valid")
     )
  )
)</f>
        <v>Expired</v>
      </c>
      <c r="N130" s="4">
        <v>46250</v>
      </c>
      <c r="O130" s="4" t="str">
        <f ca="1">IF(
  _xlfn.XLOOKUP($D130 &amp; "-" &amp; N$2, TrainingMan!$G:$G, TrainingMan!$F:$F, "2-Year") = "Forever",
  "Valid",
  IF(N130="", "Not Trained",
     IF(N130 &lt; TODAY() - 1, "Expired",
        IF(N130 &lt;= TODAY() + 90, "Expiring", "Valid")
     )
  )
)</f>
        <v>Expired</v>
      </c>
      <c r="P130" s="4">
        <v>46250</v>
      </c>
      <c r="Q130" s="4" t="str">
        <f ca="1">IF(
  _xlfn.XLOOKUP($D130 &amp; "-" &amp; P$2, TrainingMan!$G:$G, TrainingMan!$F:$F, "2-Year") = "Forever",
  "Valid",
  IF(P130="", "Not Trained",
     IF(P130 &lt; TODAY() - 1, "Expired",
        IF(P130 &lt;= TODAY() + 90, "Expiring", "Valid")
     )
  )
)</f>
        <v>Expired</v>
      </c>
      <c r="R130" s="4">
        <v>46250</v>
      </c>
      <c r="S130" s="4" t="str">
        <f ca="1">IF(
  _xlfn.XLOOKUP($D130 &amp; "-" &amp; R$2, TrainingMan!$G:$G, TrainingMan!$F:$F, "2-Year") = "Forever",
  "Valid",
  IF(R130="", "Not Trained",
     IF(R130 &lt; TODAY() - 1, "Expired",
        IF(R130 &lt;= TODAY() + 90, "Expiring", "Valid")
     )
  )
)</f>
        <v>Expired</v>
      </c>
      <c r="T130" s="4">
        <v>46250</v>
      </c>
      <c r="U130" s="4" t="str">
        <f ca="1">IF(
  _xlfn.XLOOKUP($D130 &amp; "-" &amp; T$2, TrainingMan!$G:$G, TrainingMan!$F:$F, "2-Year") = "Forever",
  "Valid",
  IF(T130="", "Not Trained",
     IF(T130 &lt; TODAY() - 1, "Expired",
        IF(T130 &lt;= TODAY() + 90, "Expiring", "Valid")
     )
  )
)</f>
        <v>Expired</v>
      </c>
      <c r="V130" s="4">
        <v>46250</v>
      </c>
      <c r="W130" s="4" t="str">
        <f ca="1">IF(
  _xlfn.XLOOKUP($D130 &amp; "-" &amp; V$2, TrainingMan!$G:$G, TrainingMan!$F:$F, "2-Year") = "Forever",
  "Valid",
  IF(V130="", "Not Trained",
     IF(V130 &lt; TODAY() - 1, "Expired",
        IF(V130 &lt;= TODAY() + 90, "Expiring", "Valid")
     )
  )
)</f>
        <v>Expired</v>
      </c>
      <c r="X130" s="4">
        <v>46250</v>
      </c>
      <c r="Y130" s="4" t="str">
        <f ca="1">IF(
  _xlfn.XLOOKUP($D130 &amp; "-" &amp; X$2, TrainingMan!$G:$G, TrainingMan!$F:$F, "2-Year") = "Forever",
  "Valid",
  IF(X130="", "Not Trained",
     IF(X130 &lt; TODAY() - 1, "Expired",
        IF(X130 &lt;= TODAY() + 90, "Expiring", "Valid")
     )
  )
)</f>
        <v>Expired</v>
      </c>
      <c r="Z130" s="4">
        <v>45520</v>
      </c>
      <c r="AA130" s="4" t="str">
        <f ca="1">IF(LEN(TRIM(Z130)) = 0, "Not Trained",
  IF(_xlfn.XLOOKUP($D130 &amp; "-" &amp; Z$2, TrainingMan!$G:$G, TrainingMan!$F:$F, "2-Year") = "Forever", "Valid",
    IF(Z130 &lt; TODAY() - 1, "Expired",
      IF(Z130 &lt;= TODAY() + 90, "Expiring", "Valid")
    )
  )
)</f>
        <v>Valid</v>
      </c>
      <c r="AB130" s="4">
        <v>45044</v>
      </c>
      <c r="AC130" s="4">
        <v>45548</v>
      </c>
      <c r="AD130" s="4">
        <v>44456</v>
      </c>
      <c r="AE130" s="4"/>
      <c r="AF130" s="4">
        <v>43159</v>
      </c>
      <c r="AG130" s="4"/>
      <c r="AH130" s="4"/>
      <c r="AI130" s="4"/>
      <c r="AJ130" s="4"/>
      <c r="AN130" s="4"/>
      <c r="AQ130" s="4"/>
      <c r="AR130" s="4"/>
      <c r="AS130" s="4"/>
      <c r="AT130" s="4"/>
      <c r="AU130" s="4"/>
      <c r="BB130" s="4">
        <v>46465</v>
      </c>
      <c r="BC130" s="4" t="s">
        <v>386</v>
      </c>
      <c r="BD130" s="4" t="s">
        <v>615</v>
      </c>
      <c r="BE130" s="4"/>
      <c r="BF130" s="4"/>
      <c r="BG130" s="4"/>
      <c r="BH130" s="4"/>
      <c r="BI130" s="4">
        <v>44125</v>
      </c>
      <c r="BJ130" s="4" t="s">
        <v>144</v>
      </c>
      <c r="BK130" s="4"/>
      <c r="BL130" s="4"/>
      <c r="BM130" s="4"/>
      <c r="BN130" s="4"/>
      <c r="BO130" s="4"/>
      <c r="BP130" s="4"/>
      <c r="BQ130">
        <f>COUNTIF('TrainingReq (Ach)'!B:B,Table13[[#This Row],[Job Title]])</f>
        <v>15</v>
      </c>
      <c r="BR130" cm="1">
        <f t="array" aca="1" ref="BR13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30" s="5">
        <f t="shared" ca="1" si="3"/>
        <v>1</v>
      </c>
      <c r="BT130" t="s">
        <v>246</v>
      </c>
      <c r="BU130" t="s">
        <v>247</v>
      </c>
      <c r="BV130" t="s">
        <v>256</v>
      </c>
      <c r="BW130" s="4" t="s">
        <v>144</v>
      </c>
      <c r="BZ130" t="s">
        <v>616</v>
      </c>
      <c r="CC130" t="s">
        <v>617</v>
      </c>
      <c r="CD130" s="4">
        <v>47137</v>
      </c>
      <c r="CE130" s="4" t="str">
        <f ca="1">IF(
  _xlfn.XLOOKUP($D130 &amp; "-" &amp; CD$2, 'TrainingReq (Ach)'!$G:$G, 'TrainingReq (Ach)'!$F:$F, "2-Year") = "Forever",
  "Valid",
  IF(CD130="", "Not Trained",
     IF(CD130 &lt; TODAY() - 1, "Expired",
        IF(CD130 &lt;= TODAY() + 90, "Expiring", "Valid")
     )
  )
)</f>
        <v>Valid</v>
      </c>
      <c r="CF130" t="s">
        <v>250</v>
      </c>
      <c r="CG130" s="4">
        <v>55153</v>
      </c>
      <c r="CH130" s="4" t="str">
        <f ca="1">IF(
  _xlfn.XLOOKUP($D129 &amp; "-" &amp; CG$2, 'TrainingReq (Ach)'!$G:$G, 'TrainingReq (Ach)'!$F:$F, "2-Year") = "Forever",
  "Valid",
  IF(CG129="", "Not Trained",
     IF(CG129 &lt; TODAY() - 1, "Expired",
        IF(CG129 &lt;= TODAY() + 90, "Expiring", "Valid")
     )
  )
)</f>
        <v>Valid</v>
      </c>
      <c r="CI130" t="str">
        <f t="shared" si="4"/>
        <v>Eligible</v>
      </c>
      <c r="CJ130" t="str">
        <f t="shared" si="5"/>
        <v>Not eligible</v>
      </c>
    </row>
    <row r="131" spans="1:88" x14ac:dyDescent="0.25">
      <c r="A131">
        <v>129</v>
      </c>
      <c r="B131">
        <v>582597</v>
      </c>
      <c r="C131" t="s">
        <v>618</v>
      </c>
      <c r="D131" t="s">
        <v>15</v>
      </c>
      <c r="E131" t="s">
        <v>327</v>
      </c>
      <c r="F131" t="s">
        <v>537</v>
      </c>
      <c r="G131" t="s">
        <v>53</v>
      </c>
      <c r="H131" s="4">
        <v>46928</v>
      </c>
      <c r="I131" s="4" t="str">
        <f ca="1">IF(
  _xlfn.XLOOKUP($D131 &amp; "-" &amp; H$2, 'TrainingReq (Ach)'!G:G, 'TrainingReq (Ach)'!F:F, "2-Year") = "Forever",
  "Valid",
  IF(H131="", "Not Trained",
     IF(H131 &lt; TODAY() - 1, "Expired",
        IF(H131 &lt;= TODAY() + 90, "Expiring", "Valid")
     )
  )
)</f>
        <v>Valid</v>
      </c>
      <c r="J131" s="4">
        <v>46928</v>
      </c>
      <c r="K131" s="4" t="str">
        <f ca="1">IF(
  _xlfn.XLOOKUP($D131 &amp; "-" &amp; J$2, 'TrainingReq (Ach)'!G:G, 'TrainingReq (Ach)'!F:F, "2-Year") = "Forever",
  "Valid",
  IF(J131="", "Not Trained",
     IF(J131 &lt; TODAY() - 1, "Expired",
        IF(J131 &lt;= TODAY() + 90, "Expiring", "Valid")
     )
  )
)</f>
        <v>Valid</v>
      </c>
      <c r="L131" s="4">
        <v>46250</v>
      </c>
      <c r="M131" s="4" t="str">
        <f ca="1">IF(
  _xlfn.XLOOKUP($D131 &amp; "-" &amp; L$2, TrainingMan!$G:$G, TrainingMan!$F:$F, "2-Year") = "Forever",
  "Valid",
  IF(L131="", "Not Trained",
     IF(L131 &lt; TODAY() - 1, "Expired",
        IF(L131 &lt;= TODAY() + 90, "Expiring", "Valid")
     )
  )
)</f>
        <v>Expired</v>
      </c>
      <c r="N131" s="4">
        <v>46250</v>
      </c>
      <c r="O131" s="4" t="str">
        <f ca="1">IF(
  _xlfn.XLOOKUP($D131 &amp; "-" &amp; N$2, TrainingMan!$G:$G, TrainingMan!$F:$F, "2-Year") = "Forever",
  "Valid",
  IF(N131="", "Not Trained",
     IF(N131 &lt; TODAY() - 1, "Expired",
        IF(N131 &lt;= TODAY() + 90, "Expiring", "Valid")
     )
  )
)</f>
        <v>Expired</v>
      </c>
      <c r="P131" s="4">
        <v>46250</v>
      </c>
      <c r="Q131" s="4" t="str">
        <f ca="1">IF(
  _xlfn.XLOOKUP($D131 &amp; "-" &amp; P$2, TrainingMan!$G:$G, TrainingMan!$F:$F, "2-Year") = "Forever",
  "Valid",
  IF(P131="", "Not Trained",
     IF(P131 &lt; TODAY() - 1, "Expired",
        IF(P131 &lt;= TODAY() + 90, "Expiring", "Valid")
     )
  )
)</f>
        <v>Expired</v>
      </c>
      <c r="R131" s="4">
        <v>46250</v>
      </c>
      <c r="S131" s="4" t="str">
        <f ca="1">IF(
  _xlfn.XLOOKUP($D131 &amp; "-" &amp; R$2, TrainingMan!$G:$G, TrainingMan!$F:$F, "2-Year") = "Forever",
  "Valid",
  IF(R131="", "Not Trained",
     IF(R131 &lt; TODAY() - 1, "Expired",
        IF(R131 &lt;= TODAY() + 90, "Expiring", "Valid")
     )
  )
)</f>
        <v>Expired</v>
      </c>
      <c r="T131" s="4">
        <v>46250</v>
      </c>
      <c r="U131" s="4" t="str">
        <f ca="1">IF(
  _xlfn.XLOOKUP($D131 &amp; "-" &amp; T$2, TrainingMan!$G:$G, TrainingMan!$F:$F, "2-Year") = "Forever",
  "Valid",
  IF(T131="", "Not Trained",
     IF(T131 &lt; TODAY() - 1, "Expired",
        IF(T131 &lt;= TODAY() + 90, "Expiring", "Valid")
     )
  )
)</f>
        <v>Expired</v>
      </c>
      <c r="V131" s="4">
        <v>46250</v>
      </c>
      <c r="W131" s="4" t="str">
        <f ca="1">IF(
  _xlfn.XLOOKUP($D131 &amp; "-" &amp; V$2, TrainingMan!$G:$G, TrainingMan!$F:$F, "2-Year") = "Forever",
  "Valid",
  IF(V131="", "Not Trained",
     IF(V131 &lt; TODAY() - 1, "Expired",
        IF(V131 &lt;= TODAY() + 90, "Expiring", "Valid")
     )
  )
)</f>
        <v>Expired</v>
      </c>
      <c r="X131" s="4">
        <v>46614</v>
      </c>
      <c r="Y131" s="4" t="str">
        <f ca="1">IF(
  _xlfn.XLOOKUP($D131 &amp; "-" &amp; X$2, TrainingMan!$G:$G, TrainingMan!$F:$F, "2-Year") = "Forever",
  "Valid",
  IF(X131="", "Not Trained",
     IF(X131 &lt; TODAY() - 1, "Expired",
        IF(X131 &lt;= TODAY() + 90, "Expiring", "Valid")
     )
  )
)</f>
        <v>Valid</v>
      </c>
      <c r="Z131" s="4">
        <v>45520</v>
      </c>
      <c r="AA131" s="4" t="str">
        <f ca="1">IF(LEN(TRIM(Z131)) = 0, "Not Trained",
  IF(_xlfn.XLOOKUP($D131 &amp; "-" &amp; Z$2, TrainingMan!$G:$G, TrainingMan!$F:$F, "2-Year") = "Forever", "Valid",
    IF(Z131 &lt; TODAY() - 1, "Expired",
      IF(Z131 &lt;= TODAY() + 90, "Expiring", "Valid")
    )
  )
)</f>
        <v>Valid</v>
      </c>
      <c r="AB131" s="4">
        <v>44618</v>
      </c>
      <c r="AC131" s="4">
        <v>44740</v>
      </c>
      <c r="AD131" s="4">
        <v>45154</v>
      </c>
      <c r="AE131" s="4">
        <v>45338</v>
      </c>
      <c r="AF131" s="4"/>
      <c r="AG131" s="4"/>
      <c r="AH131" s="4"/>
      <c r="AI131" s="4"/>
      <c r="AJ131" s="4"/>
      <c r="AN131" s="4"/>
      <c r="AQ131" s="4"/>
      <c r="AR131" s="4"/>
      <c r="AS131" s="4"/>
      <c r="AT131" s="4"/>
      <c r="AU131" s="4"/>
      <c r="BB131" s="4">
        <v>45616</v>
      </c>
      <c r="BC131" s="4" t="s">
        <v>579</v>
      </c>
      <c r="BD131" s="4" t="s">
        <v>269</v>
      </c>
      <c r="BE131" s="4"/>
      <c r="BF131" s="4"/>
      <c r="BG131" s="4"/>
      <c r="BH131" s="4"/>
      <c r="BI131" s="4">
        <v>44533</v>
      </c>
      <c r="BJ131" s="4" t="s">
        <v>140</v>
      </c>
      <c r="BK131" s="4" t="s">
        <v>147</v>
      </c>
      <c r="BL131" s="4"/>
      <c r="BM131" s="4"/>
      <c r="BN131" s="4"/>
      <c r="BO131" s="4"/>
      <c r="BP131" s="4"/>
      <c r="BQ131">
        <f>COUNTIF('TrainingReq (Ach)'!B:B,Table13[[#This Row],[Job Title]])</f>
        <v>13</v>
      </c>
      <c r="BR131" cm="1">
        <f t="array" aca="1" ref="BR13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31" s="5">
        <f t="shared" ref="BS131:BS194" ca="1" si="6">BR131/BQ131</f>
        <v>1</v>
      </c>
      <c r="BT131" t="s">
        <v>246</v>
      </c>
      <c r="BU131" t="s">
        <v>247</v>
      </c>
      <c r="BV131" t="s">
        <v>256</v>
      </c>
      <c r="BW131" s="4" t="s">
        <v>140</v>
      </c>
      <c r="BZ131" t="s">
        <v>619</v>
      </c>
      <c r="CC131" t="s">
        <v>620</v>
      </c>
      <c r="CD131" s="4">
        <v>46339</v>
      </c>
      <c r="CE131" s="4" t="str">
        <f ca="1">IF(
  _xlfn.XLOOKUP($D131 &amp; "-" &amp; CD$2, 'TrainingReq (Ach)'!$G:$G, 'TrainingReq (Ach)'!$F:$F, "2-Year") = "Forever",
  "Valid",
  IF(CD131="", "Not Trained",
     IF(CD131 &lt; TODAY() - 1, "Expired",
        IF(CD131 &lt;= TODAY() + 90, "Expiring", "Valid")
     )
  )
)</f>
        <v>Expiring</v>
      </c>
      <c r="CF131" t="s">
        <v>250</v>
      </c>
      <c r="CG131" s="4">
        <v>55398</v>
      </c>
      <c r="CH131" s="4" t="e">
        <f ca="1">IF(
  _xlfn.XLOOKUP(#REF! &amp; "-" &amp; CG$2, 'TrainingReq (Ach)'!$G:$G, 'TrainingReq (Ach)'!$F:$F, "2-Year") = "Forever",
  "Valid",
  IF(#REF!="", "Not Trained",
     IF(#REF! &lt; TODAY() - 1, "Expired",
        IF(#REF! &lt;= TODAY() + 90, "Expiring", "Valid")
     )
  )
)</f>
        <v>#REF!</v>
      </c>
      <c r="CI131" t="str">
        <f t="shared" ref="CI131:CI194" si="7">IF(BW131&lt;&gt;"","Eligible","Not eligible")</f>
        <v>Eligible</v>
      </c>
      <c r="CJ131" t="str">
        <f t="shared" ref="CJ131:CJ194" si="8">IF(BX131&lt;&gt;"","Eligible","Not eligible")</f>
        <v>Not eligible</v>
      </c>
    </row>
    <row r="132" spans="1:88" x14ac:dyDescent="0.25">
      <c r="A132">
        <v>130</v>
      </c>
      <c r="B132">
        <v>783293</v>
      </c>
      <c r="C132" t="s">
        <v>621</v>
      </c>
      <c r="D132" t="s">
        <v>24</v>
      </c>
      <c r="E132" t="s">
        <v>327</v>
      </c>
      <c r="F132" t="s">
        <v>537</v>
      </c>
      <c r="G132" t="s">
        <v>53</v>
      </c>
      <c r="H132" s="4">
        <v>46788</v>
      </c>
      <c r="I132" s="4" t="str">
        <f ca="1">IF(
  _xlfn.XLOOKUP($D132 &amp; "-" &amp; H$2, 'TrainingReq (Ach)'!G:G, 'TrainingReq (Ach)'!F:F, "2-Year") = "Forever",
  "Valid",
  IF(H132="", "Not Trained",
     IF(H132 &lt; TODAY() - 1, "Expired",
        IF(H132 &lt;= TODAY() + 90, "Expiring", "Valid")
     )
  )
)</f>
        <v>Valid</v>
      </c>
      <c r="J132" s="4">
        <v>46800</v>
      </c>
      <c r="K132" s="4" t="str">
        <f ca="1">IF(
  _xlfn.XLOOKUP($D132 &amp; "-" &amp; J$2, 'TrainingReq (Ach)'!G:G, 'TrainingReq (Ach)'!F:F, "2-Year") = "Forever",
  "Valid",
  IF(J132="", "Not Trained",
     IF(J132 &lt; TODAY() - 1, "Expired",
        IF(J132 &lt;= TODAY() + 90, "Expiring", "Valid")
     )
  )
)</f>
        <v>Valid</v>
      </c>
      <c r="L132" s="4">
        <f>Table13[[#This Row],[Mandatory for Supporting]]</f>
        <v>45565</v>
      </c>
      <c r="M132" s="4" t="str">
        <f ca="1">IF(
  _xlfn.XLOOKUP($D132 &amp; "-" &amp; L$2, TrainingMan!$G:$G, TrainingMan!$F:$F, "2-Year") = "Forever",
  "Valid",
  IF(L132="", "Not Trained",
     IF(L132 &lt; TODAY() - 1, "Expired",
        IF(L132 &lt;= TODAY() + 90, "Expiring", "Valid")
     )
  )
)</f>
        <v>Valid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>
        <v>46302</v>
      </c>
      <c r="AC132" s="4"/>
      <c r="AD132" s="4"/>
      <c r="AE132" s="4"/>
      <c r="AF132" s="4"/>
      <c r="AG132" s="4"/>
      <c r="AH132" s="4"/>
      <c r="AI132" s="4"/>
      <c r="AJ132" s="4"/>
      <c r="AN132" s="4"/>
      <c r="AQ132" s="4"/>
      <c r="AR132" s="4"/>
      <c r="AS132" s="4"/>
      <c r="AT132" s="4"/>
      <c r="AU132" s="4"/>
      <c r="BB132" s="4">
        <v>46125</v>
      </c>
      <c r="BC132" s="4"/>
      <c r="BD132" s="4" t="s">
        <v>622</v>
      </c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>
        <v>45565</v>
      </c>
      <c r="BQ132">
        <f>COUNTIF('TrainingReq (Ach)'!B:B,Table13[[#This Row],[Job Title]])</f>
        <v>3</v>
      </c>
      <c r="BR132" cm="1">
        <f t="array" aca="1" ref="BR13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32" s="5">
        <f t="shared" ca="1" si="6"/>
        <v>1</v>
      </c>
      <c r="BT132" t="s">
        <v>314</v>
      </c>
      <c r="BU132" t="s">
        <v>247</v>
      </c>
      <c r="BW132" s="4"/>
      <c r="CD132" s="4"/>
      <c r="CE132" s="4" t="str">
        <f ca="1">IF(
  _xlfn.XLOOKUP($D132 &amp; "-" &amp; CD$2, 'TrainingReq (Ach)'!$G:$G, 'TrainingReq (Ach)'!$F:$F, "2-Year") = "Forever",
  "Valid",
  IF(CD132="", "Not Trained",
     IF(CD132 &lt; TODAY() - 1, "Expired",
        IF(CD132 &lt;= TODAY() + 90, "Expiring", "Valid")
     )
  )
)</f>
        <v>Not Trained</v>
      </c>
      <c r="CF132" t="s">
        <v>250</v>
      </c>
      <c r="CG132" s="4"/>
      <c r="CH132" s="4" t="e">
        <f ca="1">IF(
  _xlfn.XLOOKUP(#REF! &amp; "-" &amp; CG$2, 'TrainingReq (Ach)'!$G:$G, 'TrainingReq (Ach)'!$F:$F, "2-Year") = "Forever",
  "Valid",
  IF(#REF!="", "Not Trained",
     IF(#REF! &lt; TODAY() - 1, "Expired",
        IF(#REF! &lt;= TODAY() + 90, "Expiring", "Valid")
     )
  )
)</f>
        <v>#REF!</v>
      </c>
      <c r="CI132" t="str">
        <f t="shared" si="7"/>
        <v>Not eligible</v>
      </c>
      <c r="CJ132" t="str">
        <f t="shared" si="8"/>
        <v>Not eligible</v>
      </c>
    </row>
    <row r="133" spans="1:88" x14ac:dyDescent="0.25">
      <c r="A133">
        <v>131</v>
      </c>
      <c r="B133">
        <v>533511</v>
      </c>
      <c r="C133" t="s">
        <v>623</v>
      </c>
      <c r="D133" t="s">
        <v>6</v>
      </c>
      <c r="E133" t="s">
        <v>243</v>
      </c>
      <c r="F133" t="s">
        <v>537</v>
      </c>
      <c r="G133" t="s">
        <v>53</v>
      </c>
      <c r="H133" s="4">
        <v>46333</v>
      </c>
      <c r="I133" s="4" t="str">
        <f ca="1">IF(
  _xlfn.XLOOKUP($D133 &amp; "-" &amp; H$2, 'TrainingReq (Ach)'!G:G, 'TrainingReq (Ach)'!F:F, "2-Year") = "Forever",
  "Valid",
  IF(H133="", "Not Trained",
     IF(H133 &lt; TODAY() - 1, "Expired",
        IF(H133 &lt;= TODAY() + 90, "Expiring", "Valid")
     )
  )
)</f>
        <v>Expiring</v>
      </c>
      <c r="J133" s="4">
        <v>46333</v>
      </c>
      <c r="K133" s="4" t="str">
        <f ca="1">IF(
  _xlfn.XLOOKUP($D133 &amp; "-" &amp; J$2, 'TrainingReq (Ach)'!G:G, 'TrainingReq (Ach)'!F:F, "2-Year") = "Forever",
  "Valid",
  IF(J133="", "Not Trained",
     IF(J133 &lt; TODAY() - 1, "Expired",
        IF(J133 &lt;= TODAY() + 90, "Expiring", "Valid")
     )
  )
)</f>
        <v>Expiring</v>
      </c>
      <c r="L133" s="4">
        <v>46409</v>
      </c>
      <c r="M133" s="4" t="str">
        <f ca="1">IF(
  _xlfn.XLOOKUP($D133 &amp; "-" &amp; L$2, TrainingMan!$G:$G, TrainingMan!$F:$F, "2-Year") = "Forever",
  "Valid",
  IF(L133="", "Not Trained",
     IF(L133 &lt; TODAY() - 1, "Expired",
        IF(L133 &lt;= TODAY() + 90, "Expiring", "Valid")
     )
  )
)</f>
        <v>Valid</v>
      </c>
      <c r="N133" s="4">
        <v>46575</v>
      </c>
      <c r="O133" s="4" t="str">
        <f ca="1">IF(
  _xlfn.XLOOKUP($D133 &amp; "-" &amp; N$2, TrainingMan!$G:$G, TrainingMan!$F:$F, "2-Year") = "Forever",
  "Valid",
  IF(N133="", "Not Trained",
     IF(N133 &lt; TODAY() - 1, "Expired",
        IF(N133 &lt;= TODAY() + 90, "Expiring", "Valid")
     )
  )
)</f>
        <v>Valid</v>
      </c>
      <c r="P133" s="4">
        <v>46409</v>
      </c>
      <c r="Q133" s="4" t="str">
        <f ca="1">IF(
  _xlfn.XLOOKUP($D133 &amp; "-" &amp; P$2, TrainingMan!$G:$G, TrainingMan!$F:$F, "2-Year") = "Forever",
  "Valid",
  IF(P133="", "Not Trained",
     IF(P133 &lt; TODAY() - 1, "Expired",
        IF(P133 &lt;= TODAY() + 90, "Expiring", "Valid")
     )
  )
)</f>
        <v>Valid</v>
      </c>
      <c r="R133" s="4">
        <v>46409</v>
      </c>
      <c r="S133" s="4" t="str">
        <f ca="1">IF(
  _xlfn.XLOOKUP($D133 &amp; "-" &amp; R$2, TrainingMan!$G:$G, TrainingMan!$F:$F, "2-Year") = "Forever",
  "Valid",
  IF(R133="", "Not Trained",
     IF(R133 &lt; TODAY() - 1, "Expired",
        IF(R133 &lt;= TODAY() + 90, "Expiring", "Valid")
     )
  )
)</f>
        <v>Valid</v>
      </c>
      <c r="T133" s="4">
        <v>46409</v>
      </c>
      <c r="U133" s="4" t="str">
        <f ca="1">IF(
  _xlfn.XLOOKUP($D133 &amp; "-" &amp; T$2, TrainingMan!$G:$G, TrainingMan!$F:$F, "2-Year") = "Forever",
  "Valid",
  IF(T133="", "Not Trained",
     IF(T133 &lt; TODAY() - 1, "Expired",
        IF(T133 &lt;= TODAY() + 90, "Expiring", "Valid")
     )
  )
)</f>
        <v>Valid</v>
      </c>
      <c r="V133" s="4">
        <v>46409</v>
      </c>
      <c r="W133" s="4" t="str">
        <f ca="1">IF(
  _xlfn.XLOOKUP($D133 &amp; "-" &amp; V$2, TrainingMan!$G:$G, TrainingMan!$F:$F, "2-Year") = "Forever",
  "Valid",
  IF(V133="", "Not Trained",
     IF(V133 &lt; TODAY() - 1, "Expired",
        IF(V133 &lt;= TODAY() + 90, "Expiring", "Valid")
     )
  )
)</f>
        <v>Valid</v>
      </c>
      <c r="X133" s="4">
        <v>46409</v>
      </c>
      <c r="Y133" s="4" t="str">
        <f ca="1">IF(
  _xlfn.XLOOKUP($D133 &amp; "-" &amp; X$2, TrainingMan!$G:$G, TrainingMan!$F:$F, "2-Year") = "Forever",
  "Valid",
  IF(X133="", "Not Trained",
     IF(X133 &lt; TODAY() - 1, "Expired",
        IF(X133 &lt;= TODAY() + 90, "Expiring", "Valid")
     )
  )
)</f>
        <v>Valid</v>
      </c>
      <c r="Z133" s="4">
        <v>44948</v>
      </c>
      <c r="AA133" s="4" t="str">
        <f ca="1">IF(LEN(TRIM(Z133)) = 0, "Not Trained",
  IF(_xlfn.XLOOKUP($D133 &amp; "-" &amp; Z$2, TrainingMan!$G:$G, TrainingMan!$F:$F, "2-Year") = "Forever", "Valid",
    IF(Z133 &lt; TODAY() - 1, "Expired",
      IF(Z133 &lt;= TODAY() + 90, "Expiring", "Valid")
    )
  )
)</f>
        <v>Valid</v>
      </c>
      <c r="AB133" s="4">
        <v>40856</v>
      </c>
      <c r="AC133" s="4">
        <v>43562</v>
      </c>
      <c r="AD133" s="4">
        <v>43504</v>
      </c>
      <c r="AE133" s="4">
        <v>43134</v>
      </c>
      <c r="AF133" s="4">
        <v>44946</v>
      </c>
      <c r="AG133" s="4">
        <v>44971</v>
      </c>
      <c r="AH133" s="4"/>
      <c r="AI133" s="4"/>
      <c r="AJ133" s="4"/>
      <c r="AN133" s="4"/>
      <c r="AQ133" s="4"/>
      <c r="AR133" s="4"/>
      <c r="AS133" s="4"/>
      <c r="AT133" s="4"/>
      <c r="AU133" s="4"/>
      <c r="BB133" s="4">
        <v>46220</v>
      </c>
      <c r="BC133" s="4" t="s">
        <v>352</v>
      </c>
      <c r="BD133" s="4" t="s">
        <v>254</v>
      </c>
      <c r="BE133" s="4"/>
      <c r="BF133" s="4"/>
      <c r="BG133" s="4"/>
      <c r="BH133" s="4"/>
      <c r="BI133" s="4">
        <v>42471</v>
      </c>
      <c r="BJ133" s="4" t="s">
        <v>145</v>
      </c>
      <c r="BK133" s="4" t="s">
        <v>146</v>
      </c>
      <c r="BL133" s="4"/>
      <c r="BM133" s="4"/>
      <c r="BN133" s="4"/>
      <c r="BO133" s="4"/>
      <c r="BP133" s="4"/>
      <c r="BQ133">
        <f>COUNTIF('TrainingReq (Ach)'!B:B,Table13[[#This Row],[Job Title]])</f>
        <v>15</v>
      </c>
      <c r="BR133" cm="1">
        <f t="array" aca="1" ref="BR13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33" s="5">
        <f t="shared" ca="1" si="6"/>
        <v>1</v>
      </c>
      <c r="BT133" t="s">
        <v>246</v>
      </c>
      <c r="BU133" t="s">
        <v>247</v>
      </c>
      <c r="BV133" t="s">
        <v>270</v>
      </c>
      <c r="BW133" s="4" t="s">
        <v>145</v>
      </c>
      <c r="BZ133" t="s">
        <v>624</v>
      </c>
      <c r="CA133">
        <v>1</v>
      </c>
      <c r="CC133" t="s">
        <v>625</v>
      </c>
      <c r="CD133" s="4">
        <v>46988</v>
      </c>
      <c r="CE133" s="4" t="str">
        <f ca="1">IF(
  _xlfn.XLOOKUP($D133 &amp; "-" &amp; CD$2, 'TrainingReq (Ach)'!$G:$G, 'TrainingReq (Ach)'!$F:$F, "2-Year") = "Forever",
  "Valid",
  IF(CD133="", "Not Trained",
     IF(CD133 &lt; TODAY() - 1, "Expired",
        IF(CD133 &lt;= TODAY() + 90, "Expiring", "Valid")
     )
  )
)</f>
        <v>Valid</v>
      </c>
      <c r="CF133" t="s">
        <v>250</v>
      </c>
      <c r="CG133" s="4">
        <v>53822</v>
      </c>
      <c r="CH133" s="4" t="str">
        <f ca="1">IF(
  _xlfn.XLOOKUP($D132 &amp; "-" &amp; CG$2, 'TrainingReq (Ach)'!$G:$G, 'TrainingReq (Ach)'!$F:$F, "2-Year") = "Forever",
  "Valid",
  IF(CG132="", "Not Trained",
     IF(CG132 &lt; TODAY() - 1, "Expired",
        IF(CG132 &lt;= TODAY() + 90, "Expiring", "Valid")
     )
  )
)</f>
        <v>Not Trained</v>
      </c>
      <c r="CI133" t="str">
        <f t="shared" si="7"/>
        <v>Eligible</v>
      </c>
      <c r="CJ133" t="str">
        <f t="shared" si="8"/>
        <v>Not eligible</v>
      </c>
    </row>
    <row r="134" spans="1:88" x14ac:dyDescent="0.25">
      <c r="A134">
        <v>132</v>
      </c>
      <c r="B134">
        <v>783400</v>
      </c>
      <c r="C134" t="s">
        <v>626</v>
      </c>
      <c r="D134" t="s">
        <v>627</v>
      </c>
      <c r="E134" t="s">
        <v>327</v>
      </c>
      <c r="F134" t="s">
        <v>537</v>
      </c>
      <c r="G134" t="s">
        <v>53</v>
      </c>
      <c r="H134" s="4">
        <v>46394</v>
      </c>
      <c r="I134" s="4" t="str">
        <f ca="1">IF(
  _xlfn.XLOOKUP($D134 &amp; "-" &amp; H$2, 'TrainingReq (Ach)'!G:G, 'TrainingReq (Ach)'!F:F, "2-Year") = "Forever",
  "Valid",
  IF(H134="", "Not Trained",
     IF(H134 &lt; TODAY() - 1, "Expired",
        IF(H134 &lt;= TODAY() + 90, "Expiring", "Valid")
     )
  )
)</f>
        <v>Valid</v>
      </c>
      <c r="J134" s="4">
        <f>Table13[[#This Row],[Mandatory for Supporting]]+730</f>
        <v>46390</v>
      </c>
      <c r="K134" s="4" t="str">
        <f ca="1">IF(
  _xlfn.XLOOKUP($D134 &amp; "-" &amp; J$2, 'TrainingReq (Ach)'!G:G, 'TrainingReq (Ach)'!F:F, "2-Year") = "Forever",
  "Valid",
  IF(J134="", "Not Trained",
     IF(J134 &lt; TODAY() - 1, "Expired",
        IF(J134 &lt;= TODAY() + 90, "Expiring", "Valid")
     )
  )
)</f>
        <v>Valid</v>
      </c>
      <c r="L134" s="4">
        <f>Table13[[#This Row],[Mandatory for Supporting]]</f>
        <v>45660</v>
      </c>
      <c r="M134" s="4" t="str">
        <f ca="1">IF(
  _xlfn.XLOOKUP($D134 &amp; "-" &amp; L$2, TrainingMan!$G:$G, TrainingMan!$F:$F, "2-Year") = "Forever",
  "Valid",
  IF(L134="", "Not Trained",
     IF(L134 &lt; TODAY() - 1, "Expired",
        IF(L134 &lt;= TODAY() + 90, "Expiring", "Valid")
     )
  )
)</f>
        <v>Valid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>
        <v>46397</v>
      </c>
      <c r="AC134" s="4"/>
      <c r="AD134" s="4"/>
      <c r="AE134" s="4"/>
      <c r="AF134" s="4"/>
      <c r="AG134" s="4"/>
      <c r="AH134" s="4"/>
      <c r="AI134" s="4"/>
      <c r="AJ134" s="4"/>
      <c r="AN134" s="4"/>
      <c r="AQ134" s="4"/>
      <c r="AR134" s="4"/>
      <c r="AS134" s="4"/>
      <c r="AT134" s="4"/>
      <c r="AU134" s="4"/>
      <c r="BB134" s="4"/>
      <c r="BC134" s="4"/>
      <c r="BD134" s="4">
        <v>45819</v>
      </c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>
        <v>45660</v>
      </c>
      <c r="BQ134">
        <f>COUNTIF('TrainingReq (Ach)'!B:B,Table13[[#This Row],[Job Title]])</f>
        <v>3</v>
      </c>
      <c r="BR134" cm="1">
        <f t="array" aca="1" ref="BR13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34" s="5">
        <f t="shared" ca="1" si="6"/>
        <v>1</v>
      </c>
      <c r="BT134" t="s">
        <v>314</v>
      </c>
      <c r="BU134" t="s">
        <v>247</v>
      </c>
      <c r="BV134" t="s">
        <v>270</v>
      </c>
      <c r="BW134" s="4"/>
      <c r="CD134" s="4"/>
      <c r="CE134" s="4" t="str">
        <f ca="1">IF(
  _xlfn.XLOOKUP($D134 &amp; "-" &amp; CD$2, 'TrainingReq (Ach)'!$G:$G, 'TrainingReq (Ach)'!$F:$F, "2-Year") = "Forever",
  "Valid",
  IF(CD134="", "Not Trained",
     IF(CD134 &lt; TODAY() - 1, "Expired",
        IF(CD134 &lt;= TODAY() + 90, "Expiring", "Valid")
     )
  )
)</f>
        <v>Not Trained</v>
      </c>
      <c r="CF134" t="s">
        <v>250</v>
      </c>
      <c r="CG134" s="4"/>
      <c r="CH134" s="4" t="str">
        <f ca="1">IF(
  _xlfn.XLOOKUP($D133 &amp; "-" &amp; CG$2, 'TrainingReq (Ach)'!$G:$G, 'TrainingReq (Ach)'!$F:$F, "2-Year") = "Forever",
  "Valid",
  IF(CG133="", "Not Trained",
     IF(CG133 &lt; TODAY() - 1, "Expired",
        IF(CG133 &lt;= TODAY() + 90, "Expiring", "Valid")
     )
  )
)</f>
        <v>Valid</v>
      </c>
      <c r="CI134" t="str">
        <f t="shared" si="7"/>
        <v>Not eligible</v>
      </c>
      <c r="CJ134" t="str">
        <f t="shared" si="8"/>
        <v>Not eligible</v>
      </c>
    </row>
    <row r="135" spans="1:88" x14ac:dyDescent="0.25">
      <c r="A135">
        <v>133</v>
      </c>
      <c r="B135">
        <v>783026</v>
      </c>
      <c r="C135" t="s">
        <v>628</v>
      </c>
      <c r="D135" t="s">
        <v>23</v>
      </c>
      <c r="E135" t="s">
        <v>303</v>
      </c>
      <c r="F135" t="s">
        <v>537</v>
      </c>
      <c r="G135" t="s">
        <v>53</v>
      </c>
      <c r="H135" s="4">
        <v>46639</v>
      </c>
      <c r="I135" s="4" t="str">
        <f ca="1">IF(
  _xlfn.XLOOKUP($D135 &amp; "-" &amp; H$2, 'TrainingReq (Ach)'!G:G, 'TrainingReq (Ach)'!F:F, "2-Year") = "Forever",
  "Valid",
  IF(H135="", "Not Trained",
     IF(H135 &lt; TODAY() - 1, "Expired",
        IF(H135 &lt;= TODAY() + 90, "Expiring", "Valid")
     )
  )
)</f>
        <v>Valid</v>
      </c>
      <c r="J135" s="4">
        <v>46578</v>
      </c>
      <c r="K135" s="4" t="str">
        <f ca="1">IF(
  _xlfn.XLOOKUP($D135 &amp; "-" &amp; J$2, 'TrainingReq (Ach)'!G:G, 'TrainingReq (Ach)'!F:F, "2-Year") = "Forever",
  "Valid",
  IF(J135="", "Not Trained",
     IF(J135 &lt; TODAY() - 1, "Expired",
        IF(J135 &lt;= TODAY() + 90, "Expiring", "Valid")
     )
  )
)</f>
        <v>Valid</v>
      </c>
      <c r="L135" s="4">
        <f>Table13[[#This Row],[Mandatory for Supporting]]</f>
        <v>45265</v>
      </c>
      <c r="M135" s="4" t="str">
        <f ca="1">IF(
  _xlfn.XLOOKUP($D135 &amp; "-" &amp; L$2, TrainingMan!$G:$G, TrainingMan!$F:$F, "2-Year") = "Forever",
  "Valid",
  IF(L135="", "Not Trained",
     IF(L135 &lt; TODAY() - 1, "Expired",
        IF(L135 &lt;= TODAY() + 90, "Expiring", "Valid")
     )
  )
)</f>
        <v>Valid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>
        <v>46004</v>
      </c>
      <c r="AC135" s="4"/>
      <c r="AD135" s="4"/>
      <c r="AE135" s="4"/>
      <c r="AF135" s="4"/>
      <c r="AG135" s="4"/>
      <c r="AH135" s="4"/>
      <c r="AI135" s="4"/>
      <c r="AJ135" s="4"/>
      <c r="AN135" s="4"/>
      <c r="AQ135" s="4"/>
      <c r="AR135" s="4"/>
      <c r="AS135" s="4"/>
      <c r="AT135" s="4"/>
      <c r="AU135" s="4"/>
      <c r="BB135" s="4"/>
      <c r="BC135" s="4"/>
      <c r="BD135" s="4" t="s">
        <v>629</v>
      </c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>
        <v>45265</v>
      </c>
      <c r="BQ135">
        <f>COUNTIF('TrainingReq (Ach)'!B:B,Table13[[#This Row],[Job Title]])</f>
        <v>3</v>
      </c>
      <c r="BR135" cm="1">
        <f t="array" aca="1" ref="BR13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35" s="5">
        <f t="shared" ca="1" si="6"/>
        <v>1</v>
      </c>
      <c r="BT135" t="s">
        <v>314</v>
      </c>
      <c r="BU135" t="s">
        <v>247</v>
      </c>
      <c r="BW135" s="4"/>
      <c r="CD135" s="4"/>
      <c r="CE135" s="4" t="str">
        <f ca="1">IF(
  _xlfn.XLOOKUP($D135 &amp; "-" &amp; CD$2, 'TrainingReq (Ach)'!$G:$G, 'TrainingReq (Ach)'!$F:$F, "2-Year") = "Forever",
  "Valid",
  IF(CD135="", "Not Trained",
     IF(CD135 &lt; TODAY() - 1, "Expired",
        IF(CD135 &lt;= TODAY() + 90, "Expiring", "Valid")
     )
  )
)</f>
        <v>Not Trained</v>
      </c>
      <c r="CF135" t="s">
        <v>250</v>
      </c>
      <c r="CG135" s="4"/>
      <c r="CH135" s="4" t="str">
        <f ca="1">IF(
  _xlfn.XLOOKUP($D134 &amp; "-" &amp; CG$2, 'TrainingReq (Ach)'!$G:$G, 'TrainingReq (Ach)'!$F:$F, "2-Year") = "Forever",
  "Valid",
  IF(CG134="", "Not Trained",
     IF(CG134 &lt; TODAY() - 1, "Expired",
        IF(CG134 &lt;= TODAY() + 90, "Expiring", "Valid")
     )
  )
)</f>
        <v>Not Trained</v>
      </c>
      <c r="CI135" t="str">
        <f t="shared" si="7"/>
        <v>Not eligible</v>
      </c>
      <c r="CJ135" t="str">
        <f t="shared" si="8"/>
        <v>Not eligible</v>
      </c>
    </row>
    <row r="136" spans="1:88" x14ac:dyDescent="0.25">
      <c r="A136">
        <v>134</v>
      </c>
      <c r="B136">
        <v>529186</v>
      </c>
      <c r="C136" t="s">
        <v>630</v>
      </c>
      <c r="D136" t="s">
        <v>22</v>
      </c>
      <c r="E136" t="s">
        <v>285</v>
      </c>
      <c r="F136" t="s">
        <v>537</v>
      </c>
      <c r="G136" t="s">
        <v>53</v>
      </c>
      <c r="H136" s="4">
        <v>46428</v>
      </c>
      <c r="I136" s="4" t="str">
        <f ca="1">IF(
  _xlfn.XLOOKUP($D136 &amp; "-" &amp; H$2, 'TrainingReq (Ach)'!G:G, 'TrainingReq (Ach)'!F:F, "2-Year") = "Forever",
  "Valid",
  IF(H136="", "Not Trained",
     IF(H136 &lt; TODAY() - 1, "Expired",
        IF(H136 &lt;= TODAY() + 90, "Expiring", "Valid")
     )
  )
)</f>
        <v>Valid</v>
      </c>
      <c r="J136" s="4">
        <v>46428</v>
      </c>
      <c r="K136" s="4" t="str">
        <f ca="1">IF(
  _xlfn.XLOOKUP($D136 &amp; "-" &amp; J$2, 'TrainingReq (Ach)'!G:G, 'TrainingReq (Ach)'!F:F, "2-Year") = "Forever",
  "Valid",
  IF(J136="", "Not Trained",
     IF(J136 &lt; TODAY() - 1, "Expired",
        IF(J136 &lt;= TODAY() + 90, "Expiring", "Valid")
     )
  )
)</f>
        <v>Valid</v>
      </c>
      <c r="L136" s="4">
        <v>46441</v>
      </c>
      <c r="M136" s="4" t="str">
        <f ca="1">IF(
  _xlfn.XLOOKUP($D136 &amp; "-" &amp; L$2, TrainingMan!$G:$G, TrainingMan!$F:$F, "2-Year") = "Forever",
  "Valid",
  IF(L136="", "Not Trained",
     IF(L136 &lt; TODAY() - 1, "Expired",
        IF(L136 &lt;= TODAY() + 90, "Expiring", "Valid")
     )
  )
)</f>
        <v>Valid</v>
      </c>
      <c r="N136" s="4">
        <v>46441</v>
      </c>
      <c r="O136" s="4" t="str">
        <f ca="1">IF(
  _xlfn.XLOOKUP($D136 &amp; "-" &amp; N$2, TrainingMan!$G:$G, TrainingMan!$F:$F, "2-Year") = "Forever",
  "Valid",
  IF(N136="", "Not Trained",
     IF(N136 &lt; TODAY() - 1, "Expired",
        IF(N136 &lt;= TODAY() + 90, "Expiring", "Valid")
     )
  )
)</f>
        <v>Valid</v>
      </c>
      <c r="P136" s="4">
        <v>46441</v>
      </c>
      <c r="Q136" s="4" t="str">
        <f ca="1">IF(
  _xlfn.XLOOKUP($D136 &amp; "-" &amp; P$2, TrainingMan!$G:$G, TrainingMan!$F:$F, "2-Year") = "Forever",
  "Valid",
  IF(P136="", "Not Trained",
     IF(P136 &lt; TODAY() - 1, "Expired",
        IF(P136 &lt;= TODAY() + 90, "Expiring", "Valid")
     )
  )
)</f>
        <v>Valid</v>
      </c>
      <c r="R136" s="4">
        <v>46441</v>
      </c>
      <c r="S136" s="4" t="str">
        <f ca="1">IF(
  _xlfn.XLOOKUP($D136 &amp; "-" &amp; R$2, TrainingMan!$G:$G, TrainingMan!$F:$F, "2-Year") = "Forever",
  "Valid",
  IF(R136="", "Not Trained",
     IF(R136 &lt; TODAY() - 1, "Expired",
        IF(R136 &lt;= TODAY() + 90, "Expiring", "Valid")
     )
  )
)</f>
        <v>Valid</v>
      </c>
      <c r="T136" s="4">
        <v>46441</v>
      </c>
      <c r="U136" s="4" t="str">
        <f ca="1">IF(
  _xlfn.XLOOKUP($D136 &amp; "-" &amp; T$2, TrainingMan!$G:$G, TrainingMan!$F:$F, "2-Year") = "Forever",
  "Valid",
  IF(T136="", "Not Trained",
     IF(T136 &lt; TODAY() - 1, "Expired",
        IF(T136 &lt;= TODAY() + 90, "Expiring", "Valid")
     )
  )
)</f>
        <v>Valid</v>
      </c>
      <c r="V136" s="4">
        <v>46441</v>
      </c>
      <c r="W136" s="4" t="str">
        <f ca="1">IF(
  _xlfn.XLOOKUP($D136 &amp; "-" &amp; V$2, TrainingMan!$G:$G, TrainingMan!$F:$F, "2-Year") = "Forever",
  "Valid",
  IF(V136="", "Not Trained",
     IF(V136 &lt; TODAY() - 1, "Expired",
        IF(V136 &lt;= TODAY() + 90, "Expiring", "Valid")
     )
  )
)</f>
        <v>Valid</v>
      </c>
      <c r="X136" s="4">
        <v>46441</v>
      </c>
      <c r="Y136" s="4" t="str">
        <f ca="1">IF(
  _xlfn.XLOOKUP($D136 &amp; "-" &amp; X$2, TrainingMan!$G:$G, TrainingMan!$F:$F, "2-Year") = "Forever",
  "Valid",
  IF(X136="", "Not Trained",
     IF(X136 &lt; TODAY() - 1, "Expired",
        IF(X136 &lt;= TODAY() + 90, "Expiring", "Valid")
     )
  )
)</f>
        <v>Valid</v>
      </c>
      <c r="Z136" s="4">
        <v>44242</v>
      </c>
      <c r="AA136" s="4" t="str">
        <f ca="1">IF(LEN(TRIM(Z136)) = 0, "Not Trained",
  IF(_xlfn.XLOOKUP($D136 &amp; "-" &amp; Z$2, TrainingMan!$G:$G, TrainingMan!$F:$F, "2-Year") = "Forever", "Valid",
    IF(Z136 &lt; TODAY() - 1, "Expired",
      IF(Z136 &lt;= TODAY() + 90, "Expiring", "Valid")
    )
  )
)</f>
        <v>Valid</v>
      </c>
      <c r="AB136" s="4">
        <v>40998</v>
      </c>
      <c r="AC136" s="4">
        <v>38513</v>
      </c>
      <c r="AD136" s="4">
        <v>42053</v>
      </c>
      <c r="AE136" s="4">
        <v>42186</v>
      </c>
      <c r="AF136" s="4"/>
      <c r="AG136" s="4">
        <v>41716</v>
      </c>
      <c r="AH136" s="4"/>
      <c r="AI136" s="4"/>
      <c r="AJ136" s="4"/>
      <c r="AN136" s="4"/>
      <c r="AP136" s="4">
        <v>45931</v>
      </c>
      <c r="AQ136" s="4">
        <v>43408</v>
      </c>
      <c r="AR136" s="4">
        <v>43722</v>
      </c>
      <c r="AS136" s="4">
        <v>43516</v>
      </c>
      <c r="AT136" s="4"/>
      <c r="AU136" s="4"/>
      <c r="BB136" s="4"/>
      <c r="BC136" s="4" t="s">
        <v>631</v>
      </c>
      <c r="BD136" s="4" t="s">
        <v>632</v>
      </c>
      <c r="BE136" s="4"/>
      <c r="BF136" s="4"/>
      <c r="BG136" s="4"/>
      <c r="BH136" s="4"/>
      <c r="BI136" s="4">
        <v>38607</v>
      </c>
      <c r="BJ136" s="4" t="s">
        <v>140</v>
      </c>
      <c r="BK136" t="s">
        <v>148</v>
      </c>
      <c r="BL136" s="4"/>
      <c r="BM136" s="4"/>
      <c r="BN136" s="4"/>
      <c r="BO136" s="4"/>
      <c r="BP136" s="4"/>
      <c r="BQ136">
        <f>COUNTIF('TrainingReq (Ach)'!B:B,Table13[[#This Row],[Job Title]])</f>
        <v>14</v>
      </c>
      <c r="BR136" cm="1">
        <f t="array" aca="1" ref="BR13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36" s="5">
        <f t="shared" ca="1" si="6"/>
        <v>1</v>
      </c>
      <c r="BT136" t="s">
        <v>246</v>
      </c>
      <c r="BU136" t="s">
        <v>238</v>
      </c>
      <c r="BV136" t="s">
        <v>270</v>
      </c>
      <c r="BW136" s="4" t="s">
        <v>140</v>
      </c>
      <c r="BX136" t="s">
        <v>148</v>
      </c>
      <c r="BZ136" t="s">
        <v>633</v>
      </c>
      <c r="CC136" t="s">
        <v>634</v>
      </c>
      <c r="CD136" s="4">
        <v>46835</v>
      </c>
      <c r="CE136" s="4" t="str">
        <f ca="1">IF(
  _xlfn.XLOOKUP($D136 &amp; "-" &amp; CD$2, 'TrainingReq (Ach)'!$G:$G, 'TrainingReq (Ach)'!$F:$F, "2-Year") = "Forever",
  "Valid",
  IF(CD136="", "Not Trained",
     IF(CD136 &lt; TODAY() - 1, "Expired",
        IF(CD136 &lt;= TODAY() + 90, "Expiring", "Valid")
     )
  )
)</f>
        <v>Valid</v>
      </c>
      <c r="CF136" t="s">
        <v>250</v>
      </c>
      <c r="CG136" s="4">
        <f>Table13[[#This Row],[AMEL Validity]]</f>
        <v>46835</v>
      </c>
      <c r="CH136" s="4" t="str">
        <f ca="1">IF(
  _xlfn.XLOOKUP($D135 &amp; "-" &amp; CG$2, 'TrainingReq (Ach)'!$G:$G, 'TrainingReq (Ach)'!$F:$F, "2-Year") = "Forever",
  "Valid",
  IF(CG135="", "Not Trained",
     IF(CG135 &lt; TODAY() - 1, "Expired",
        IF(CG135 &lt;= TODAY() + 90, "Expiring", "Valid")
     )
  )
)</f>
        <v>Not Trained</v>
      </c>
      <c r="CI136" t="str">
        <f t="shared" si="7"/>
        <v>Eligible</v>
      </c>
      <c r="CJ136" t="str">
        <f t="shared" si="8"/>
        <v>Eligible</v>
      </c>
    </row>
    <row r="137" spans="1:88" x14ac:dyDescent="0.25">
      <c r="A137">
        <v>135</v>
      </c>
      <c r="B137">
        <v>582607</v>
      </c>
      <c r="C137" t="s">
        <v>635</v>
      </c>
      <c r="D137" t="s">
        <v>18</v>
      </c>
      <c r="E137" t="s">
        <v>263</v>
      </c>
      <c r="F137" t="s">
        <v>537</v>
      </c>
      <c r="G137" t="s">
        <v>53</v>
      </c>
      <c r="H137" s="4">
        <v>46438</v>
      </c>
      <c r="I137" s="4" t="str">
        <f ca="1">IF(
  _xlfn.XLOOKUP($D137 &amp; "-" &amp; H$2, 'TrainingReq (Ach)'!G:G, 'TrainingReq (Ach)'!F:F, "2-Year") = "Forever",
  "Valid",
  IF(H137="", "Not Trained",
     IF(H137 &lt; TODAY() - 1, "Expired",
        IF(H137 &lt;= TODAY() + 90, "Expiring", "Valid")
     )
  )
)</f>
        <v>Valid</v>
      </c>
      <c r="J137" s="4">
        <v>46438</v>
      </c>
      <c r="K137" s="4" t="str">
        <f ca="1">IF(
  _xlfn.XLOOKUP($D137 &amp; "-" &amp; J$2, 'TrainingReq (Ach)'!G:G, 'TrainingReq (Ach)'!F:F, "2-Year") = "Forever",
  "Valid",
  IF(J137="", "Not Trained",
     IF(J137 &lt; TODAY() - 1, "Expired",
        IF(J137 &lt;= TODAY() + 90, "Expiring", "Valid")
     )
  )
)</f>
        <v>Valid</v>
      </c>
      <c r="L137" s="4">
        <v>46249</v>
      </c>
      <c r="M137" s="4" t="str">
        <f ca="1">IF(
  _xlfn.XLOOKUP($D137 &amp; "-" &amp; L$2, TrainingMan!$G:$G, TrainingMan!$F:$F, "2-Year") = "Forever",
  "Valid",
  IF(L137="", "Not Trained",
     IF(L137 &lt; TODAY() - 1, "Expired",
        IF(L137 &lt;= TODAY() + 90, "Expiring", "Valid")
     )
  )
)</f>
        <v>Expired</v>
      </c>
      <c r="N137" s="4">
        <v>46249</v>
      </c>
      <c r="O137" s="4" t="str">
        <f ca="1">IF(
  _xlfn.XLOOKUP($D137 &amp; "-" &amp; N$2, TrainingMan!$G:$G, TrainingMan!$F:$F, "2-Year") = "Forever",
  "Valid",
  IF(N137="", "Not Trained",
     IF(N137 &lt; TODAY() - 1, "Expired",
        IF(N137 &lt;= TODAY() + 90, "Expiring", "Valid")
     )
  )
)</f>
        <v>Expired</v>
      </c>
      <c r="P137" s="4">
        <v>46249</v>
      </c>
      <c r="Q137" s="4" t="str">
        <f ca="1">IF(
  _xlfn.XLOOKUP($D137 &amp; "-" &amp; P$2, TrainingMan!$G:$G, TrainingMan!$F:$F, "2-Year") = "Forever",
  "Valid",
  IF(P137="", "Not Trained",
     IF(P137 &lt; TODAY() - 1, "Expired",
        IF(P137 &lt;= TODAY() + 90, "Expiring", "Valid")
     )
  )
)</f>
        <v>Expired</v>
      </c>
      <c r="R137" s="4">
        <v>46249</v>
      </c>
      <c r="S137" s="4" t="str">
        <f ca="1">IF(
  _xlfn.XLOOKUP($D137 &amp; "-" &amp; R$2, TrainingMan!$G:$G, TrainingMan!$F:$F, "2-Year") = "Forever",
  "Valid",
  IF(R137="", "Not Trained",
     IF(R137 &lt; TODAY() - 1, "Expired",
        IF(R137 &lt;= TODAY() + 90, "Expiring", "Valid")
     )
  )
)</f>
        <v>Expired</v>
      </c>
      <c r="T137" s="4">
        <v>46249</v>
      </c>
      <c r="U137" s="4" t="str">
        <f ca="1">IF(
  _xlfn.XLOOKUP($D137 &amp; "-" &amp; T$2, TrainingMan!$G:$G, TrainingMan!$F:$F, "2-Year") = "Forever",
  "Valid",
  IF(T137="", "Not Trained",
     IF(T137 &lt; TODAY() - 1, "Expired",
        IF(T137 &lt;= TODAY() + 90, "Expiring", "Valid")
     )
  )
)</f>
        <v>Expired</v>
      </c>
      <c r="V137" s="4">
        <v>46249</v>
      </c>
      <c r="W137" s="4" t="str">
        <f ca="1">IF(
  _xlfn.XLOOKUP($D137 &amp; "-" &amp; V$2, TrainingMan!$G:$G, TrainingMan!$F:$F, "2-Year") = "Forever",
  "Valid",
  IF(V137="", "Not Trained",
     IF(V137 &lt; TODAY() - 1, "Expired",
        IF(V137 &lt;= TODAY() + 90, "Expiring", "Valid")
     )
  )
)</f>
        <v>Expired</v>
      </c>
      <c r="X137" s="4">
        <v>46249</v>
      </c>
      <c r="Y137" s="4" t="str">
        <f ca="1">IF(
  _xlfn.XLOOKUP($D137 &amp; "-" &amp; X$2, TrainingMan!$G:$G, TrainingMan!$F:$F, "2-Year") = "Forever",
  "Valid",
  IF(X137="", "Not Trained",
     IF(X137 &lt; TODAY() - 1, "Expired",
        IF(X137 &lt;= TODAY() + 90, "Expiring", "Valid")
     )
  )
)</f>
        <v>Expired</v>
      </c>
      <c r="Z137" s="4">
        <v>45574</v>
      </c>
      <c r="AA137" s="4" t="str">
        <f ca="1">IF(LEN(TRIM(Z137)) = 0, "Not Trained",
  IF(_xlfn.XLOOKUP($D137 &amp; "-" &amp; Z$2, TrainingMan!$G:$G, TrainingMan!$F:$F, "2-Year") = "Forever", "Valid",
    IF(Z137 &lt; TODAY() - 1, "Expired",
      IF(Z137 &lt;= TODAY() + 90, "Expiring", "Valid")
    )
  )
)</f>
        <v>Valid</v>
      </c>
      <c r="AB137" s="4">
        <v>45116</v>
      </c>
      <c r="AC137" s="4">
        <v>43969</v>
      </c>
      <c r="AD137" s="4">
        <v>44216</v>
      </c>
      <c r="AE137" s="4"/>
      <c r="AF137" s="4">
        <v>44825</v>
      </c>
      <c r="AG137" s="4"/>
      <c r="AH137" s="4"/>
      <c r="AI137" s="4"/>
      <c r="AJ137" s="4"/>
      <c r="AN137" s="4"/>
      <c r="AQ137" s="4"/>
      <c r="AR137" s="4"/>
      <c r="AS137" s="4"/>
      <c r="AT137" s="4"/>
      <c r="AU137" s="4"/>
      <c r="BB137" s="4">
        <v>46074</v>
      </c>
      <c r="BC137" s="4" t="s">
        <v>358</v>
      </c>
      <c r="BD137" s="4" t="s">
        <v>602</v>
      </c>
      <c r="BE137" s="4"/>
      <c r="BF137" s="4"/>
      <c r="BG137" s="4"/>
      <c r="BH137" s="4"/>
      <c r="BI137" s="4">
        <v>43796</v>
      </c>
      <c r="BJ137" s="4" t="s">
        <v>144</v>
      </c>
      <c r="BK137" s="4"/>
      <c r="BL137" s="4"/>
      <c r="BM137" s="4"/>
      <c r="BN137" s="4" t="s">
        <v>324</v>
      </c>
      <c r="BO137" s="4"/>
      <c r="BP137" s="4"/>
      <c r="BQ137">
        <f>COUNTIF('TrainingReq (Ach)'!B:B,Table13[[#This Row],[Job Title]])</f>
        <v>15</v>
      </c>
      <c r="BR137" cm="1">
        <f t="array" aca="1" ref="BR13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37" s="5">
        <f t="shared" ca="1" si="6"/>
        <v>1</v>
      </c>
      <c r="BT137" t="s">
        <v>246</v>
      </c>
      <c r="BU137" t="s">
        <v>247</v>
      </c>
      <c r="BV137" t="s">
        <v>256</v>
      </c>
      <c r="BW137" s="4" t="s">
        <v>144</v>
      </c>
      <c r="BZ137" t="s">
        <v>636</v>
      </c>
      <c r="CC137" t="s">
        <v>637</v>
      </c>
      <c r="CD137" s="4">
        <v>46657</v>
      </c>
      <c r="CE137" s="4" t="str">
        <f ca="1">IF(
  _xlfn.XLOOKUP($D137 &amp; "-" &amp; CD$2, 'TrainingReq (Ach)'!$G:$G, 'TrainingReq (Ach)'!$F:$F, "2-Year") = "Forever",
  "Valid",
  IF(CD137="", "Not Trained",
     IF(CD137 &lt; TODAY() - 1, "Expired",
        IF(CD137 &lt;= TODAY() + 90, "Expiring", "Valid")
     )
  )
)</f>
        <v>Valid</v>
      </c>
      <c r="CF137" t="s">
        <v>250</v>
      </c>
      <c r="CG137" s="4">
        <v>55250</v>
      </c>
      <c r="CH137" s="4" t="str">
        <f ca="1">IF(
  _xlfn.XLOOKUP($D136 &amp; "-" &amp; CG$2, 'TrainingReq (Ach)'!$G:$G, 'TrainingReq (Ach)'!$F:$F, "2-Year") = "Forever",
  "Valid",
  IF(CG136="", "Not Trained",
     IF(CG136 &lt; TODAY() - 1, "Expired",
        IF(CG136 &lt;= TODAY() + 90, "Expiring", "Valid")
     )
  )
)</f>
        <v>Valid</v>
      </c>
      <c r="CI137" t="str">
        <f t="shared" si="7"/>
        <v>Eligible</v>
      </c>
      <c r="CJ137" t="str">
        <f t="shared" si="8"/>
        <v>Not eligible</v>
      </c>
    </row>
    <row r="138" spans="1:88" x14ac:dyDescent="0.25">
      <c r="A138">
        <v>136</v>
      </c>
      <c r="B138">
        <v>783027</v>
      </c>
      <c r="C138" t="s">
        <v>638</v>
      </c>
      <c r="D138" t="s">
        <v>23</v>
      </c>
      <c r="E138" t="s">
        <v>303</v>
      </c>
      <c r="F138" t="s">
        <v>537</v>
      </c>
      <c r="G138" t="s">
        <v>53</v>
      </c>
      <c r="H138" s="4">
        <v>46639</v>
      </c>
      <c r="I138" s="4" t="str">
        <f ca="1">IF(
  _xlfn.XLOOKUP($D138 &amp; "-" &amp; H$2, 'TrainingReq (Ach)'!G:G, 'TrainingReq (Ach)'!F:F, "2-Year") = "Forever",
  "Valid",
  IF(H138="", "Not Trained",
     IF(H138 &lt; TODAY() - 1, "Expired",
        IF(H138 &lt;= TODAY() + 90, "Expiring", "Valid")
     )
  )
)</f>
        <v>Valid</v>
      </c>
      <c r="J138" s="4">
        <v>46578</v>
      </c>
      <c r="K138" s="4" t="str">
        <f ca="1">IF(
  _xlfn.XLOOKUP($D138 &amp; "-" &amp; J$2, 'TrainingReq (Ach)'!G:G, 'TrainingReq (Ach)'!F:F, "2-Year") = "Forever",
  "Valid",
  IF(J138="", "Not Trained",
     IF(J138 &lt; TODAY() - 1, "Expired",
        IF(J138 &lt;= TODAY() + 90, "Expiring", "Valid")
     )
  )
)</f>
        <v>Valid</v>
      </c>
      <c r="L138" s="4">
        <f>Table13[[#This Row],[Mandatory for Supporting]]</f>
        <v>45265</v>
      </c>
      <c r="M138" s="4" t="str">
        <f ca="1">IF(
  _xlfn.XLOOKUP($D138 &amp; "-" &amp; L$2, TrainingMan!$G:$G, TrainingMan!$F:$F, "2-Year") = "Forever",
  "Valid",
  IF(L138="", "Not Trained",
     IF(L138 &lt; TODAY() - 1, "Expired",
        IF(L138 &lt;= TODAY() + 90, "Expiring", "Valid")
     )
  )
)</f>
        <v>Valid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>
        <v>46004</v>
      </c>
      <c r="AC138" s="4"/>
      <c r="AD138" s="4"/>
      <c r="AE138" s="4"/>
      <c r="AF138" s="4"/>
      <c r="AG138" s="4"/>
      <c r="AH138" s="4"/>
      <c r="AI138" s="4"/>
      <c r="AJ138" s="4"/>
      <c r="AN138" s="4"/>
      <c r="AQ138" s="4"/>
      <c r="AR138" s="4"/>
      <c r="AS138" s="4"/>
      <c r="AT138" s="4"/>
      <c r="AU138" s="4"/>
      <c r="BB138" s="4"/>
      <c r="BC138" s="4"/>
      <c r="BD138" s="4" t="s">
        <v>629</v>
      </c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>
        <v>45265</v>
      </c>
      <c r="BQ138">
        <f>COUNTIF('TrainingReq (Ach)'!B:B,Table13[[#This Row],[Job Title]])</f>
        <v>3</v>
      </c>
      <c r="BR138" cm="1">
        <f t="array" aca="1" ref="BR13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38" s="5">
        <f t="shared" ca="1" si="6"/>
        <v>1</v>
      </c>
      <c r="BT138" t="s">
        <v>314</v>
      </c>
      <c r="BU138" t="s">
        <v>247</v>
      </c>
      <c r="BW138" s="4"/>
      <c r="CD138" s="4"/>
      <c r="CE138" s="4" t="str">
        <f ca="1">IF(
  _xlfn.XLOOKUP($D138 &amp; "-" &amp; CD$2, 'TrainingReq (Ach)'!$G:$G, 'TrainingReq (Ach)'!$F:$F, "2-Year") = "Forever",
  "Valid",
  IF(CD138="", "Not Trained",
     IF(CD138 &lt; TODAY() - 1, "Expired",
        IF(CD138 &lt;= TODAY() + 90, "Expiring", "Valid")
     )
  )
)</f>
        <v>Not Trained</v>
      </c>
      <c r="CF138" t="s">
        <v>250</v>
      </c>
      <c r="CG138" s="4"/>
      <c r="CH138" s="4" t="str">
        <f ca="1">IF(
  _xlfn.XLOOKUP($D137 &amp; "-" &amp; CG$2, 'TrainingReq (Ach)'!$G:$G, 'TrainingReq (Ach)'!$F:$F, "2-Year") = "Forever",
  "Valid",
  IF(CG137="", "Not Trained",
     IF(CG137 &lt; TODAY() - 1, "Expired",
        IF(CG137 &lt;= TODAY() + 90, "Expiring", "Valid")
     )
  )
)</f>
        <v>Valid</v>
      </c>
      <c r="CI138" t="str">
        <f t="shared" si="7"/>
        <v>Not eligible</v>
      </c>
      <c r="CJ138" t="str">
        <f t="shared" si="8"/>
        <v>Not eligible</v>
      </c>
    </row>
    <row r="139" spans="1:88" x14ac:dyDescent="0.25">
      <c r="A139">
        <v>137</v>
      </c>
      <c r="B139">
        <v>783028</v>
      </c>
      <c r="C139" t="s">
        <v>639</v>
      </c>
      <c r="D139" t="s">
        <v>23</v>
      </c>
      <c r="E139" t="s">
        <v>303</v>
      </c>
      <c r="F139" t="s">
        <v>537</v>
      </c>
      <c r="G139" t="s">
        <v>53</v>
      </c>
      <c r="H139" s="4">
        <v>46639</v>
      </c>
      <c r="I139" s="4" t="str">
        <f ca="1">IF(
  _xlfn.XLOOKUP($D139 &amp; "-" &amp; H$2, 'TrainingReq (Ach)'!G:G, 'TrainingReq (Ach)'!F:F, "2-Year") = "Forever",
  "Valid",
  IF(H139="", "Not Trained",
     IF(H139 &lt; TODAY() - 1, "Expired",
        IF(H139 &lt;= TODAY() + 90, "Expiring", "Valid")
     )
  )
)</f>
        <v>Valid</v>
      </c>
      <c r="J139" s="4">
        <v>46612</v>
      </c>
      <c r="K139" s="4" t="str">
        <f ca="1">IF(
  _xlfn.XLOOKUP($D139 &amp; "-" &amp; J$2, 'TrainingReq (Ach)'!G:G, 'TrainingReq (Ach)'!F:F, "2-Year") = "Forever",
  "Valid",
  IF(J139="", "Not Trained",
     IF(J139 &lt; TODAY() - 1, "Expired",
        IF(J139 &lt;= TODAY() + 90, "Expiring", "Valid")
     )
  )
)</f>
        <v>Valid</v>
      </c>
      <c r="L139" s="4">
        <f>Table13[[#This Row],[Mandatory for Supporting]]</f>
        <v>45265</v>
      </c>
      <c r="M139" s="4" t="str">
        <f ca="1">IF(
  _xlfn.XLOOKUP($D139 &amp; "-" &amp; L$2, TrainingMan!$G:$G, TrainingMan!$F:$F, "2-Year") = "Forever",
  "Valid",
  IF(L139="", "Not Trained",
     IF(L139 &lt; TODAY() - 1, "Expired",
        IF(L139 &lt;= TODAY() + 90, "Expiring", "Valid")
     )
  )
)</f>
        <v>Valid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>
        <v>46004</v>
      </c>
      <c r="AC139" s="4"/>
      <c r="AD139" s="4"/>
      <c r="AE139" s="4"/>
      <c r="AF139" s="4"/>
      <c r="AG139" s="4"/>
      <c r="AH139" s="4"/>
      <c r="AI139" s="4"/>
      <c r="AJ139" s="4"/>
      <c r="AN139" s="4"/>
      <c r="AQ139" s="4"/>
      <c r="AR139" s="4"/>
      <c r="AS139" s="4"/>
      <c r="AT139" s="4"/>
      <c r="AU139" s="4"/>
      <c r="BB139" s="4"/>
      <c r="BC139" s="4"/>
      <c r="BD139" s="4" t="s">
        <v>629</v>
      </c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>
        <v>45265</v>
      </c>
      <c r="BQ139">
        <f>COUNTIF('TrainingReq (Ach)'!B:B,Table13[[#This Row],[Job Title]])</f>
        <v>3</v>
      </c>
      <c r="BR139" cm="1">
        <f t="array" aca="1" ref="BR13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39" s="5">
        <f t="shared" ca="1" si="6"/>
        <v>1</v>
      </c>
      <c r="BT139" t="s">
        <v>314</v>
      </c>
      <c r="BU139" t="s">
        <v>247</v>
      </c>
      <c r="BW139" s="4"/>
      <c r="CD139" s="4"/>
      <c r="CE139" s="4" t="str">
        <f ca="1">IF(
  _xlfn.XLOOKUP($D139 &amp; "-" &amp; CD$2, 'TrainingReq (Ach)'!$G:$G, 'TrainingReq (Ach)'!$F:$F, "2-Year") = "Forever",
  "Valid",
  IF(CD139="", "Not Trained",
     IF(CD139 &lt; TODAY() - 1, "Expired",
        IF(CD139 &lt;= TODAY() + 90, "Expiring", "Valid")
     )
  )
)</f>
        <v>Not Trained</v>
      </c>
      <c r="CF139" t="s">
        <v>250</v>
      </c>
      <c r="CG139" s="4"/>
      <c r="CH139" s="4" t="str">
        <f ca="1">IF(
  _xlfn.XLOOKUP($D138 &amp; "-" &amp; CG$2, 'TrainingReq (Ach)'!$G:$G, 'TrainingReq (Ach)'!$F:$F, "2-Year") = "Forever",
  "Valid",
  IF(CG138="", "Not Trained",
     IF(CG138 &lt; TODAY() - 1, "Expired",
        IF(CG138 &lt;= TODAY() + 90, "Expiring", "Valid")
     )
  )
)</f>
        <v>Not Trained</v>
      </c>
      <c r="CI139" t="str">
        <f t="shared" si="7"/>
        <v>Not eligible</v>
      </c>
      <c r="CJ139" t="str">
        <f t="shared" si="8"/>
        <v>Not eligible</v>
      </c>
    </row>
    <row r="140" spans="1:88" x14ac:dyDescent="0.25">
      <c r="A140">
        <v>138</v>
      </c>
      <c r="B140">
        <v>783029</v>
      </c>
      <c r="C140" t="s">
        <v>640</v>
      </c>
      <c r="D140" t="s">
        <v>23</v>
      </c>
      <c r="E140" t="s">
        <v>303</v>
      </c>
      <c r="F140" t="s">
        <v>537</v>
      </c>
      <c r="G140" t="s">
        <v>53</v>
      </c>
      <c r="H140" s="4">
        <v>46639</v>
      </c>
      <c r="I140" s="4" t="str">
        <f ca="1">IF(
  _xlfn.XLOOKUP($D140 &amp; "-" &amp; H$2, 'TrainingReq (Ach)'!G:G, 'TrainingReq (Ach)'!F:F, "2-Year") = "Forever",
  "Valid",
  IF(H140="", "Not Trained",
     IF(H140 &lt; TODAY() - 1, "Expired",
        IF(H140 &lt;= TODAY() + 90, "Expiring", "Valid")
     )
  )
)</f>
        <v>Valid</v>
      </c>
      <c r="J140" s="4">
        <v>46612</v>
      </c>
      <c r="K140" s="4" t="str">
        <f ca="1">IF(
  _xlfn.XLOOKUP($D140 &amp; "-" &amp; J$2, 'TrainingReq (Ach)'!G:G, 'TrainingReq (Ach)'!F:F, "2-Year") = "Forever",
  "Valid",
  IF(J140="", "Not Trained",
     IF(J140 &lt; TODAY() - 1, "Expired",
        IF(J140 &lt;= TODAY() + 90, "Expiring", "Valid")
     )
  )
)</f>
        <v>Valid</v>
      </c>
      <c r="L140" s="4">
        <f>Table13[[#This Row],[Mandatory for Supporting]]</f>
        <v>45265</v>
      </c>
      <c r="M140" s="4" t="str">
        <f ca="1">IF(
  _xlfn.XLOOKUP($D140 &amp; "-" &amp; L$2, TrainingMan!$G:$G, TrainingMan!$F:$F, "2-Year") = "Forever",
  "Valid",
  IF(L140="", "Not Trained",
     IF(L140 &lt; TODAY() - 1, "Expired",
        IF(L140 &lt;= TODAY() + 90, "Expiring", "Valid")
     )
  )
)</f>
        <v>Valid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>
        <v>46004</v>
      </c>
      <c r="AC140" s="4"/>
      <c r="AD140" s="4"/>
      <c r="AE140" s="4"/>
      <c r="AF140" s="4"/>
      <c r="AG140" s="4"/>
      <c r="AH140" s="4"/>
      <c r="AI140" s="4"/>
      <c r="AJ140" s="4"/>
      <c r="AN140" s="4"/>
      <c r="AQ140" s="4"/>
      <c r="AR140" s="4"/>
      <c r="AS140" s="4"/>
      <c r="AT140" s="4"/>
      <c r="AU140" s="4"/>
      <c r="BB140" s="4"/>
      <c r="BC140" s="4"/>
      <c r="BD140" s="4" t="s">
        <v>629</v>
      </c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>
        <v>45265</v>
      </c>
      <c r="BQ140">
        <f>COUNTIF('TrainingReq (Ach)'!B:B,Table13[[#This Row],[Job Title]])</f>
        <v>3</v>
      </c>
      <c r="BR140" cm="1">
        <f t="array" aca="1" ref="BR14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0" s="5">
        <f t="shared" ca="1" si="6"/>
        <v>1</v>
      </c>
      <c r="BT140" t="s">
        <v>314</v>
      </c>
      <c r="BU140" t="s">
        <v>247</v>
      </c>
      <c r="BW140" s="4"/>
      <c r="CD140" s="4"/>
      <c r="CE140" s="4" t="str">
        <f ca="1">IF(
  _xlfn.XLOOKUP($D140 &amp; "-" &amp; CD$2, 'TrainingReq (Ach)'!$G:$G, 'TrainingReq (Ach)'!$F:$F, "2-Year") = "Forever",
  "Valid",
  IF(CD140="", "Not Trained",
     IF(CD140 &lt; TODAY() - 1, "Expired",
        IF(CD140 &lt;= TODAY() + 90, "Expiring", "Valid")
     )
  )
)</f>
        <v>Not Trained</v>
      </c>
      <c r="CF140" t="s">
        <v>250</v>
      </c>
      <c r="CG140" s="4"/>
      <c r="CH140" s="4" t="str">
        <f ca="1">IF(
  _xlfn.XLOOKUP($D139 &amp; "-" &amp; CG$2, 'TrainingReq (Ach)'!$G:$G, 'TrainingReq (Ach)'!$F:$F, "2-Year") = "Forever",
  "Valid",
  IF(CG139="", "Not Trained",
     IF(CG139 &lt; TODAY() - 1, "Expired",
        IF(CG139 &lt;= TODAY() + 90, "Expiring", "Valid")
     )
  )
)</f>
        <v>Not Trained</v>
      </c>
      <c r="CI140" t="str">
        <f t="shared" si="7"/>
        <v>Not eligible</v>
      </c>
      <c r="CJ140" t="str">
        <f t="shared" si="8"/>
        <v>Not eligible</v>
      </c>
    </row>
    <row r="141" spans="1:88" x14ac:dyDescent="0.25">
      <c r="A141">
        <v>139</v>
      </c>
      <c r="B141">
        <v>783030</v>
      </c>
      <c r="C141" t="s">
        <v>641</v>
      </c>
      <c r="D141" t="s">
        <v>23</v>
      </c>
      <c r="E141" t="s">
        <v>303</v>
      </c>
      <c r="F141" t="s">
        <v>537</v>
      </c>
      <c r="G141" t="s">
        <v>53</v>
      </c>
      <c r="H141" s="4">
        <v>46669</v>
      </c>
      <c r="I141" s="4" t="str">
        <f ca="1">IF(
  _xlfn.XLOOKUP($D141 &amp; "-" &amp; H$2, 'TrainingReq (Ach)'!G:G, 'TrainingReq (Ach)'!F:F, "2-Year") = "Forever",
  "Valid",
  IF(H141="", "Not Trained",
     IF(H141 &lt; TODAY() - 1, "Expired",
        IF(H141 &lt;= TODAY() + 90, "Expiring", "Valid")
     )
  )
)</f>
        <v>Valid</v>
      </c>
      <c r="J141" s="4">
        <v>46675</v>
      </c>
      <c r="K141" s="4" t="str">
        <f ca="1">IF(
  _xlfn.XLOOKUP($D141 &amp; "-" &amp; J$2, 'TrainingReq (Ach)'!G:G, 'TrainingReq (Ach)'!F:F, "2-Year") = "Forever",
  "Valid",
  IF(J141="", "Not Trained",
     IF(J141 &lt; TODAY() - 1, "Expired",
        IF(J141 &lt;= TODAY() + 90, "Expiring", "Valid")
     )
  )
)</f>
        <v>Valid</v>
      </c>
      <c r="L141" s="4">
        <f>Table13[[#This Row],[Mandatory for Supporting]]</f>
        <v>45265</v>
      </c>
      <c r="M141" s="4" t="str">
        <f ca="1">IF(
  _xlfn.XLOOKUP($D141 &amp; "-" &amp; L$2, TrainingMan!$G:$G, TrainingMan!$F:$F, "2-Year") = "Forever",
  "Valid",
  IF(L141="", "Not Trained",
     IF(L141 &lt; TODAY() - 1, "Expired",
        IF(L141 &lt;= TODAY() + 90, "Expiring", "Valid")
     )
  )
)</f>
        <v>Valid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>
        <v>46004</v>
      </c>
      <c r="AC141" s="4"/>
      <c r="AD141" s="4"/>
      <c r="AE141" s="4"/>
      <c r="AF141" s="4"/>
      <c r="AG141" s="4"/>
      <c r="AH141" s="4"/>
      <c r="AI141" s="4"/>
      <c r="AJ141" s="4"/>
      <c r="AN141" s="4"/>
      <c r="AQ141" s="4"/>
      <c r="AR141" s="4"/>
      <c r="AS141" s="4"/>
      <c r="AT141" s="4"/>
      <c r="AU141" s="4"/>
      <c r="BB141" s="4"/>
      <c r="BC141" s="4"/>
      <c r="BD141" s="4" t="s">
        <v>629</v>
      </c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>
        <v>45265</v>
      </c>
      <c r="BQ141">
        <f>COUNTIF('TrainingReq (Ach)'!B:B,Table13[[#This Row],[Job Title]])</f>
        <v>3</v>
      </c>
      <c r="BR141" cm="1">
        <f t="array" aca="1" ref="BR14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1" s="5">
        <f t="shared" ca="1" si="6"/>
        <v>1</v>
      </c>
      <c r="BT141" t="s">
        <v>314</v>
      </c>
      <c r="BU141" t="s">
        <v>247</v>
      </c>
      <c r="BW141" s="4"/>
      <c r="CD141" s="4"/>
      <c r="CE141" s="4" t="str">
        <f ca="1">IF(
  _xlfn.XLOOKUP($D141 &amp; "-" &amp; CD$2, 'TrainingReq (Ach)'!$G:$G, 'TrainingReq (Ach)'!$F:$F, "2-Year") = "Forever",
  "Valid",
  IF(CD141="", "Not Trained",
     IF(CD141 &lt; TODAY() - 1, "Expired",
        IF(CD141 &lt;= TODAY() + 90, "Expiring", "Valid")
     )
  )
)</f>
        <v>Not Trained</v>
      </c>
      <c r="CF141" t="s">
        <v>250</v>
      </c>
      <c r="CG141" s="4"/>
      <c r="CH141" s="4" t="str">
        <f ca="1">IF(
  _xlfn.XLOOKUP($D140 &amp; "-" &amp; CG$2, 'TrainingReq (Ach)'!$G:$G, 'TrainingReq (Ach)'!$F:$F, "2-Year") = "Forever",
  "Valid",
  IF(CG140="", "Not Trained",
     IF(CG140 &lt; TODAY() - 1, "Expired",
        IF(CG140 &lt;= TODAY() + 90, "Expiring", "Valid")
     )
  )
)</f>
        <v>Not Trained</v>
      </c>
      <c r="CI141" t="str">
        <f t="shared" si="7"/>
        <v>Not eligible</v>
      </c>
      <c r="CJ141" t="str">
        <f t="shared" si="8"/>
        <v>Not eligible</v>
      </c>
    </row>
    <row r="142" spans="1:88" x14ac:dyDescent="0.25">
      <c r="A142">
        <v>140</v>
      </c>
      <c r="B142">
        <v>783031</v>
      </c>
      <c r="C142" t="s">
        <v>642</v>
      </c>
      <c r="D142" t="s">
        <v>23</v>
      </c>
      <c r="E142" t="s">
        <v>303</v>
      </c>
      <c r="F142" t="s">
        <v>537</v>
      </c>
      <c r="G142" t="s">
        <v>48</v>
      </c>
      <c r="H142" s="4">
        <v>46697</v>
      </c>
      <c r="I142" s="4" t="str">
        <f ca="1">IF(
  _xlfn.XLOOKUP($D142 &amp; "-" &amp; H$2, 'TrainingReq (Ach)'!G:G, 'TrainingReq (Ach)'!F:F, "2-Year") = "Forever",
  "Valid",
  IF(H142="", "Not Trained",
     IF(H142 &lt; TODAY() - 1, "Expired",
        IF(H142 &lt;= TODAY() + 90, "Expiring", "Valid")
     )
  )
)</f>
        <v>Valid</v>
      </c>
      <c r="J142" s="4">
        <v>46675</v>
      </c>
      <c r="K142" s="4" t="str">
        <f ca="1">IF(
  _xlfn.XLOOKUP($D142 &amp; "-" &amp; J$2, 'TrainingReq (Ach)'!G:G, 'TrainingReq (Ach)'!F:F, "2-Year") = "Forever",
  "Valid",
  IF(J142="", "Not Trained",
     IF(J142 &lt; TODAY() - 1, "Expired",
        IF(J142 &lt;= TODAY() + 90, "Expiring", "Valid")
     )
  )
)</f>
        <v>Valid</v>
      </c>
      <c r="L142" s="4">
        <f>Table13[[#This Row],[Mandatory for Supporting]]</f>
        <v>45265</v>
      </c>
      <c r="M142" s="4" t="str">
        <f ca="1">IF(
  _xlfn.XLOOKUP($D142 &amp; "-" &amp; L$2, TrainingMan!$G:$G, TrainingMan!$F:$F, "2-Year") = "Forever",
  "Valid",
  IF(L142="", "Not Trained",
     IF(L142 &lt; TODAY() - 1, "Expired",
        IF(L142 &lt;= TODAY() + 90, "Expiring", "Valid")
     )
  )
)</f>
        <v>Valid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>
        <v>46004</v>
      </c>
      <c r="AC142" s="4"/>
      <c r="AD142" s="4"/>
      <c r="AE142" s="4"/>
      <c r="AF142" s="4"/>
      <c r="AG142" s="4"/>
      <c r="AH142" s="4"/>
      <c r="AI142" s="4"/>
      <c r="AJ142" s="4"/>
      <c r="AN142" s="4"/>
      <c r="AQ142" s="4"/>
      <c r="AR142" s="4"/>
      <c r="AS142" s="4"/>
      <c r="AT142" s="4"/>
      <c r="AU142" s="4"/>
      <c r="BB142" s="4"/>
      <c r="BC142" s="4"/>
      <c r="BD142" s="4" t="s">
        <v>629</v>
      </c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>
        <v>45265</v>
      </c>
      <c r="BQ142">
        <f>COUNTIF('TrainingReq (Ach)'!B:B,Table13[[#This Row],[Job Title]])</f>
        <v>3</v>
      </c>
      <c r="BR142" cm="1">
        <f t="array" aca="1" ref="BR14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2" s="5">
        <f t="shared" ca="1" si="6"/>
        <v>1</v>
      </c>
      <c r="BT142" t="s">
        <v>314</v>
      </c>
      <c r="BU142" t="s">
        <v>247</v>
      </c>
      <c r="BW142" s="4"/>
      <c r="CD142" s="4"/>
      <c r="CE142" s="4" t="str">
        <f ca="1">IF(
  _xlfn.XLOOKUP($D142 &amp; "-" &amp; CD$2, 'TrainingReq (Ach)'!$G:$G, 'TrainingReq (Ach)'!$F:$F, "2-Year") = "Forever",
  "Valid",
  IF(CD142="", "Not Trained",
     IF(CD142 &lt; TODAY() - 1, "Expired",
        IF(CD142 &lt;= TODAY() + 90, "Expiring", "Valid")
     )
  )
)</f>
        <v>Not Trained</v>
      </c>
      <c r="CF142" t="s">
        <v>250</v>
      </c>
      <c r="CG142" s="4"/>
      <c r="CH142" s="4" t="str">
        <f ca="1">IF(
  _xlfn.XLOOKUP($D141 &amp; "-" &amp; CG$2, 'TrainingReq (Ach)'!$G:$G, 'TrainingReq (Ach)'!$F:$F, "2-Year") = "Forever",
  "Valid",
  IF(CG141="", "Not Trained",
     IF(CG141 &lt; TODAY() - 1, "Expired",
        IF(CG141 &lt;= TODAY() + 90, "Expiring", "Valid")
     )
  )
)</f>
        <v>Not Trained</v>
      </c>
      <c r="CI142" t="str">
        <f t="shared" si="7"/>
        <v>Not eligible</v>
      </c>
      <c r="CJ142" t="str">
        <f t="shared" si="8"/>
        <v>Not eligible</v>
      </c>
    </row>
    <row r="143" spans="1:88" x14ac:dyDescent="0.25">
      <c r="A143">
        <v>141</v>
      </c>
      <c r="B143">
        <v>783045</v>
      </c>
      <c r="C143" t="s">
        <v>643</v>
      </c>
      <c r="D143" t="s">
        <v>23</v>
      </c>
      <c r="E143" t="s">
        <v>303</v>
      </c>
      <c r="F143" t="s">
        <v>537</v>
      </c>
      <c r="G143" t="s">
        <v>53</v>
      </c>
      <c r="H143" s="4">
        <v>46639</v>
      </c>
      <c r="I143" s="4" t="str">
        <f ca="1">IF(
  _xlfn.XLOOKUP($D143 &amp; "-" &amp; H$2, 'TrainingReq (Ach)'!G:G, 'TrainingReq (Ach)'!F:F, "2-Year") = "Forever",
  "Valid",
  IF(H143="", "Not Trained",
     IF(H143 &lt; TODAY() - 1, "Expired",
        IF(H143 &lt;= TODAY() + 90, "Expiring", "Valid")
     )
  )
)</f>
        <v>Valid</v>
      </c>
      <c r="J143" s="4">
        <v>46612</v>
      </c>
      <c r="K143" s="4" t="str">
        <f ca="1">IF(
  _xlfn.XLOOKUP($D143 &amp; "-" &amp; J$2, 'TrainingReq (Ach)'!G:G, 'TrainingReq (Ach)'!F:F, "2-Year") = "Forever",
  "Valid",
  IF(J143="", "Not Trained",
     IF(J143 &lt; TODAY() - 1, "Expired",
        IF(J143 &lt;= TODAY() + 90, "Expiring", "Valid")
     )
  )
)</f>
        <v>Valid</v>
      </c>
      <c r="L143" s="4">
        <f>Table13[[#This Row],[Mandatory for Supporting]]</f>
        <v>45265</v>
      </c>
      <c r="M143" s="4" t="str">
        <f ca="1">IF(
  _xlfn.XLOOKUP($D143 &amp; "-" &amp; L$2, TrainingMan!$G:$G, TrainingMan!$F:$F, "2-Year") = "Forever",
  "Valid",
  IF(L143="", "Not Trained",
     IF(L143 &lt; TODAY() - 1, "Expired",
        IF(L143 &lt;= TODAY() + 90, "Expiring", "Valid")
     )
  )
)</f>
        <v>Valid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>
        <v>46004</v>
      </c>
      <c r="AC143" s="4"/>
      <c r="AD143" s="4"/>
      <c r="AE143" s="4"/>
      <c r="AF143" s="4"/>
      <c r="AG143" s="4"/>
      <c r="AH143" s="4"/>
      <c r="AI143" s="4"/>
      <c r="AJ143" s="4"/>
      <c r="AN143" s="4"/>
      <c r="AQ143" s="4"/>
      <c r="AR143" s="4"/>
      <c r="AS143" s="4"/>
      <c r="AT143" s="4"/>
      <c r="AU143" s="4"/>
      <c r="BB143" s="4"/>
      <c r="BC143" s="4"/>
      <c r="BD143" s="4" t="s">
        <v>629</v>
      </c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>
        <v>45265</v>
      </c>
      <c r="BQ143">
        <f>COUNTIF('TrainingReq (Ach)'!B:B,Table13[[#This Row],[Job Title]])</f>
        <v>3</v>
      </c>
      <c r="BR143" cm="1">
        <f t="array" aca="1" ref="BR14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3" s="5">
        <f t="shared" ca="1" si="6"/>
        <v>1</v>
      </c>
      <c r="BT143" t="s">
        <v>314</v>
      </c>
      <c r="BU143" t="s">
        <v>247</v>
      </c>
      <c r="BW143" s="4"/>
      <c r="CD143" s="4"/>
      <c r="CE143" s="4" t="str">
        <f ca="1">IF(
  _xlfn.XLOOKUP($D143 &amp; "-" &amp; CD$2, 'TrainingReq (Ach)'!$G:$G, 'TrainingReq (Ach)'!$F:$F, "2-Year") = "Forever",
  "Valid",
  IF(CD143="", "Not Trained",
     IF(CD143 &lt; TODAY() - 1, "Expired",
        IF(CD143 &lt;= TODAY() + 90, "Expiring", "Valid")
     )
  )
)</f>
        <v>Not Trained</v>
      </c>
      <c r="CF143" t="s">
        <v>250</v>
      </c>
      <c r="CG143" s="4"/>
      <c r="CH143" s="4" t="str">
        <f ca="1">IF(
  _xlfn.XLOOKUP($D142 &amp; "-" &amp; CG$2, 'TrainingReq (Ach)'!$G:$G, 'TrainingReq (Ach)'!$F:$F, "2-Year") = "Forever",
  "Valid",
  IF(CG142="", "Not Trained",
     IF(CG142 &lt; TODAY() - 1, "Expired",
        IF(CG142 &lt;= TODAY() + 90, "Expiring", "Valid")
     )
  )
)</f>
        <v>Not Trained</v>
      </c>
      <c r="CI143" t="str">
        <f t="shared" si="7"/>
        <v>Not eligible</v>
      </c>
      <c r="CJ143" t="str">
        <f t="shared" si="8"/>
        <v>Not eligible</v>
      </c>
    </row>
    <row r="144" spans="1:88" x14ac:dyDescent="0.25">
      <c r="A144">
        <v>142</v>
      </c>
      <c r="B144">
        <v>783401</v>
      </c>
      <c r="C144" t="s">
        <v>644</v>
      </c>
      <c r="D144" t="s">
        <v>23</v>
      </c>
      <c r="E144" t="s">
        <v>303</v>
      </c>
      <c r="F144" t="s">
        <v>537</v>
      </c>
      <c r="G144" t="s">
        <v>53</v>
      </c>
      <c r="H144" s="4">
        <v>46885</v>
      </c>
      <c r="I144" s="4" t="str">
        <f ca="1">IF(
  _xlfn.XLOOKUP($D144 &amp; "-" &amp; H$2, 'TrainingReq (Ach)'!G:G, 'TrainingReq (Ach)'!F:F, "2-Year") = "Forever",
  "Valid",
  IF(H144="", "Not Trained",
     IF(H144 &lt; TODAY() - 1, "Expired",
        IF(H144 &lt;= TODAY() + 90, "Expiring", "Valid")
     )
  )
)</f>
        <v>Valid</v>
      </c>
      <c r="J144" s="4">
        <f>Table13[[#This Row],[Mandatory for Supporting]]+730</f>
        <v>46390</v>
      </c>
      <c r="K144" s="4" t="str">
        <f ca="1">IF(
  _xlfn.XLOOKUP($D144 &amp; "-" &amp; J$2, 'TrainingReq (Ach)'!G:G, 'TrainingReq (Ach)'!F:F, "2-Year") = "Forever",
  "Valid",
  IF(J144="", "Not Trained",
     IF(J144 &lt; TODAY() - 1, "Expired",
        IF(J144 &lt;= TODAY() + 90, "Expiring", "Valid")
     )
  )
)</f>
        <v>Valid</v>
      </c>
      <c r="L144" s="4">
        <f>Table13[[#This Row],[Mandatory for Supporting]]</f>
        <v>45660</v>
      </c>
      <c r="M144" s="4" t="str">
        <f ca="1">IF(
  _xlfn.XLOOKUP($D144 &amp; "-" &amp; L$2, TrainingMan!$G:$G, TrainingMan!$F:$F, "2-Year") = "Forever",
  "Valid",
  IF(L144="", "Not Trained",
     IF(L144 &lt; TODAY() - 1, "Expired",
        IF(L144 &lt;= TODAY() + 90, "Expiring", "Valid")
     )
  )
)</f>
        <v>Valid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>
        <v>46397</v>
      </c>
      <c r="AC144" s="4"/>
      <c r="AD144" s="4"/>
      <c r="AE144" s="4"/>
      <c r="AF144" s="4"/>
      <c r="AG144" s="4"/>
      <c r="AH144" s="4"/>
      <c r="AI144" s="4"/>
      <c r="AJ144" s="4"/>
      <c r="AN144" s="4"/>
      <c r="AQ144" s="4"/>
      <c r="AR144" s="4"/>
      <c r="AS144" s="4"/>
      <c r="AT144" s="4"/>
      <c r="AU144" s="4"/>
      <c r="BB144" s="4"/>
      <c r="BC144" s="4"/>
      <c r="BD144" s="4">
        <v>45819</v>
      </c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>
        <v>45660</v>
      </c>
      <c r="BQ144">
        <f>COUNTIF('TrainingReq (Ach)'!B:B,Table13[[#This Row],[Job Title]])</f>
        <v>3</v>
      </c>
      <c r="BR144" cm="1">
        <f t="array" aca="1" ref="BR14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4" s="5">
        <f t="shared" ca="1" si="6"/>
        <v>1</v>
      </c>
      <c r="BT144" t="s">
        <v>314</v>
      </c>
      <c r="BU144" t="s">
        <v>247</v>
      </c>
      <c r="BW144" s="4"/>
      <c r="CD144" s="4"/>
      <c r="CE144" s="4" t="str">
        <f ca="1">IF(
  _xlfn.XLOOKUP($D144 &amp; "-" &amp; CD$2, 'TrainingReq (Ach)'!$G:$G, 'TrainingReq (Ach)'!$F:$F, "2-Year") = "Forever",
  "Valid",
  IF(CD144="", "Not Trained",
     IF(CD144 &lt; TODAY() - 1, "Expired",
        IF(CD144 &lt;= TODAY() + 90, "Expiring", "Valid")
     )
  )
)</f>
        <v>Not Trained</v>
      </c>
      <c r="CF144" t="s">
        <v>250</v>
      </c>
      <c r="CG144" s="4"/>
      <c r="CH144" s="4" t="str">
        <f ca="1">IF(
  _xlfn.XLOOKUP($D143 &amp; "-" &amp; CG$2, 'TrainingReq (Ach)'!$G:$G, 'TrainingReq (Ach)'!$F:$F, "2-Year") = "Forever",
  "Valid",
  IF(CG143="", "Not Trained",
     IF(CG143 &lt; TODAY() - 1, "Expired",
        IF(CG143 &lt;= TODAY() + 90, "Expiring", "Valid")
     )
  )
)</f>
        <v>Not Trained</v>
      </c>
      <c r="CI144" t="str">
        <f t="shared" si="7"/>
        <v>Not eligible</v>
      </c>
      <c r="CJ144" t="str">
        <f t="shared" si="8"/>
        <v>Not eligible</v>
      </c>
    </row>
    <row r="145" spans="1:88" ht="15.75" x14ac:dyDescent="0.25">
      <c r="A145">
        <v>143</v>
      </c>
      <c r="B145">
        <v>783496</v>
      </c>
      <c r="C145" t="s">
        <v>645</v>
      </c>
      <c r="D145" t="s">
        <v>23</v>
      </c>
      <c r="G145" t="s">
        <v>53</v>
      </c>
      <c r="H145" s="4">
        <v>46655</v>
      </c>
      <c r="I145" s="4" t="str">
        <f ca="1">IF(
  _xlfn.XLOOKUP($D145 &amp; "-" &amp; H$2, 'TrainingReq (Ach)'!G:G, 'TrainingReq (Ach)'!F:F, "2-Year") = "Forever",
  "Valid",
  IF(H145="", "Not Trained",
     IF(H145 &lt; TODAY() - 1, "Expired",
        IF(H145 &lt;= TODAY() + 90, "Expiring", "Valid")
     )
  )
)</f>
        <v>Valid</v>
      </c>
      <c r="J145" s="4">
        <v>46655</v>
      </c>
      <c r="K145" s="4" t="str">
        <f ca="1">IF(
  _xlfn.XLOOKUP($D145 &amp; "-" &amp; J$2, 'TrainingReq (Ach)'!G:G, 'TrainingReq (Ach)'!F:F, "2-Year") = "Forever",
  "Valid",
  IF(J145="", "Not Trained",
     IF(J145 &lt; TODAY() - 1, "Expired",
        IF(J145 &lt;= TODAY() + 90, "Expiring", "Valid")
     )
  )
)</f>
        <v>Valid</v>
      </c>
      <c r="L145" s="4">
        <v>46655</v>
      </c>
      <c r="M145" s="4" t="str">
        <f ca="1">IF(
  _xlfn.XLOOKUP($D145 &amp; "-" &amp; L$2, TrainingMan!$G:$G, TrainingMan!$F:$F, "2-Year") = "Forever",
  "Valid",
  IF(L145="", "Not Trained",
     IF(L145 &lt; TODAY() - 1, "Expired",
        IF(L145 &lt;= TODAY() + 90, "Expiring", "Valid")
     )
  )
)</f>
        <v>Valid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>
        <v>46077</v>
      </c>
      <c r="AC145" s="4"/>
      <c r="AD145" s="4"/>
      <c r="AE145" s="4"/>
      <c r="AF145" s="4"/>
      <c r="AG145" s="4"/>
      <c r="AH145" s="4"/>
      <c r="AI145" s="4"/>
      <c r="AJ145" s="4"/>
      <c r="AN145" s="4"/>
      <c r="AQ145" s="4"/>
      <c r="AR145" s="4"/>
      <c r="AS145" s="4"/>
      <c r="AT145" s="4"/>
      <c r="AU145" s="4"/>
      <c r="BB145" s="4"/>
      <c r="BC145" s="4"/>
      <c r="BD145" s="4">
        <v>46029</v>
      </c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>
        <f>COUNTIF('TrainingReq (Ach)'!B:B,Table13[[#This Row],[Job Title]])</f>
        <v>3</v>
      </c>
      <c r="BR145" cm="1">
        <f t="array" aca="1" ref="BR14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5" s="16">
        <f t="shared" ca="1" si="6"/>
        <v>1</v>
      </c>
      <c r="BW145" s="4"/>
      <c r="CD145" s="6"/>
      <c r="CE145" s="4" t="str">
        <f ca="1">IF(
  _xlfn.XLOOKUP($D145 &amp; "-" &amp; CD$2, 'TrainingReq (Ach)'!$G:$G, 'TrainingReq (Ach)'!$F:$F, "2-Year") = "Forever",
  "Valid",
  IF(CD145="", "Not Trained",
     IF(CD145 &lt; TODAY() - 1, "Expired",
        IF(CD145 &lt;= TODAY() + 90, "Expiring", "Valid")
     )
  )
)</f>
        <v>Not Trained</v>
      </c>
      <c r="CG145" s="6"/>
      <c r="CH145" s="4" t="str">
        <f ca="1">IF(
  _xlfn.XLOOKUP($D144 &amp; "-" &amp; CG$2, 'TrainingReq (Ach)'!$G:$G, 'TrainingReq (Ach)'!$F:$F, "2-Year") = "Forever",
  "Valid",
  IF(CG144="", "Not Trained",
     IF(CG144 &lt; TODAY() - 1, "Expired",
        IF(CG144 &lt;= TODAY() + 90, "Expiring", "Valid")
     )
  )
)</f>
        <v>Not Trained</v>
      </c>
      <c r="CI145" t="str">
        <f t="shared" si="7"/>
        <v>Not eligible</v>
      </c>
      <c r="CJ145" t="str">
        <f t="shared" si="8"/>
        <v>Not eligible</v>
      </c>
    </row>
    <row r="146" spans="1:88" ht="15.75" x14ac:dyDescent="0.25">
      <c r="A146">
        <v>144</v>
      </c>
      <c r="B146">
        <v>783497</v>
      </c>
      <c r="C146" t="s">
        <v>646</v>
      </c>
      <c r="D146" t="s">
        <v>23</v>
      </c>
      <c r="G146" t="s">
        <v>53</v>
      </c>
      <c r="H146" s="4">
        <v>46655</v>
      </c>
      <c r="I146" s="4" t="str">
        <f ca="1">IF(
  _xlfn.XLOOKUP($D146 &amp; "-" &amp; H$2, 'TrainingReq (Ach)'!G:G, 'TrainingReq (Ach)'!F:F, "2-Year") = "Forever",
  "Valid",
  IF(H146="", "Not Trained",
     IF(H146 &lt; TODAY() - 1, "Expired",
        IF(H146 &lt;= TODAY() + 90, "Expiring", "Valid")
     )
  )
)</f>
        <v>Valid</v>
      </c>
      <c r="J146" s="4">
        <v>46655</v>
      </c>
      <c r="K146" s="4" t="str">
        <f ca="1">IF(
  _xlfn.XLOOKUP($D146 &amp; "-" &amp; J$2, 'TrainingReq (Ach)'!G:G, 'TrainingReq (Ach)'!F:F, "2-Year") = "Forever",
  "Valid",
  IF(J146="", "Not Trained",
     IF(J146 &lt; TODAY() - 1, "Expired",
        IF(J146 &lt;= TODAY() + 90, "Expiring", "Valid")
     )
  )
)</f>
        <v>Valid</v>
      </c>
      <c r="L146" s="4">
        <v>46655</v>
      </c>
      <c r="M146" s="4" t="str">
        <f ca="1">IF(
  _xlfn.XLOOKUP($D146 &amp; "-" &amp; L$2, TrainingMan!$G:$G, TrainingMan!$F:$F, "2-Year") = "Forever",
  "Valid",
  IF(L146="", "Not Trained",
     IF(L146 &lt; TODAY() - 1, "Expired",
        IF(L146 &lt;= TODAY() + 90, "Expiring", "Valid")
     )
  )
)</f>
        <v>Valid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>
        <v>46077</v>
      </c>
      <c r="AC146" s="4"/>
      <c r="AD146" s="4"/>
      <c r="AE146" s="4"/>
      <c r="AF146" s="4"/>
      <c r="AG146" s="4"/>
      <c r="AH146" s="4"/>
      <c r="AI146" s="4"/>
      <c r="AJ146" s="4"/>
      <c r="AN146" s="4"/>
      <c r="AQ146" s="4"/>
      <c r="AR146" s="4"/>
      <c r="AS146" s="4"/>
      <c r="AT146" s="4"/>
      <c r="AU146" s="4"/>
      <c r="BB146" s="4"/>
      <c r="BC146" s="4"/>
      <c r="BD146" s="4">
        <v>45965</v>
      </c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>
        <f>COUNTIF('TrainingReq (Ach)'!B:B,Table13[[#This Row],[Job Title]])</f>
        <v>3</v>
      </c>
      <c r="BR146" cm="1">
        <f t="array" aca="1" ref="BR14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6" s="16">
        <f t="shared" ca="1" si="6"/>
        <v>1</v>
      </c>
      <c r="BW146" s="4"/>
      <c r="CD146" s="6"/>
      <c r="CE146" s="4" t="str">
        <f ca="1">IF(
  _xlfn.XLOOKUP($D146 &amp; "-" &amp; CD$2, 'TrainingReq (Ach)'!$G:$G, 'TrainingReq (Ach)'!$F:$F, "2-Year") = "Forever",
  "Valid",
  IF(CD146="", "Not Trained",
     IF(CD146 &lt; TODAY() - 1, "Expired",
        IF(CD146 &lt;= TODAY() + 90, "Expiring", "Valid")
     )
  )
)</f>
        <v>Not Trained</v>
      </c>
      <c r="CG146" s="6"/>
      <c r="CH146" s="4" t="str">
        <f ca="1">IF(
  _xlfn.XLOOKUP($D145 &amp; "-" &amp; CG$2, 'TrainingReq (Ach)'!$G:$G, 'TrainingReq (Ach)'!$F:$F, "2-Year") = "Forever",
  "Valid",
  IF(CG145="", "Not Trained",
     IF(CG145 &lt; TODAY() - 1, "Expired",
        IF(CG145 &lt;= TODAY() + 90, "Expiring", "Valid")
     )
  )
)</f>
        <v>Not Trained</v>
      </c>
      <c r="CI146" t="str">
        <f t="shared" si="7"/>
        <v>Not eligible</v>
      </c>
      <c r="CJ146" t="str">
        <f t="shared" si="8"/>
        <v>Not eligible</v>
      </c>
    </row>
    <row r="147" spans="1:88" ht="15.75" x14ac:dyDescent="0.25">
      <c r="A147">
        <v>145</v>
      </c>
      <c r="B147">
        <v>783498</v>
      </c>
      <c r="C147" t="s">
        <v>647</v>
      </c>
      <c r="D147" t="s">
        <v>23</v>
      </c>
      <c r="G147" t="s">
        <v>49</v>
      </c>
      <c r="H147" s="4">
        <v>46655</v>
      </c>
      <c r="I147" s="4" t="str">
        <f ca="1">IF(
  _xlfn.XLOOKUP($D147 &amp; "-" &amp; H$2, 'TrainingReq (Ach)'!G:G, 'TrainingReq (Ach)'!F:F, "2-Year") = "Forever",
  "Valid",
  IF(H147="", "Not Trained",
     IF(H147 &lt; TODAY() - 1, "Expired",
        IF(H147 &lt;= TODAY() + 90, "Expiring", "Valid")
     )
  )
)</f>
        <v>Valid</v>
      </c>
      <c r="J147" s="4">
        <v>46655</v>
      </c>
      <c r="K147" s="4" t="str">
        <f ca="1">IF(
  _xlfn.XLOOKUP($D147 &amp; "-" &amp; J$2, 'TrainingReq (Ach)'!G:G, 'TrainingReq (Ach)'!F:F, "2-Year") = "Forever",
  "Valid",
  IF(J147="", "Not Trained",
     IF(J147 &lt; TODAY() - 1, "Expired",
        IF(J147 &lt;= TODAY() + 90, "Expiring", "Valid")
     )
  )
)</f>
        <v>Valid</v>
      </c>
      <c r="L147" s="4">
        <v>46655</v>
      </c>
      <c r="M147" s="4" t="str">
        <f ca="1">IF(
  _xlfn.XLOOKUP($D147 &amp; "-" &amp; L$2, TrainingMan!$G:$G, TrainingMan!$F:$F, "2-Year") = "Forever",
  "Valid",
  IF(L147="", "Not Trained",
     IF(L147 &lt; TODAY() - 1, "Expired",
        IF(L147 &lt;= TODAY() + 90, "Expiring", "Valid")
     )
  )
)</f>
        <v>Valid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N147" s="4"/>
      <c r="AQ147" s="4"/>
      <c r="AR147" s="4"/>
      <c r="AS147" s="4"/>
      <c r="AT147" s="4"/>
      <c r="AU147" s="4"/>
      <c r="BB147" s="4"/>
      <c r="BC147" s="4"/>
      <c r="BD147" s="4">
        <v>45965</v>
      </c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>
        <f>COUNTIF('TrainingReq (Ach)'!B:B,Table13[[#This Row],[Job Title]])</f>
        <v>3</v>
      </c>
      <c r="BR147" cm="1">
        <f t="array" aca="1" ref="BR14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7" s="16">
        <f t="shared" ca="1" si="6"/>
        <v>1</v>
      </c>
      <c r="BW147" s="4"/>
      <c r="CD147" s="6"/>
      <c r="CE147" s="4" t="str">
        <f ca="1">IF(
  _xlfn.XLOOKUP($D147 &amp; "-" &amp; CD$2, 'TrainingReq (Ach)'!$G:$G, 'TrainingReq (Ach)'!$F:$F, "2-Year") = "Forever",
  "Valid",
  IF(CD147="", "Not Trained",
     IF(CD147 &lt; TODAY() - 1, "Expired",
        IF(CD147 &lt;= TODAY() + 90, "Expiring", "Valid")
     )
  )
)</f>
        <v>Not Trained</v>
      </c>
      <c r="CG147" s="6"/>
      <c r="CH147" s="4" t="str">
        <f ca="1">IF(
  _xlfn.XLOOKUP($D146 &amp; "-" &amp; CG$2, 'TrainingReq (Ach)'!$G:$G, 'TrainingReq (Ach)'!$F:$F, "2-Year") = "Forever",
  "Valid",
  IF(CG146="", "Not Trained",
     IF(CG146 &lt; TODAY() - 1, "Expired",
        IF(CG146 &lt;= TODAY() + 90, "Expiring", "Valid")
     )
  )
)</f>
        <v>Not Trained</v>
      </c>
      <c r="CI147" t="str">
        <f t="shared" si="7"/>
        <v>Not eligible</v>
      </c>
      <c r="CJ147" t="str">
        <f t="shared" si="8"/>
        <v>Not eligible</v>
      </c>
    </row>
    <row r="148" spans="1:88" ht="15.75" x14ac:dyDescent="0.25">
      <c r="A148">
        <v>146</v>
      </c>
      <c r="B148">
        <v>783556</v>
      </c>
      <c r="C148" t="s">
        <v>648</v>
      </c>
      <c r="D148" t="s">
        <v>23</v>
      </c>
      <c r="G148" t="s">
        <v>53</v>
      </c>
      <c r="H148" s="4">
        <v>46683</v>
      </c>
      <c r="I148" s="4" t="str">
        <f ca="1">IF(
  _xlfn.XLOOKUP($D148 &amp; "-" &amp; H$2, 'TrainingReq (Ach)'!G:G, 'TrainingReq (Ach)'!F:F, "2-Year") = "Forever",
  "Valid",
  IF(H148="", "Not Trained",
     IF(H148 &lt; TODAY() - 1, "Expired",
        IF(H148 &lt;= TODAY() + 90, "Expiring", "Valid")
     )
  )
)</f>
        <v>Valid</v>
      </c>
      <c r="J148" s="4">
        <v>46683</v>
      </c>
      <c r="K148" s="4" t="str">
        <f ca="1">IF(
  _xlfn.XLOOKUP($D148 &amp; "-" &amp; J$2, 'TrainingReq (Ach)'!G:G, 'TrainingReq (Ach)'!F:F, "2-Year") = "Forever",
  "Valid",
  IF(J148="", "Not Trained",
     IF(J148 &lt; TODAY() - 1, "Expired",
        IF(J148 &lt;= TODAY() + 90, "Expiring", "Valid")
     )
  )
)</f>
        <v>Valid</v>
      </c>
      <c r="L148" s="4">
        <v>46683</v>
      </c>
      <c r="M148" s="4" t="str">
        <f ca="1">IF(
  _xlfn.XLOOKUP($D148 &amp; "-" &amp; L$2, 'TrainingReq (Ach)'!I:I, 'TrainingReq (Ach)'!H:H, "2-Year") = "Forever",
  "Valid",
  IF(L148="", "Not Trained",
     IF(L148 &lt; TODAY() - 1, "Expired",
        IF(L148 &lt;= TODAY() + 90, "Expiring", "Valid")
     )
  )
)</f>
        <v>Valid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N148" s="4"/>
      <c r="AQ148" s="4"/>
      <c r="AR148" s="4"/>
      <c r="AS148" s="4"/>
      <c r="AT148" s="4"/>
      <c r="AU148" s="4"/>
      <c r="BB148" s="4"/>
      <c r="BC148" s="4"/>
      <c r="BD148" s="4">
        <v>45965</v>
      </c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>
        <f>COUNTIF('TrainingReq (Ach)'!B:B,Table13[[#This Row],[Job Title]])</f>
        <v>3</v>
      </c>
      <c r="BR148" cm="1">
        <f t="array" aca="1" ref="BR14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48" s="16">
        <f t="shared" ca="1" si="6"/>
        <v>1</v>
      </c>
      <c r="BW148" s="4"/>
      <c r="CD148" s="6"/>
      <c r="CE148" s="4" t="str">
        <f ca="1">IF(
  _xlfn.XLOOKUP($D148 &amp; "-" &amp; CD$2, 'TrainingReq (Ach)'!$G:$G, 'TrainingReq (Ach)'!$F:$F, "2-Year") = "Forever",
  "Valid",
  IF(CD148="", "Not Trained",
     IF(CD148 &lt; TODAY() - 1, "Expired",
        IF(CD148 &lt;= TODAY() + 90, "Expiring", "Valid")
     )
  )
)</f>
        <v>Not Trained</v>
      </c>
      <c r="CG148" s="6"/>
      <c r="CH148" s="4" t="str">
        <f ca="1">IF(
  _xlfn.XLOOKUP($D147 &amp; "-" &amp; CG$2, 'TrainingReq (Ach)'!$G:$G, 'TrainingReq (Ach)'!$F:$F, "2-Year") = "Forever",
  "Valid",
  IF(CG147="", "Not Trained",
     IF(CG147 &lt; TODAY() - 1, "Expired",
        IF(CG147 &lt;= TODAY() + 90, "Expiring", "Valid")
     )
  )
)</f>
        <v>Not Trained</v>
      </c>
      <c r="CI148" t="str">
        <f t="shared" si="7"/>
        <v>Not eligible</v>
      </c>
      <c r="CJ148" t="str">
        <f t="shared" si="8"/>
        <v>Not eligible</v>
      </c>
    </row>
    <row r="149" spans="1:88" x14ac:dyDescent="0.25">
      <c r="A149">
        <v>147</v>
      </c>
      <c r="B149">
        <v>527238</v>
      </c>
      <c r="C149" t="s">
        <v>649</v>
      </c>
      <c r="D149" t="s">
        <v>15</v>
      </c>
      <c r="E149" t="s">
        <v>292</v>
      </c>
      <c r="F149" t="s">
        <v>650</v>
      </c>
      <c r="G149" t="s">
        <v>54</v>
      </c>
      <c r="H149" s="4">
        <v>46654</v>
      </c>
      <c r="I149" s="4" t="str">
        <f ca="1">IF(
  _xlfn.XLOOKUP($D149 &amp; "-" &amp; H$2, 'TrainingReq (Ach)'!G:G, 'TrainingReq (Ach)'!F:F, "2-Year") = "Forever",
  "Valid",
  IF(H149="", "Not Trained",
     IF(H149 &lt; TODAY() - 1, "Expired",
        IF(H149 &lt;= TODAY() + 90, "Expiring", "Valid")
     )
  )
)</f>
        <v>Valid</v>
      </c>
      <c r="J149" s="4">
        <v>46654</v>
      </c>
      <c r="K149" s="4" t="str">
        <f ca="1">IF(
  _xlfn.XLOOKUP($D149 &amp; "-" &amp; J$2, 'TrainingReq (Ach)'!G:G, 'TrainingReq (Ach)'!F:F, "2-Year") = "Forever",
  "Valid",
  IF(J149="", "Not Trained",
     IF(J149 &lt; TODAY() - 1, "Expired",
        IF(J149 &lt;= TODAY() + 90, "Expiring", "Valid")
     )
  )
)</f>
        <v>Valid</v>
      </c>
      <c r="L149" s="4">
        <v>46664</v>
      </c>
      <c r="M149" s="4" t="str">
        <f ca="1">IF(
  _xlfn.XLOOKUP($D149 &amp; "-" &amp; L$2, TrainingMan!$G:$G, TrainingMan!$F:$F, "2-Year") = "Forever",
  "Valid",
  IF(L149="", "Not Trained",
     IF(L149 &lt; TODAY() - 1, "Expired",
        IF(L149 &lt;= TODAY() + 90, "Expiring", "Valid")
     )
  )
)</f>
        <v>Valid</v>
      </c>
      <c r="N149" s="4">
        <v>46599</v>
      </c>
      <c r="O149" s="4" t="str">
        <f ca="1">IF(
  _xlfn.XLOOKUP($D149 &amp; "-" &amp; N$2, TrainingMan!$G:$G, TrainingMan!$F:$F, "2-Year") = "Forever",
  "Valid",
  IF(N149="", "Not Trained",
     IF(N149 &lt; TODAY() - 1, "Expired",
        IF(N149 &lt;= TODAY() + 90, "Expiring", "Valid")
     )
  )
)</f>
        <v>Valid</v>
      </c>
      <c r="P149" s="4">
        <v>46599</v>
      </c>
      <c r="Q149" s="4" t="str">
        <f ca="1">IF(
  _xlfn.XLOOKUP($D149 &amp; "-" &amp; P$2, TrainingMan!$G:$G, TrainingMan!$F:$F, "2-Year") = "Forever",
  "Valid",
  IF(P149="", "Not Trained",
     IF(P149 &lt; TODAY() - 1, "Expired",
        IF(P149 &lt;= TODAY() + 90, "Expiring", "Valid")
     )
  )
)</f>
        <v>Valid</v>
      </c>
      <c r="R149" s="4">
        <v>46599</v>
      </c>
      <c r="S149" s="4" t="str">
        <f ca="1">IF(
  _xlfn.XLOOKUP($D149 &amp; "-" &amp; R$2, TrainingMan!$G:$G, TrainingMan!$F:$F, "2-Year") = "Forever",
  "Valid",
  IF(R149="", "Not Trained",
     IF(R149 &lt; TODAY() - 1, "Expired",
        IF(R149 &lt;= TODAY() + 90, "Expiring", "Valid")
     )
  )
)</f>
        <v>Valid</v>
      </c>
      <c r="T149" s="4">
        <v>46599</v>
      </c>
      <c r="U149" s="4" t="str">
        <f ca="1">IF(
  _xlfn.XLOOKUP($D149 &amp; "-" &amp; T$2, TrainingMan!$G:$G, TrainingMan!$F:$F, "2-Year") = "Forever",
  "Valid",
  IF(T149="", "Not Trained",
     IF(T149 &lt; TODAY() - 1, "Expired",
        IF(T149 &lt;= TODAY() + 90, "Expiring", "Valid")
     )
  )
)</f>
        <v>Valid</v>
      </c>
      <c r="V149" s="4">
        <v>46664</v>
      </c>
      <c r="W149" s="4" t="str">
        <f ca="1">IF(
  _xlfn.XLOOKUP($D149 &amp; "-" &amp; V$2, TrainingMan!$G:$G, TrainingMan!$F:$F, "2-Year") = "Forever",
  "Valid",
  IF(V149="", "Not Trained",
     IF(V149 &lt; TODAY() - 1, "Expired",
        IF(V149 &lt;= TODAY() + 90, "Expiring", "Valid")
     )
  )
)</f>
        <v>Valid</v>
      </c>
      <c r="X149" s="4">
        <v>46665</v>
      </c>
      <c r="Y149" s="4" t="str">
        <f ca="1">IF(
  _xlfn.XLOOKUP($D149 &amp; "-" &amp; X$2, TrainingMan!$G:$G, TrainingMan!$F:$F, "2-Year") = "Forever",
  "Valid",
  IF(X149="", "Not Trained",
     IF(X149 &lt; TODAY() - 1, "Expired",
        IF(X149 &lt;= TODAY() + 90, "Expiring", "Valid")
     )
  )
)</f>
        <v>Valid</v>
      </c>
      <c r="Z149" s="4">
        <v>45297</v>
      </c>
      <c r="AA149" s="4" t="str">
        <f ca="1">IF(LEN(TRIM(Z149)) = 0, "Not Trained",
  IF(_xlfn.XLOOKUP($D149 &amp; "-" &amp; Z$2, TrainingMan!$G:$G, TrainingMan!$F:$F, "2-Year") = "Forever", "Valid",
    IF(Z149 &lt; TODAY() - 1, "Expired",
      IF(Z149 &lt;= TODAY() + 90, "Expiring", "Valid")
    )
  )
)</f>
        <v>Valid</v>
      </c>
      <c r="AB149" s="4"/>
      <c r="AC149" s="4">
        <v>45625</v>
      </c>
      <c r="AD149" s="4"/>
      <c r="AE149" s="4"/>
      <c r="AF149" s="4"/>
      <c r="AG149" s="4">
        <v>41380</v>
      </c>
      <c r="AH149" s="4"/>
      <c r="AI149" s="4"/>
      <c r="AJ149" s="4"/>
      <c r="AN149" s="4" t="s">
        <v>651</v>
      </c>
      <c r="AO149" t="s">
        <v>652</v>
      </c>
      <c r="AQ149" s="4"/>
      <c r="AR149" s="4"/>
      <c r="AS149" s="4"/>
      <c r="AT149" s="4"/>
      <c r="AU149" s="4"/>
      <c r="BB149" s="4"/>
      <c r="BC149" s="4"/>
      <c r="BD149" s="4" t="s">
        <v>653</v>
      </c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>
        <f>COUNTIF('TrainingReq (Ach)'!B:B,Table13[[#This Row],[Job Title]])</f>
        <v>13</v>
      </c>
      <c r="BR149" cm="1">
        <f t="array" aca="1" ref="BR14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49" s="5">
        <f t="shared" ca="1" si="6"/>
        <v>0.92307692307692313</v>
      </c>
      <c r="BT149" t="s">
        <v>319</v>
      </c>
      <c r="BU149" t="s">
        <v>247</v>
      </c>
      <c r="BW149" s="4"/>
      <c r="CC149" t="s">
        <v>654</v>
      </c>
      <c r="CD149" s="4"/>
      <c r="CE149" s="4" t="str">
        <f ca="1">IF(
  _xlfn.XLOOKUP($D149 &amp; "-" &amp; CD$2, 'TrainingReq (Ach)'!$G:$G, 'TrainingReq (Ach)'!$F:$F, "2-Year") = "Forever",
  "Valid",
  IF(CD149="", "Not Trained",
     IF(CD149 &lt; TODAY() - 1, "Expired",
        IF(CD149 &lt;= TODAY() + 90, "Expiring", "Valid")
     )
  )
)</f>
        <v>Not Trained</v>
      </c>
      <c r="CF149" t="s">
        <v>250</v>
      </c>
      <c r="CG149" s="4">
        <v>46454</v>
      </c>
      <c r="CH149" s="4" t="e">
        <f ca="1">IF(
  _xlfn.XLOOKUP(#REF! &amp; "-" &amp; CG$2, 'TrainingReq (Ach)'!$G:$G, 'TrainingReq (Ach)'!$F:$F, "2-Year") = "Forever",
  "Valid",
  IF(#REF!="", "Not Trained",
     IF(#REF! &lt; TODAY() - 1, "Expired",
        IF(#REF! &lt;= TODAY() + 90, "Expiring", "Valid")
     )
  )
)</f>
        <v>#REF!</v>
      </c>
      <c r="CI149" t="str">
        <f t="shared" si="7"/>
        <v>Not eligible</v>
      </c>
      <c r="CJ149" t="str">
        <f t="shared" si="8"/>
        <v>Not eligible</v>
      </c>
    </row>
    <row r="150" spans="1:88" x14ac:dyDescent="0.25">
      <c r="A150">
        <v>148</v>
      </c>
      <c r="B150">
        <v>582161</v>
      </c>
      <c r="C150" t="s">
        <v>655</v>
      </c>
      <c r="D150" t="s">
        <v>7</v>
      </c>
      <c r="E150" t="s">
        <v>303</v>
      </c>
      <c r="F150" t="s">
        <v>650</v>
      </c>
      <c r="G150" t="s">
        <v>54</v>
      </c>
      <c r="H150" s="4">
        <v>46731</v>
      </c>
      <c r="I150" s="4" t="str">
        <f ca="1">IF(
  _xlfn.XLOOKUP($D150 &amp; "-" &amp; H$2, 'TrainingReq (Ach)'!G:G, 'TrainingReq (Ach)'!F:F, "2-Year") = "Forever",
  "Valid",
  IF(H150="", "Not Trained",
     IF(H150 &lt; TODAY() - 1, "Expired",
        IF(H150 &lt;= TODAY() + 90, "Expiring", "Valid")
     )
  )
)</f>
        <v>Valid</v>
      </c>
      <c r="J150" s="4">
        <v>46731</v>
      </c>
      <c r="K150" s="4" t="str">
        <f ca="1">IF(
  _xlfn.XLOOKUP($D150 &amp; "-" &amp; J$2, 'TrainingReq (Ach)'!G:G, 'TrainingReq (Ach)'!F:F, "2-Year") = "Forever",
  "Valid",
  IF(J150="", "Not Trained",
     IF(J150 &lt; TODAY() - 1, "Expired",
        IF(J150 &lt;= TODAY() + 90, "Expiring", "Valid")
     )
  )
)</f>
        <v>Valid</v>
      </c>
      <c r="L150" s="4">
        <v>46705</v>
      </c>
      <c r="M150" s="4" t="str">
        <f ca="1">IF(
  _xlfn.XLOOKUP($D150 &amp; "-" &amp; L$2, TrainingMan!$G:$G, TrainingMan!$F:$F, "2-Year") = "Forever",
  "Valid",
  IF(L150="", "Not Trained",
     IF(L150 &lt; TODAY() - 1, "Expired",
        IF(L150 &lt;= TODAY() + 90, "Expiring", "Valid")
     )
  )
)</f>
        <v>Valid</v>
      </c>
      <c r="N150" s="4">
        <v>46561</v>
      </c>
      <c r="O150" s="4" t="str">
        <f ca="1">IF(
  _xlfn.XLOOKUP($D150 &amp; "-" &amp; N$2, TrainingMan!$G:$G, TrainingMan!$F:$F, "2-Year") = "Forever",
  "Valid",
  IF(N150="", "Not Trained",
     IF(N150 &lt; TODAY() - 1, "Expired",
        IF(N150 &lt;= TODAY() + 90, "Expiring", "Valid")
     )
  )
)</f>
        <v>Valid</v>
      </c>
      <c r="P150" s="4">
        <v>46561</v>
      </c>
      <c r="Q150" s="4" t="str">
        <f ca="1">IF(
  _xlfn.XLOOKUP($D150 &amp; "-" &amp; P$2, TrainingMan!$G:$G, TrainingMan!$F:$F, "2-Year") = "Forever",
  "Valid",
  IF(P150="", "Not Trained",
     IF(P150 &lt; TODAY() - 1, "Expired",
        IF(P150 &lt;= TODAY() + 90, "Expiring", "Valid")
     )
  )
)</f>
        <v>Valid</v>
      </c>
      <c r="R150" s="4">
        <v>46561</v>
      </c>
      <c r="S150" s="4" t="str">
        <f ca="1">IF(
  _xlfn.XLOOKUP($D150 &amp; "-" &amp; R$2, TrainingMan!$G:$G, TrainingMan!$F:$F, "2-Year") = "Forever",
  "Valid",
  IF(R150="", "Not Trained",
     IF(R150 &lt; TODAY() - 1, "Expired",
        IF(R150 &lt;= TODAY() + 90, "Expiring", "Valid")
     )
  )
)</f>
        <v>Valid</v>
      </c>
      <c r="T150" s="4">
        <v>46561</v>
      </c>
      <c r="U150" s="4" t="str">
        <f ca="1">IF(
  _xlfn.XLOOKUP($D150 &amp; "-" &amp; T$2, TrainingMan!$G:$G, TrainingMan!$F:$F, "2-Year") = "Forever",
  "Valid",
  IF(T150="", "Not Trained",
     IF(T150 &lt; TODAY() - 1, "Expired",
        IF(T150 &lt;= TODAY() + 90, "Expiring", "Valid")
     )
  )
)</f>
        <v>Valid</v>
      </c>
      <c r="V150" s="4">
        <v>46705</v>
      </c>
      <c r="W150" s="4" t="str">
        <f ca="1">IF(
  _xlfn.XLOOKUP($D150 &amp; "-" &amp; V$2, TrainingMan!$G:$G, TrainingMan!$F:$F, "2-Year") = "Forever",
  "Valid",
  IF(V150="", "Not Trained",
     IF(V150 &lt; TODAY() - 1, "Expired",
        IF(V150 &lt;= TODAY() + 90, "Expiring", "Valid")
     )
  )
)</f>
        <v>Valid</v>
      </c>
      <c r="X150" s="4">
        <v>46705</v>
      </c>
      <c r="Y150" s="4" t="str">
        <f ca="1">IF(
  _xlfn.XLOOKUP($D150 &amp; "-" &amp; X$2, TrainingMan!$G:$G, TrainingMan!$F:$F, "2-Year") = "Forever",
  "Valid",
  IF(X150="", "Not Trained",
     IF(X150 &lt; TODAY() - 1, "Expired",
        IF(X150 &lt;= TODAY() + 90, "Expiring", "Valid")
     )
  )
)</f>
        <v>Valid</v>
      </c>
      <c r="Z150" s="4">
        <v>45297</v>
      </c>
      <c r="AA150" s="4" t="str">
        <f ca="1">IF(LEN(TRIM(Z150)) = 0, "Not Trained",
  IF(_xlfn.XLOOKUP($D150 &amp; "-" &amp; Z$2, TrainingMan!$G:$G, TrainingMan!$F:$F, "2-Year") = "Forever", "Valid",
    IF(Z150 &lt; TODAY() - 1, "Expired",
      IF(Z150 &lt;= TODAY() + 90, "Expiring", "Valid")
    )
  )
)</f>
        <v>Valid</v>
      </c>
      <c r="AB150" s="4">
        <v>45929</v>
      </c>
      <c r="AC150" s="4">
        <v>44720</v>
      </c>
      <c r="AD150" s="4">
        <v>43560</v>
      </c>
      <c r="AE150" s="4"/>
      <c r="AF150" s="4"/>
      <c r="AG150" s="4"/>
      <c r="AH150" s="4"/>
      <c r="AI150" s="4"/>
      <c r="AJ150" s="4"/>
      <c r="AN150" s="4"/>
      <c r="AQ150" s="4"/>
      <c r="AR150" s="4"/>
      <c r="AS150" s="4"/>
      <c r="AT150" s="4"/>
      <c r="AU150" s="4"/>
      <c r="BB150" s="4"/>
      <c r="BC150" s="4"/>
      <c r="BD150" s="4" t="s">
        <v>345</v>
      </c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>
        <f>COUNTIF('TrainingReq (Ach)'!B:B,Table13[[#This Row],[Job Title]])</f>
        <v>12</v>
      </c>
      <c r="BR150" cm="1">
        <f t="array" aca="1" ref="BR15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50" s="5">
        <f t="shared" ca="1" si="6"/>
        <v>1</v>
      </c>
      <c r="BT150" t="s">
        <v>656</v>
      </c>
      <c r="BU150" t="s">
        <v>247</v>
      </c>
      <c r="BW150" s="4"/>
      <c r="CC150" t="s">
        <v>657</v>
      </c>
      <c r="CD150" s="4"/>
      <c r="CE150" s="4" t="str">
        <f ca="1">IF(
  _xlfn.XLOOKUP($D150 &amp; "-" &amp; CD$2, 'TrainingReq (Ach)'!$G:$G, 'TrainingReq (Ach)'!$F:$F, "2-Year") = "Forever",
  "Valid",
  IF(CD150="", "Not Trained",
     IF(CD150 &lt; TODAY() - 1, "Expired",
        IF(CD150 &lt;= TODAY() + 90, "Expiring", "Valid")
     )
  )
)</f>
        <v>Not Trained</v>
      </c>
      <c r="CF150" t="s">
        <v>250</v>
      </c>
      <c r="CG150" s="4">
        <v>51457</v>
      </c>
      <c r="CH150" s="4" t="str">
        <f ca="1">IF(
  _xlfn.XLOOKUP($D149 &amp; "-" &amp; CG$2, 'TrainingReq (Ach)'!$G:$G, 'TrainingReq (Ach)'!$F:$F, "2-Year") = "Forever",
  "Valid",
  IF(CG149="", "Not Trained",
     IF(CG149 &lt; TODAY() - 1, "Expired",
        IF(CG149 &lt;= TODAY() + 90, "Expiring", "Valid")
     )
  )
)</f>
        <v>Valid</v>
      </c>
      <c r="CI150" t="str">
        <f t="shared" si="7"/>
        <v>Not eligible</v>
      </c>
      <c r="CJ150" t="str">
        <f t="shared" si="8"/>
        <v>Not eligible</v>
      </c>
    </row>
    <row r="151" spans="1:88" x14ac:dyDescent="0.25">
      <c r="A151">
        <v>149</v>
      </c>
      <c r="B151">
        <v>581219</v>
      </c>
      <c r="C151" t="s">
        <v>658</v>
      </c>
      <c r="D151" t="s">
        <v>5</v>
      </c>
      <c r="E151" t="s">
        <v>659</v>
      </c>
      <c r="F151" t="s">
        <v>650</v>
      </c>
      <c r="G151" t="s">
        <v>54</v>
      </c>
      <c r="H151" s="4">
        <v>46532</v>
      </c>
      <c r="I151" s="4" t="str">
        <f ca="1">IF(
  _xlfn.XLOOKUP($D151 &amp; "-" &amp; H$2, 'TrainingReq (Ach)'!G:G, 'TrainingReq (Ach)'!F:F, "2-Year") = "Forever",
  "Valid",
  IF(H151="", "Not Trained",
     IF(H151 &lt; TODAY() - 1, "Expired",
        IF(H151 &lt;= TODAY() + 90, "Expiring", "Valid")
     )
  )
)</f>
        <v>Valid</v>
      </c>
      <c r="J151" s="4">
        <v>46532</v>
      </c>
      <c r="K151" s="4" t="str">
        <f ca="1">IF(
  _xlfn.XLOOKUP($D151 &amp; "-" &amp; J$2, 'TrainingReq (Ach)'!G:G, 'TrainingReq (Ach)'!F:F, "2-Year") = "Forever",
  "Valid",
  IF(J151="", "Not Trained",
     IF(J151 &lt; TODAY() - 1, "Expired",
        IF(J151 &lt;= TODAY() + 90, "Expiring", "Valid")
     )
  )
)</f>
        <v>Valid</v>
      </c>
      <c r="L151" s="4">
        <v>46318</v>
      </c>
      <c r="M151" s="4" t="str">
        <f ca="1">IF(
  _xlfn.XLOOKUP($D151 &amp; "-" &amp; L$2, TrainingMan!$G:$G, TrainingMan!$F:$F, "2-Year") = "Forever",
  "Valid",
  IF(L151="", "Not Trained",
     IF(L151 &lt; TODAY() - 1, "Expired",
        IF(L151 &lt;= TODAY() + 90, "Expiring", "Valid")
     )
  )
)</f>
        <v>Valid</v>
      </c>
      <c r="N151" s="4">
        <v>46318</v>
      </c>
      <c r="O151" s="4" t="str">
        <f ca="1">IF(
  _xlfn.XLOOKUP($D151 &amp; "-" &amp; N$2, TrainingMan!$G:$G, TrainingMan!$F:$F, "2-Year") = "Forever",
  "Valid",
  IF(N151="", "Not Trained",
     IF(N151 &lt; TODAY() - 1, "Expired",
        IF(N151 &lt;= TODAY() + 90, "Expiring", "Valid")
     )
  )
)</f>
        <v>Valid</v>
      </c>
      <c r="P151" s="4">
        <v>46318</v>
      </c>
      <c r="Q151" s="4" t="str">
        <f ca="1">IF(
  _xlfn.XLOOKUP($D151 &amp; "-" &amp; P$2, TrainingMan!$G:$G, TrainingMan!$F:$F, "2-Year") = "Forever",
  "Valid",
  IF(P151="", "Not Trained",
     IF(P151 &lt; TODAY() - 1, "Expired",
        IF(P151 &lt;= TODAY() + 90, "Expiring", "Valid")
     )
  )
)</f>
        <v>Valid</v>
      </c>
      <c r="R151" s="4">
        <v>46318</v>
      </c>
      <c r="S151" s="4" t="str">
        <f ca="1">IF(
  _xlfn.XLOOKUP($D151 &amp; "-" &amp; R$2, TrainingMan!$G:$G, TrainingMan!$F:$F, "2-Year") = "Forever",
  "Valid",
  IF(R151="", "Not Trained",
     IF(R151 &lt; TODAY() - 1, "Expired",
        IF(R151 &lt;= TODAY() + 90, "Expiring", "Valid")
     )
  )
)</f>
        <v>Valid</v>
      </c>
      <c r="T151" s="4">
        <v>45842</v>
      </c>
      <c r="U151" s="4" t="str">
        <f ca="1">IF(
  _xlfn.XLOOKUP($D151 &amp; "-" &amp; T$2, TrainingMan!$G:$G, TrainingMan!$F:$F, "2-Year") = "Forever",
  "Valid",
  IF(T151="", "Not Trained",
     IF(T151 &lt; TODAY() - 1, "Expired",
        IF(T151 &lt;= TODAY() + 90, "Expiring", "Valid")
     )
  )
)</f>
        <v>Valid</v>
      </c>
      <c r="V151" s="4">
        <v>46318</v>
      </c>
      <c r="W151" s="4" t="str">
        <f ca="1">IF(
  _xlfn.XLOOKUP($D151 &amp; "-" &amp; V$2, TrainingMan!$G:$G, TrainingMan!$F:$F, "2-Year") = "Forever",
  "Valid",
  IF(V151="", "Not Trained",
     IF(V151 &lt; TODAY() - 1, "Expired",
        IF(V151 &lt;= TODAY() + 90, "Expiring", "Valid")
     )
  )
)</f>
        <v>Valid</v>
      </c>
      <c r="X151" s="4">
        <v>46408</v>
      </c>
      <c r="Y151" s="4" t="str">
        <f ca="1">IF(
  _xlfn.XLOOKUP($D151 &amp; "-" &amp; X$2, TrainingMan!$G:$G, TrainingMan!$F:$F, "2-Year") = "Forever",
  "Valid",
  IF(X151="", "Not Trained",
     IF(X151 &lt; TODAY() - 1, "Expired",
        IF(X151 &lt;= TODAY() + 90, "Expiring", "Valid")
     )
  )
)</f>
        <v>Valid</v>
      </c>
      <c r="Z151" s="4">
        <v>45536</v>
      </c>
      <c r="AA151" s="4" t="str">
        <f ca="1">IF(LEN(TRIM(Z151)) = 0, "Not Trained",
  IF(_xlfn.XLOOKUP($D151 &amp; "-" &amp; Z$2, TrainingMan!$G:$G, TrainingMan!$F:$F, "2-Year") = "Forever", "Valid",
    IF(Z151 &lt; TODAY() - 1, "Expired",
      IF(Z151 &lt;= TODAY() + 90, "Expiring", "Valid")
    )
  )
)</f>
        <v>Valid</v>
      </c>
      <c r="AB151" s="4"/>
      <c r="AC151" s="4">
        <v>43380</v>
      </c>
      <c r="AD151" s="4">
        <v>44909</v>
      </c>
      <c r="AE151" s="4"/>
      <c r="AF151" s="4">
        <v>44854</v>
      </c>
      <c r="AG151" s="4">
        <v>42514</v>
      </c>
      <c r="AH151" s="4"/>
      <c r="AI151" s="4"/>
      <c r="AJ151" s="4">
        <v>42690</v>
      </c>
      <c r="AN151" s="4" t="s">
        <v>660</v>
      </c>
      <c r="AQ151" s="4"/>
      <c r="AR151" s="4"/>
      <c r="AS151" s="4"/>
      <c r="AT151" s="4"/>
      <c r="AU151" s="4"/>
      <c r="BB151" s="4"/>
      <c r="BC151" s="4"/>
      <c r="BD151" s="4" t="s">
        <v>661</v>
      </c>
      <c r="BE151" s="4"/>
      <c r="BF151" s="4"/>
      <c r="BG151" s="4">
        <v>42417</v>
      </c>
      <c r="BH151" s="4"/>
      <c r="BI151" s="4"/>
      <c r="BJ151" s="4"/>
      <c r="BK151" s="4"/>
      <c r="BL151" s="4"/>
      <c r="BM151" s="4"/>
      <c r="BN151" s="4"/>
      <c r="BO151" s="4"/>
      <c r="BP151" s="4"/>
      <c r="BQ151">
        <f>COUNTIF('TrainingReq (Ach)'!B:B,Table13[[#This Row],[Job Title]])</f>
        <v>14</v>
      </c>
      <c r="BR151" cm="1">
        <f t="array" aca="1" ref="BR15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51" s="5">
        <f t="shared" ca="1" si="6"/>
        <v>1</v>
      </c>
      <c r="BT151" t="s">
        <v>662</v>
      </c>
      <c r="BU151" t="s">
        <v>247</v>
      </c>
      <c r="BW151" s="4"/>
      <c r="CC151" t="s">
        <v>663</v>
      </c>
      <c r="CD151" s="4"/>
      <c r="CE151" s="4" t="str">
        <f ca="1">IF(
  _xlfn.XLOOKUP($D151 &amp; "-" &amp; CD$2, 'TrainingReq (Ach)'!$G:$G, 'TrainingReq (Ach)'!$F:$F, "2-Year") = "Forever",
  "Valid",
  IF(CD151="", "Not Trained",
     IF(CD151 &lt; TODAY() - 1, "Expired",
        IF(CD151 &lt;= TODAY() + 90, "Expiring", "Valid")
     )
  )
)</f>
        <v>Not Trained</v>
      </c>
      <c r="CF151" t="s">
        <v>250</v>
      </c>
      <c r="CG151" s="4">
        <v>54302</v>
      </c>
      <c r="CH151" s="4" t="str">
        <f ca="1">IF(
  _xlfn.XLOOKUP($D150 &amp; "-" &amp; CG$2, 'TrainingReq (Ach)'!$G:$G, 'TrainingReq (Ach)'!$F:$F, "2-Year") = "Forever",
  "Valid",
  IF(CG150="", "Not Trained",
     IF(CG150 &lt; TODAY() - 1, "Expired",
        IF(CG150 &lt;= TODAY() + 90, "Expiring", "Valid")
     )
  )
)</f>
        <v>Valid</v>
      </c>
      <c r="CI151" t="str">
        <f t="shared" si="7"/>
        <v>Not eligible</v>
      </c>
      <c r="CJ151" t="str">
        <f t="shared" si="8"/>
        <v>Not eligible</v>
      </c>
    </row>
    <row r="152" spans="1:88" x14ac:dyDescent="0.25">
      <c r="A152">
        <v>150</v>
      </c>
      <c r="B152">
        <v>527717</v>
      </c>
      <c r="C152" t="s">
        <v>664</v>
      </c>
      <c r="D152" t="s">
        <v>13</v>
      </c>
      <c r="E152" t="s">
        <v>665</v>
      </c>
      <c r="F152" t="s">
        <v>650</v>
      </c>
      <c r="G152" t="s">
        <v>54</v>
      </c>
      <c r="H152" s="4">
        <v>46514</v>
      </c>
      <c r="I152" s="4" t="str">
        <f ca="1">IF(
  _xlfn.XLOOKUP($D152 &amp; "-" &amp; H$2, 'TrainingReq (Ach)'!G:G, 'TrainingReq (Ach)'!F:F, "2-Year") = "Forever",
  "Valid",
  IF(H152="", "Not Trained",
     IF(H152 &lt; TODAY() - 1, "Expired",
        IF(H152 &lt;= TODAY() + 90, "Expiring", "Valid")
     )
  )
)</f>
        <v>Valid</v>
      </c>
      <c r="J152" s="4">
        <v>46514</v>
      </c>
      <c r="K152" s="4" t="str">
        <f ca="1">IF(
  _xlfn.XLOOKUP($D152 &amp; "-" &amp; J$2, 'TrainingReq (Ach)'!G:G, 'TrainingReq (Ach)'!F:F, "2-Year") = "Forever",
  "Valid",
  IF(J152="", "Not Trained",
     IF(J152 &lt; TODAY() - 1, "Expired",
        IF(J152 &lt;= TODAY() + 90, "Expiring", "Valid")
     )
  )
)</f>
        <v>Valid</v>
      </c>
      <c r="L152" s="4">
        <v>45841</v>
      </c>
      <c r="M152" s="4" t="str">
        <f ca="1">IF(
  _xlfn.XLOOKUP($D152 &amp; "-" &amp; L$2, TrainingMan!$G:$G, TrainingMan!$F:$F, "2-Year") = "Forever",
  "Valid",
  IF(L152="", "Not Trained",
     IF(L152 &lt; TODAY() - 1, "Expired",
        IF(L152 &lt;= TODAY() + 90, "Expiring", "Valid")
     )
  )
)</f>
        <v>Valid</v>
      </c>
      <c r="N152" s="4">
        <v>46301</v>
      </c>
      <c r="O152" s="4" t="str">
        <f ca="1">IF(
  _xlfn.XLOOKUP($D152 &amp; "-" &amp; N$2, TrainingMan!$G:$G, TrainingMan!$F:$F, "2-Year") = "Forever",
  "Valid",
  IF(N152="", "Not Trained",
     IF(N152 &lt; TODAY() - 1, "Expired",
        IF(N152 &lt;= TODAY() + 90, "Expiring", "Valid")
     )
  )
)</f>
        <v>Valid</v>
      </c>
      <c r="P152" s="4">
        <v>46301</v>
      </c>
      <c r="Q152" s="4" t="str">
        <f ca="1">IF(
  _xlfn.XLOOKUP($D152 &amp; "-" &amp; P$2, TrainingMan!$G:$G, TrainingMan!$F:$F, "2-Year") = "Forever",
  "Valid",
  IF(P152="", "Not Trained",
     IF(P152 &lt; TODAY() - 1, "Expired",
        IF(P152 &lt;= TODAY() + 90, "Expiring", "Valid")
     )
  )
)</f>
        <v>Valid</v>
      </c>
      <c r="R152" s="4">
        <v>46301</v>
      </c>
      <c r="S152" s="4" t="str">
        <f ca="1">IF(
  _xlfn.XLOOKUP($D152 &amp; "-" &amp; R$2, TrainingMan!$G:$G, TrainingMan!$F:$F, "2-Year") = "Forever",
  "Valid",
  IF(R152="", "Not Trained",
     IF(R152 &lt; TODAY() - 1, "Expired",
        IF(R152 &lt;= TODAY() + 90, "Expiring", "Valid")
     )
  )
)</f>
        <v>Valid</v>
      </c>
      <c r="T152" s="4">
        <v>46301</v>
      </c>
      <c r="U152" s="4" t="str">
        <f ca="1">IF(
  _xlfn.XLOOKUP($D152 &amp; "-" &amp; T$2, TrainingMan!$G:$G, TrainingMan!$F:$F, "2-Year") = "Forever",
  "Valid",
  IF(T152="", "Not Trained",
     IF(T152 &lt; TODAY() - 1, "Expired",
        IF(T152 &lt;= TODAY() + 90, "Expiring", "Valid")
     )
  )
)</f>
        <v>Valid</v>
      </c>
      <c r="V152" s="4">
        <v>45841</v>
      </c>
      <c r="W152" s="4" t="str">
        <f ca="1">IF(
  _xlfn.XLOOKUP($D152 &amp; "-" &amp; V$2, TrainingMan!$G:$G, TrainingMan!$F:$F, "2-Year") = "Forever",
  "Valid",
  IF(V152="", "Not Trained",
     IF(V152 &lt; TODAY() - 1, "Expired",
        IF(V152 &lt;= TODAY() + 90, "Expiring", "Valid")
     )
  )
)</f>
        <v>Valid</v>
      </c>
      <c r="X152" s="4">
        <v>45960</v>
      </c>
      <c r="Y152" s="4" t="str">
        <f ca="1">IF(
  _xlfn.XLOOKUP($D152 &amp; "-" &amp; X$2, TrainingMan!$G:$G, TrainingMan!$F:$F, "2-Year") = "Forever",
  "Valid",
  IF(X152="", "Not Trained",
     IF(X152 &lt; TODAY() - 1, "Expired",
        IF(X152 &lt;= TODAY() + 90, "Expiring", "Valid")
     )
  )
)</f>
        <v>Valid</v>
      </c>
      <c r="Z152" s="4">
        <v>45032</v>
      </c>
      <c r="AA152" s="4" t="str">
        <f ca="1">IF(LEN(TRIM(Z152)) = 0, "Not Trained",
  IF(_xlfn.XLOOKUP($D152 &amp; "-" &amp; Z$2, TrainingMan!$G:$G, TrainingMan!$F:$F, "2-Year") = "Forever", "Valid",
    IF(Z152 &lt; TODAY() - 1, "Expired",
      IF(Z152 &lt;= TODAY() + 90, "Expiring", "Valid")
    )
  )
)</f>
        <v>Valid</v>
      </c>
      <c r="AB152" s="4"/>
      <c r="AC152" s="4">
        <v>45451</v>
      </c>
      <c r="AD152" s="4">
        <v>45896</v>
      </c>
      <c r="AE152" s="4"/>
      <c r="AF152" s="4"/>
      <c r="AG152" s="4">
        <v>43760</v>
      </c>
      <c r="AH152" s="4"/>
      <c r="AI152" s="4"/>
      <c r="AJ152" s="4"/>
      <c r="AN152" s="4"/>
      <c r="AQ152" s="4">
        <v>43308</v>
      </c>
      <c r="AR152" s="4"/>
      <c r="AS152" s="4"/>
      <c r="AT152" s="4">
        <v>45994</v>
      </c>
      <c r="AU152" s="4"/>
      <c r="BB152" s="4"/>
      <c r="BC152" s="4"/>
      <c r="BD152" s="4" t="s">
        <v>666</v>
      </c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>
        <f>COUNTIF('TrainingReq (Ach)'!B:B,Table13[[#This Row],[Job Title]])</f>
        <v>13</v>
      </c>
      <c r="BR152" cm="1">
        <f t="array" aca="1" ref="BR15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52" s="5">
        <f t="shared" ca="1" si="6"/>
        <v>1</v>
      </c>
      <c r="BT152" t="s">
        <v>662</v>
      </c>
      <c r="BU152" t="s">
        <v>247</v>
      </c>
      <c r="BW152" s="4"/>
      <c r="CD152" s="4"/>
      <c r="CE152" s="4" t="str">
        <f ca="1">IF(
  _xlfn.XLOOKUP($D152 &amp; "-" &amp; CD$2, 'TrainingReq (Ach)'!$G:$G, 'TrainingReq (Ach)'!$F:$F, "2-Year") = "Forever",
  "Valid",
  IF(CD152="", "Not Trained",
     IF(CD152 &lt; TODAY() - 1, "Expired",
        IF(CD152 &lt;= TODAY() + 90, "Expiring", "Valid")
     )
  )
)</f>
        <v>Not Trained</v>
      </c>
      <c r="CF152" t="s">
        <v>250</v>
      </c>
      <c r="CG152" s="4"/>
      <c r="CH152" s="4" t="str">
        <f ca="1">IF(
  _xlfn.XLOOKUP($D151 &amp; "-" &amp; CG$2, 'TrainingReq (Ach)'!$G:$G, 'TrainingReq (Ach)'!$F:$F, "2-Year") = "Forever",
  "Valid",
  IF(CG151="", "Not Trained",
     IF(CG151 &lt; TODAY() - 1, "Expired",
        IF(CG151 &lt;= TODAY() + 90, "Expiring", "Valid")
     )
  )
)</f>
        <v>Valid</v>
      </c>
      <c r="CI152" t="str">
        <f t="shared" si="7"/>
        <v>Not eligible</v>
      </c>
      <c r="CJ152" t="str">
        <f t="shared" si="8"/>
        <v>Not eligible</v>
      </c>
    </row>
    <row r="153" spans="1:88" x14ac:dyDescent="0.25">
      <c r="A153">
        <v>151</v>
      </c>
      <c r="B153">
        <v>533503</v>
      </c>
      <c r="C153" t="s">
        <v>667</v>
      </c>
      <c r="D153" t="s">
        <v>6</v>
      </c>
      <c r="E153" t="s">
        <v>243</v>
      </c>
      <c r="F153" t="s">
        <v>650</v>
      </c>
      <c r="G153" t="s">
        <v>54</v>
      </c>
      <c r="H153" s="4">
        <v>46777</v>
      </c>
      <c r="I153" s="4" t="str">
        <f ca="1">IF(
  _xlfn.XLOOKUP($D153 &amp; "-" &amp; H$2, 'TrainingReq (Ach)'!G:G, 'TrainingReq (Ach)'!F:F, "2-Year") = "Forever",
  "Valid",
  IF(H153="", "Not Trained",
     IF(H153 &lt; TODAY() - 1, "Expired",
        IF(H153 &lt;= TODAY() + 90, "Expiring", "Valid")
     )
  )
)</f>
        <v>Valid</v>
      </c>
      <c r="J153" s="4">
        <v>46777</v>
      </c>
      <c r="K153" s="4" t="str">
        <f ca="1">IF(
  _xlfn.XLOOKUP($D153 &amp; "-" &amp; J$2, 'TrainingReq (Ach)'!G:G, 'TrainingReq (Ach)'!F:F, "2-Year") = "Forever",
  "Valid",
  IF(J153="", "Not Trained",
     IF(J153 &lt; TODAY() - 1, "Expired",
        IF(J153 &lt;= TODAY() + 90, "Expiring", "Valid")
     )
  )
)</f>
        <v>Valid</v>
      </c>
      <c r="L153" s="4">
        <v>46793</v>
      </c>
      <c r="M153" s="4" t="str">
        <f ca="1">IF(
  _xlfn.XLOOKUP($D153 &amp; "-" &amp; L$2, TrainingMan!$G:$G, TrainingMan!$F:$F, "2-Year") = "Forever",
  "Valid",
  IF(L153="", "Not Trained",
     IF(L153 &lt; TODAY() - 1, "Expired",
        IF(L153 &lt;= TODAY() + 90, "Expiring", "Valid")
     )
  )
)</f>
        <v>Valid</v>
      </c>
      <c r="N153" s="4">
        <v>46793</v>
      </c>
      <c r="O153" s="4" t="str">
        <f ca="1">IF(
  _xlfn.XLOOKUP($D153 &amp; "-" &amp; N$2, TrainingMan!$G:$G, TrainingMan!$F:$F, "2-Year") = "Forever",
  "Valid",
  IF(N153="", "Not Trained",
     IF(N153 &lt; TODAY() - 1, "Expired",
        IF(N153 &lt;= TODAY() + 90, "Expiring", "Valid")
     )
  )
)</f>
        <v>Valid</v>
      </c>
      <c r="P153" s="4">
        <v>46793</v>
      </c>
      <c r="Q153" s="4" t="str">
        <f ca="1">IF(
  _xlfn.XLOOKUP($D153 &amp; "-" &amp; P$2, TrainingMan!$G:$G, TrainingMan!$F:$F, "2-Year") = "Forever",
  "Valid",
  IF(P153="", "Not Trained",
     IF(P153 &lt; TODAY() - 1, "Expired",
        IF(P153 &lt;= TODAY() + 90, "Expiring", "Valid")
     )
  )
)</f>
        <v>Valid</v>
      </c>
      <c r="R153" s="4">
        <v>46793</v>
      </c>
      <c r="S153" s="4" t="str">
        <f ca="1">IF(
  _xlfn.XLOOKUP($D153 &amp; "-" &amp; R$2, TrainingMan!$G:$G, TrainingMan!$F:$F, "2-Year") = "Forever",
  "Valid",
  IF(R153="", "Not Trained",
     IF(R153 &lt; TODAY() - 1, "Expired",
        IF(R153 &lt;= TODAY() + 90, "Expiring", "Valid")
     )
  )
)</f>
        <v>Valid</v>
      </c>
      <c r="T153" s="4">
        <v>46793</v>
      </c>
      <c r="U153" s="4" t="str">
        <f ca="1">IF(
  _xlfn.XLOOKUP($D153 &amp; "-" &amp; T$2, TrainingMan!$G:$G, TrainingMan!$F:$F, "2-Year") = "Forever",
  "Valid",
  IF(T153="", "Not Trained",
     IF(T153 &lt; TODAY() - 1, "Expired",
        IF(T153 &lt;= TODAY() + 90, "Expiring", "Valid")
     )
  )
)</f>
        <v>Valid</v>
      </c>
      <c r="V153" s="4">
        <v>46793</v>
      </c>
      <c r="W153" s="4" t="str">
        <f ca="1">IF(
  _xlfn.XLOOKUP($D153 &amp; "-" &amp; V$2, TrainingMan!$G:$G, TrainingMan!$F:$F, "2-Year") = "Forever",
  "Valid",
  IF(V153="", "Not Trained",
     IF(V153 &lt; TODAY() - 1, "Expired",
        IF(V153 &lt;= TODAY() + 90, "Expiring", "Valid")
     )
  )
)</f>
        <v>Valid</v>
      </c>
      <c r="X153" s="4">
        <v>46793</v>
      </c>
      <c r="Y153" s="4" t="str">
        <f ca="1">IF(
  _xlfn.XLOOKUP($D153 &amp; "-" &amp; X$2, TrainingMan!$G:$G, TrainingMan!$F:$F, "2-Year") = "Forever",
  "Valid",
  IF(X153="", "Not Trained",
     IF(X153 &lt; TODAY() - 1, "Expired",
        IF(X153 &lt;= TODAY() + 90, "Expiring", "Valid")
     )
  )
)</f>
        <v>Valid</v>
      </c>
      <c r="Z153" s="4">
        <v>45380</v>
      </c>
      <c r="AA153" s="4" t="str">
        <f ca="1">IF(LEN(TRIM(Z153)) = 0, "Not Trained",
  IF(_xlfn.XLOOKUP($D153 &amp; "-" &amp; Z$2, TrainingMan!$G:$G, TrainingMan!$F:$F, "2-Year") = "Forever", "Valid",
    IF(Z153 &lt; TODAY() - 1, "Expired",
      IF(Z153 &lt;= TODAY() + 90, "Expiring", "Valid")
    )
  )
)</f>
        <v>Valid</v>
      </c>
      <c r="AB153" s="4">
        <v>40843</v>
      </c>
      <c r="AC153" s="4">
        <v>45845</v>
      </c>
      <c r="AD153" s="4">
        <v>43812</v>
      </c>
      <c r="AE153" s="4"/>
      <c r="AF153" s="4">
        <v>45824</v>
      </c>
      <c r="AG153" s="4">
        <v>45545</v>
      </c>
      <c r="AH153" s="4"/>
      <c r="AI153" s="4"/>
      <c r="AJ153" s="4"/>
      <c r="AN153" s="4"/>
      <c r="AQ153" s="4"/>
      <c r="AR153" s="4"/>
      <c r="AS153" s="4"/>
      <c r="AT153" s="4"/>
      <c r="AU153" s="4"/>
      <c r="BB153" s="4">
        <v>45922</v>
      </c>
      <c r="BC153" s="4" t="s">
        <v>668</v>
      </c>
      <c r="BD153" s="4" t="s">
        <v>393</v>
      </c>
      <c r="BE153" s="4"/>
      <c r="BF153" s="4"/>
      <c r="BG153" s="4"/>
      <c r="BH153" s="4"/>
      <c r="BI153" s="4">
        <v>42816</v>
      </c>
      <c r="BJ153" s="4" t="s">
        <v>140</v>
      </c>
      <c r="BK153" s="4"/>
      <c r="BL153" s="4"/>
      <c r="BM153" s="4"/>
      <c r="BN153" s="4"/>
      <c r="BO153" s="4"/>
      <c r="BP153" s="4"/>
      <c r="BQ153">
        <f>COUNTIF('TrainingReq (Ach)'!B:B,Table13[[#This Row],[Job Title]])</f>
        <v>15</v>
      </c>
      <c r="BR153" cm="1">
        <f t="array" aca="1" ref="BR15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53" s="5">
        <f t="shared" ca="1" si="6"/>
        <v>1</v>
      </c>
      <c r="BT153" t="s">
        <v>438</v>
      </c>
      <c r="BU153" t="s">
        <v>247</v>
      </c>
      <c r="BV153" t="s">
        <v>270</v>
      </c>
      <c r="BW153" s="4" t="s">
        <v>140</v>
      </c>
      <c r="BZ153" t="s">
        <v>669</v>
      </c>
      <c r="CA153">
        <v>1</v>
      </c>
      <c r="CC153" t="s">
        <v>670</v>
      </c>
      <c r="CD153" s="4">
        <v>46850</v>
      </c>
      <c r="CE153" s="4" t="str">
        <f ca="1">IF(
  _xlfn.XLOOKUP($D153 &amp; "-" &amp; CD$2, 'TrainingReq (Ach)'!$G:$G, 'TrainingReq (Ach)'!$F:$F, "2-Year") = "Forever",
  "Valid",
  IF(CD153="", "Not Trained",
     IF(CD153 &lt; TODAY() - 1, "Expired",
        IF(CD153 &lt;= TODAY() + 90, "Expiring", "Valid")
     )
  )
)</f>
        <v>Valid</v>
      </c>
      <c r="CF153" t="s">
        <v>250</v>
      </c>
      <c r="CG153" s="4">
        <v>53767</v>
      </c>
      <c r="CH153" s="4" t="e">
        <f ca="1">IF(
  _xlfn.XLOOKUP(#REF! &amp; "-" &amp; CG$2, 'TrainingReq (Ach)'!$G:$G, 'TrainingReq (Ach)'!$F:$F, "2-Year") = "Forever",
  "Valid",
  IF(#REF!="", "Not Trained",
     IF(#REF! &lt; TODAY() - 1, "Expired",
        IF(#REF! &lt;= TODAY() + 90, "Expiring", "Valid")
     )
  )
)</f>
        <v>#REF!</v>
      </c>
      <c r="CI153" t="str">
        <f t="shared" si="7"/>
        <v>Eligible</v>
      </c>
      <c r="CJ153" t="str">
        <f t="shared" si="8"/>
        <v>Not eligible</v>
      </c>
    </row>
    <row r="154" spans="1:88" x14ac:dyDescent="0.25">
      <c r="A154">
        <v>152</v>
      </c>
      <c r="B154">
        <v>580647</v>
      </c>
      <c r="C154" t="s">
        <v>671</v>
      </c>
      <c r="D154" t="s">
        <v>22</v>
      </c>
      <c r="E154" t="s">
        <v>285</v>
      </c>
      <c r="F154" t="s">
        <v>650</v>
      </c>
      <c r="G154" t="s">
        <v>54</v>
      </c>
      <c r="H154" s="4">
        <v>46794</v>
      </c>
      <c r="I154" s="4" t="str">
        <f ca="1">IF(
  _xlfn.XLOOKUP($D154 &amp; "-" &amp; H$2, 'TrainingReq (Ach)'!G:G, 'TrainingReq (Ach)'!F:F, "2-Year") = "Forever",
  "Valid",
  IF(H154="", "Not Trained",
     IF(H154 &lt; TODAY() - 1, "Expired",
        IF(H154 &lt;= TODAY() + 90, "Expiring", "Valid")
     )
  )
)</f>
        <v>Valid</v>
      </c>
      <c r="J154" s="4">
        <v>46794</v>
      </c>
      <c r="K154" s="4" t="str">
        <f ca="1">IF(
  _xlfn.XLOOKUP($D154 &amp; "-" &amp; J$2, 'TrainingReq (Ach)'!G:G, 'TrainingReq (Ach)'!F:F, "2-Year") = "Forever",
  "Valid",
  IF(J154="", "Not Trained",
     IF(J154 &lt; TODAY() - 1, "Expired",
        IF(J154 &lt;= TODAY() + 90, "Expiring", "Valid")
     )
  )
)</f>
        <v>Valid</v>
      </c>
      <c r="L154" s="4">
        <v>45587</v>
      </c>
      <c r="M154" s="4" t="str">
        <f ca="1">IF(
  _xlfn.XLOOKUP($D154 &amp; "-" &amp; L$2, TrainingMan!$G:$G, TrainingMan!$F:$F, "2-Year") = "Forever",
  "Valid",
  IF(L154="", "Not Trained",
     IF(L154 &lt; TODAY() - 1, "Expired",
        IF(L154 &lt;= TODAY() + 90, "Expiring", "Valid")
     )
  )
)</f>
        <v>Valid</v>
      </c>
      <c r="N154" s="4">
        <v>46550</v>
      </c>
      <c r="O154" s="4" t="str">
        <f ca="1">IF(
  _xlfn.XLOOKUP($D154 &amp; "-" &amp; N$2, TrainingMan!$G:$G, TrainingMan!$F:$F, "2-Year") = "Forever",
  "Valid",
  IF(N154="", "Not Trained",
     IF(N154 &lt; TODAY() - 1, "Expired",
        IF(N154 &lt;= TODAY() + 90, "Expiring", "Valid")
     )
  )
)</f>
        <v>Valid</v>
      </c>
      <c r="P154" s="4">
        <v>46550</v>
      </c>
      <c r="Q154" s="4" t="str">
        <f ca="1">IF(
  _xlfn.XLOOKUP($D154 &amp; "-" &amp; P$2, TrainingMan!$G:$G, TrainingMan!$F:$F, "2-Year") = "Forever",
  "Valid",
  IF(P154="", "Not Trained",
     IF(P154 &lt; TODAY() - 1, "Expired",
        IF(P154 &lt;= TODAY() + 90, "Expiring", "Valid")
     )
  )
)</f>
        <v>Valid</v>
      </c>
      <c r="R154" s="4">
        <v>46550</v>
      </c>
      <c r="S154" s="4" t="str">
        <f ca="1">IF(
  _xlfn.XLOOKUP($D154 &amp; "-" &amp; R$2, TrainingMan!$G:$G, TrainingMan!$F:$F, "2-Year") = "Forever",
  "Valid",
  IF(R154="", "Not Trained",
     IF(R154 &lt; TODAY() - 1, "Expired",
        IF(R154 &lt;= TODAY() + 90, "Expiring", "Valid")
     )
  )
)</f>
        <v>Valid</v>
      </c>
      <c r="T154" s="4">
        <v>46550</v>
      </c>
      <c r="U154" s="4" t="str">
        <f ca="1">IF(
  _xlfn.XLOOKUP($D154 &amp; "-" &amp; T$2, TrainingMan!$G:$G, TrainingMan!$F:$F, "2-Year") = "Forever",
  "Valid",
  IF(T154="", "Not Trained",
     IF(T154 &lt; TODAY() - 1, "Expired",
        IF(T154 &lt;= TODAY() + 90, "Expiring", "Valid")
     )
  )
)</f>
        <v>Valid</v>
      </c>
      <c r="V154" s="4">
        <v>45229</v>
      </c>
      <c r="W154" s="4" t="str">
        <f ca="1">IF(
  _xlfn.XLOOKUP($D154 &amp; "-" &amp; V$2, TrainingMan!$G:$G, TrainingMan!$F:$F, "2-Year") = "Forever",
  "Valid",
  IF(V154="", "Not Trained",
     IF(V154 &lt; TODAY() - 1, "Expired",
        IF(V154 &lt;= TODAY() + 90, "Expiring", "Valid")
     )
  )
)</f>
        <v>Valid</v>
      </c>
      <c r="X154" s="4">
        <v>45229</v>
      </c>
      <c r="Y154" s="4" t="str">
        <f ca="1">IF(
  _xlfn.XLOOKUP($D154 &amp; "-" &amp; X$2, TrainingMan!$G:$G, TrainingMan!$F:$F, "2-Year") = "Forever",
  "Valid",
  IF(X154="", "Not Trained",
     IF(X154 &lt; TODAY() - 1, "Expired",
        IF(X154 &lt;= TODAY() + 90, "Expiring", "Valid")
     )
  )
)</f>
        <v>Valid</v>
      </c>
      <c r="Z154" s="4">
        <v>44084</v>
      </c>
      <c r="AA154" s="4" t="str">
        <f ca="1">IF(LEN(TRIM(Z154)) = 0, "Not Trained",
  IF(_xlfn.XLOOKUP($D154 &amp; "-" &amp; Z$2, TrainingMan!$G:$G, TrainingMan!$F:$F, "2-Year") = "Forever", "Valid",
    IF(Z154 &lt; TODAY() - 1, "Expired",
      IF(Z154 &lt;= TODAY() + 90, "Expiring", "Valid")
    )
  )
)</f>
        <v>Valid</v>
      </c>
      <c r="AB154" s="4"/>
      <c r="AC154" s="4">
        <v>42419</v>
      </c>
      <c r="AD154" s="4">
        <v>43118</v>
      </c>
      <c r="AE154" s="4"/>
      <c r="AF154" s="4"/>
      <c r="AG154" s="4">
        <v>43088</v>
      </c>
      <c r="AH154" s="4"/>
      <c r="AI154" s="4"/>
      <c r="AJ154" s="4"/>
      <c r="AN154" s="4" t="s">
        <v>483</v>
      </c>
      <c r="AP154" s="4">
        <v>45863</v>
      </c>
      <c r="AQ154" s="4">
        <v>45108</v>
      </c>
      <c r="AR154" s="4">
        <v>44856</v>
      </c>
      <c r="AS154" s="4">
        <v>44737</v>
      </c>
      <c r="AT154" s="4" t="s">
        <v>672</v>
      </c>
      <c r="AU154" s="4"/>
      <c r="BB154" s="4"/>
      <c r="BC154" s="4"/>
      <c r="BD154" s="4" t="s">
        <v>673</v>
      </c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>
        <f>COUNTIF('TrainingReq (Ach)'!B:B,Table13[[#This Row],[Job Title]])</f>
        <v>14</v>
      </c>
      <c r="BR154" cm="1">
        <f t="array" aca="1" ref="BR15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54" s="5">
        <f t="shared" ca="1" si="6"/>
        <v>1</v>
      </c>
      <c r="BT154" t="s">
        <v>246</v>
      </c>
      <c r="BU154" t="s">
        <v>238</v>
      </c>
      <c r="BW154" s="4"/>
      <c r="CD154" s="4"/>
      <c r="CE154" s="4" t="str">
        <f ca="1">IF(
  _xlfn.XLOOKUP($D154 &amp; "-" &amp; CD$2, 'TrainingReq (Ach)'!$G:$G, 'TrainingReq (Ach)'!$F:$F, "2-Year") = "Forever",
  "Valid",
  IF(CD154="", "Not Trained",
     IF(CD154 &lt; TODAY() - 1, "Expired",
        IF(CD154 &lt;= TODAY() + 90, "Expiring", "Valid")
     )
  )
)</f>
        <v>Not Trained</v>
      </c>
      <c r="CF154" t="s">
        <v>250</v>
      </c>
      <c r="CG154" s="4"/>
      <c r="CH154" s="4" t="str">
        <f ca="1">IF(
  _xlfn.XLOOKUP($D153 &amp; "-" &amp; CG$2, 'TrainingReq (Ach)'!$G:$G, 'TrainingReq (Ach)'!$F:$F, "2-Year") = "Forever",
  "Valid",
  IF(CG153="", "Not Trained",
     IF(CG153 &lt; TODAY() - 1, "Expired",
        IF(CG153 &lt;= TODAY() + 90, "Expiring", "Valid")
     )
  )
)</f>
        <v>Valid</v>
      </c>
      <c r="CI154" t="str">
        <f t="shared" si="7"/>
        <v>Not eligible</v>
      </c>
      <c r="CJ154" t="str">
        <f t="shared" si="8"/>
        <v>Not eligible</v>
      </c>
    </row>
    <row r="155" spans="1:88" x14ac:dyDescent="0.25">
      <c r="A155">
        <v>153</v>
      </c>
      <c r="B155">
        <v>783229</v>
      </c>
      <c r="C155" t="s">
        <v>674</v>
      </c>
      <c r="D155" t="s">
        <v>23</v>
      </c>
      <c r="E155" t="s">
        <v>303</v>
      </c>
      <c r="F155" t="s">
        <v>650</v>
      </c>
      <c r="G155" t="s">
        <v>54</v>
      </c>
      <c r="H155" s="4">
        <v>46788</v>
      </c>
      <c r="I155" s="4" t="str">
        <f ca="1">IF(
  _xlfn.XLOOKUP($D155 &amp; "-" &amp; H$2, 'TrainingReq (Ach)'!G:G, 'TrainingReq (Ach)'!F:F, "2-Year") = "Forever",
  "Valid",
  IF(H155="", "Not Trained",
     IF(H155 &lt; TODAY() - 1, "Expired",
        IF(H155 &lt;= TODAY() + 90, "Expiring", "Valid")
     )
  )
)</f>
        <v>Valid</v>
      </c>
      <c r="J155" s="4">
        <v>46800</v>
      </c>
      <c r="K155" s="4" t="str">
        <f ca="1">IF(
  _xlfn.XLOOKUP($D155 &amp; "-" &amp; J$2, 'TrainingReq (Ach)'!G:G, 'TrainingReq (Ach)'!F:F, "2-Year") = "Forever",
  "Valid",
  IF(J155="", "Not Trained",
     IF(J155 &lt; TODAY() - 1, "Expired",
        IF(J155 &lt;= TODAY() + 90, "Expiring", "Valid")
     )
  )
)</f>
        <v>Valid</v>
      </c>
      <c r="L155" s="4">
        <f>Table13[[#This Row],[Mandatory for Supporting]]</f>
        <v>45476</v>
      </c>
      <c r="M155" s="4" t="str">
        <f ca="1">IF(
  _xlfn.XLOOKUP($D155 &amp; "-" &amp; L$2, TrainingMan!$G:$G, TrainingMan!$F:$F, "2-Year") = "Forever",
  "Valid",
  IF(L155="", "Not Trained",
     IF(L155 &lt; TODAY() - 1, "Expired",
        IF(L155 &lt;= TODAY() + 90, "Expiring", "Valid")
     )
  )
)</f>
        <v>Valid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>
        <v>46234</v>
      </c>
      <c r="AC155" s="4"/>
      <c r="AD155" s="4"/>
      <c r="AE155" s="4"/>
      <c r="AF155" s="4"/>
      <c r="AG155" s="4"/>
      <c r="AH155" s="4"/>
      <c r="AI155" s="4"/>
      <c r="AJ155" s="4"/>
      <c r="AN155" s="4"/>
      <c r="AQ155" s="4"/>
      <c r="AR155" s="4"/>
      <c r="AS155" s="4"/>
      <c r="AT155" s="4"/>
      <c r="AU155" s="4"/>
      <c r="BB155" s="4"/>
      <c r="BC155" s="4"/>
      <c r="BD155" s="4" t="s">
        <v>448</v>
      </c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>
        <v>45476</v>
      </c>
      <c r="BQ155">
        <f>COUNTIF('TrainingReq (Ach)'!B:B,Table13[[#This Row],[Job Title]])</f>
        <v>3</v>
      </c>
      <c r="BR155" cm="1">
        <f t="array" aca="1" ref="BR15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55" s="5">
        <f t="shared" ca="1" si="6"/>
        <v>1</v>
      </c>
      <c r="BT155" t="s">
        <v>314</v>
      </c>
      <c r="BU155" t="s">
        <v>247</v>
      </c>
      <c r="BW155" s="4"/>
      <c r="CD155" s="4"/>
      <c r="CE155" s="4" t="str">
        <f ca="1">IF(
  _xlfn.XLOOKUP($D155 &amp; "-" &amp; CD$2, 'TrainingReq (Ach)'!$G:$G, 'TrainingReq (Ach)'!$F:$F, "2-Year") = "Forever",
  "Valid",
  IF(CD155="", "Not Trained",
     IF(CD155 &lt; TODAY() - 1, "Expired",
        IF(CD155 &lt;= TODAY() + 90, "Expiring", "Valid")
     )
  )
)</f>
        <v>Not Trained</v>
      </c>
      <c r="CF155" t="s">
        <v>250</v>
      </c>
      <c r="CG155" s="4"/>
      <c r="CH155" s="4" t="str">
        <f ca="1">IF(
  _xlfn.XLOOKUP($D154 &amp; "-" &amp; CG$2, 'TrainingReq (Ach)'!$G:$G, 'TrainingReq (Ach)'!$F:$F, "2-Year") = "Forever",
  "Valid",
  IF(CG154="", "Not Trained",
     IF(CG154 &lt; TODAY() - 1, "Expired",
        IF(CG154 &lt;= TODAY() + 90, "Expiring", "Valid")
     )
  )
)</f>
        <v>Not Trained</v>
      </c>
      <c r="CI155" t="str">
        <f t="shared" si="7"/>
        <v>Not eligible</v>
      </c>
      <c r="CJ155" t="str">
        <f t="shared" si="8"/>
        <v>Not eligible</v>
      </c>
    </row>
    <row r="156" spans="1:88" x14ac:dyDescent="0.25">
      <c r="A156">
        <v>154</v>
      </c>
      <c r="B156">
        <v>783262</v>
      </c>
      <c r="C156" t="s">
        <v>675</v>
      </c>
      <c r="D156" t="s">
        <v>23</v>
      </c>
      <c r="E156" t="s">
        <v>303</v>
      </c>
      <c r="F156" t="s">
        <v>650</v>
      </c>
      <c r="G156" t="s">
        <v>54</v>
      </c>
      <c r="H156" s="4">
        <v>46922</v>
      </c>
      <c r="I156" s="4" t="str">
        <f ca="1">IF(
  _xlfn.XLOOKUP($D156 &amp; "-" &amp; H$2, 'TrainingReq (Ach)'!G:G, 'TrainingReq (Ach)'!F:F, "2-Year") = "Forever",
  "Valid",
  IF(H156="", "Not Trained",
     IF(H156 &lt; TODAY() - 1, "Expired",
        IF(H156 &lt;= TODAY() + 90, "Expiring", "Valid")
     )
  )
)</f>
        <v>Valid</v>
      </c>
      <c r="J156" s="4">
        <v>46918</v>
      </c>
      <c r="K156" s="4" t="str">
        <f ca="1">IF(
  _xlfn.XLOOKUP($D156 &amp; "-" &amp; J$2, 'TrainingReq (Ach)'!G:G, 'TrainingReq (Ach)'!F:F, "2-Year") = "Forever",
  "Valid",
  IF(J156="", "Not Trained",
     IF(J156 &lt; TODAY() - 1, "Expired",
        IF(J156 &lt;= TODAY() + 90, "Expiring", "Valid")
     )
  )
)</f>
        <v>Valid</v>
      </c>
      <c r="L156" s="4">
        <f>Table13[[#This Row],[Mandatory for Supporting]]</f>
        <v>45552</v>
      </c>
      <c r="M156" s="4" t="str">
        <f ca="1">IF(
  _xlfn.XLOOKUP($D156 &amp; "-" &amp; L$2, TrainingMan!$G:$G, TrainingMan!$F:$F, "2-Year") = "Forever",
  "Valid",
  IF(L156="", "Not Trained",
     IF(L156 &lt; TODAY() - 1, "Expired",
        IF(L156 &lt;= TODAY() + 90, "Expiring", "Valid")
     )
  )
)</f>
        <v>Valid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N156" s="4"/>
      <c r="AQ156" s="4"/>
      <c r="AR156" s="4"/>
      <c r="AS156" s="4"/>
      <c r="AT156" s="4"/>
      <c r="AU156" s="4"/>
      <c r="BB156" s="4"/>
      <c r="BC156" s="4"/>
      <c r="BD156" s="4" t="s">
        <v>676</v>
      </c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>
        <v>45552</v>
      </c>
      <c r="BQ156">
        <f>COUNTIF('TrainingReq (Ach)'!B:B,Table13[[#This Row],[Job Title]])</f>
        <v>3</v>
      </c>
      <c r="BR156" cm="1">
        <f t="array" aca="1" ref="BR15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56" s="5">
        <f t="shared" ca="1" si="6"/>
        <v>1</v>
      </c>
      <c r="BT156" t="s">
        <v>311</v>
      </c>
      <c r="BU156" t="s">
        <v>247</v>
      </c>
      <c r="BW156" s="4"/>
      <c r="CD156" s="4"/>
      <c r="CE156" s="4" t="str">
        <f ca="1">IF(
  _xlfn.XLOOKUP($D156 &amp; "-" &amp; CD$2, 'TrainingReq (Ach)'!$G:$G, 'TrainingReq (Ach)'!$F:$F, "2-Year") = "Forever",
  "Valid",
  IF(CD156="", "Not Trained",
     IF(CD156 &lt; TODAY() - 1, "Expired",
        IF(CD156 &lt;= TODAY() + 90, "Expiring", "Valid")
     )
  )
)</f>
        <v>Not Trained</v>
      </c>
      <c r="CF156" t="s">
        <v>250</v>
      </c>
      <c r="CG156" s="4"/>
      <c r="CH156" s="4" t="str">
        <f ca="1">IF(
  _xlfn.XLOOKUP($D155 &amp; "-" &amp; CG$2, 'TrainingReq (Ach)'!$G:$G, 'TrainingReq (Ach)'!$F:$F, "2-Year") = "Forever",
  "Valid",
  IF(CG155="", "Not Trained",
     IF(CG155 &lt; TODAY() - 1, "Expired",
        IF(CG155 &lt;= TODAY() + 90, "Expiring", "Valid")
     )
  )
)</f>
        <v>Not Trained</v>
      </c>
      <c r="CI156" t="str">
        <f t="shared" si="7"/>
        <v>Not eligible</v>
      </c>
      <c r="CJ156" t="str">
        <f t="shared" si="8"/>
        <v>Not eligible</v>
      </c>
    </row>
    <row r="157" spans="1:88" x14ac:dyDescent="0.25">
      <c r="A157">
        <v>155</v>
      </c>
      <c r="B157">
        <v>581292</v>
      </c>
      <c r="C157" t="s">
        <v>677</v>
      </c>
      <c r="D157" t="s">
        <v>21</v>
      </c>
      <c r="G157" t="s">
        <v>55</v>
      </c>
      <c r="H157" s="4">
        <v>46375</v>
      </c>
      <c r="I157" s="4" t="str">
        <f ca="1">IF(
  _xlfn.XLOOKUP($D157 &amp; "-" &amp; H$2, 'TrainingReq (Ach)'!G:G, 'TrainingReq (Ach)'!F:F, "2-Year") = "Forever",
  "Valid",
  IF(H157="", "Not Trained",
     IF(H157 &lt; TODAY() - 1, "Expired",
        IF(H157 &lt;= TODAY() + 90, "Expiring", "Valid")
     )
  )
)</f>
        <v>Valid</v>
      </c>
      <c r="J157" s="4">
        <v>46375</v>
      </c>
      <c r="K157" s="4" t="str">
        <f ca="1">IF(
  _xlfn.XLOOKUP($D157 &amp; "-" &amp; J$2, 'TrainingReq (Ach)'!G:G, 'TrainingReq (Ach)'!F:F, "2-Year") = "Forever",
  "Valid",
  IF(J157="", "Not Trained",
     IF(J157 &lt; TODAY() - 1, "Expired",
        IF(J157 &lt;= TODAY() + 90, "Expiring", "Valid")
     )
  )
)</f>
        <v>Valid</v>
      </c>
      <c r="L157" s="4">
        <v>44036</v>
      </c>
      <c r="M157" s="4" t="str">
        <f ca="1">IF(
  _xlfn.XLOOKUP($D157 &amp; "-" &amp; L$2, TrainingMan!$G:$G, TrainingMan!$F:$F, "2-Year") = "Forever",
  "Valid",
  IF(L157="", "Not Trained",
     IF(L157 &lt; TODAY() - 1, "Expired",
        IF(L157 &lt;= TODAY() + 90, "Expiring", "Valid")
     )
  )
)</f>
        <v>Valid</v>
      </c>
      <c r="N157" s="4">
        <v>46396</v>
      </c>
      <c r="O157" s="4" t="str">
        <f ca="1">IF(
  _xlfn.XLOOKUP($D157 &amp; "-" &amp; N$2, TrainingMan!$G:$G, TrainingMan!$F:$F, "2-Year") = "Forever",
  "Valid",
  IF(N157="", "Not Trained",
     IF(N157 &lt; TODAY() - 1, "Expired",
        IF(N157 &lt;= TODAY() + 90, "Expiring", "Valid")
     )
  )
)</f>
        <v>Valid</v>
      </c>
      <c r="P157" s="4">
        <v>46396</v>
      </c>
      <c r="Q157" s="4" t="str">
        <f ca="1">IF(
  _xlfn.XLOOKUP($D157 &amp; "-" &amp; P$2, TrainingMan!$G:$G, TrainingMan!$F:$F, "2-Year") = "Forever",
  "Valid",
  IF(P157="", "Not Trained",
     IF(P157 &lt; TODAY() - 1, "Expired",
        IF(P157 &lt;= TODAY() + 90, "Expiring", "Valid")
     )
  )
)</f>
        <v>Valid</v>
      </c>
      <c r="R157" s="4">
        <v>46396</v>
      </c>
      <c r="S157" s="4" t="str">
        <f ca="1">IF(
  _xlfn.XLOOKUP($D157 &amp; "-" &amp; R$2, TrainingMan!$G:$G, TrainingMan!$F:$F, "2-Year") = "Forever",
  "Valid",
  IF(R157="", "Not Trained",
     IF(R157 &lt; TODAY() - 1, "Expired",
        IF(R157 &lt;= TODAY() + 90, "Expiring", "Valid")
     )
  )
)</f>
        <v>Valid</v>
      </c>
      <c r="T157" s="4">
        <v>46397</v>
      </c>
      <c r="U157" s="4" t="str">
        <f ca="1">IF(
  _xlfn.XLOOKUP($D157 &amp; "-" &amp; T$2, TrainingMan!$G:$G, TrainingMan!$F:$F, "2-Year") = "Forever",
  "Valid",
  IF(T157="", "Not Trained",
     IF(T157 &lt; TODAY() - 1, "Expired",
        IF(T157 &lt;= TODAY() + 90, "Expiring", "Valid")
     )
  )
)</f>
        <v>Valid</v>
      </c>
      <c r="V157" s="4">
        <v>42409</v>
      </c>
      <c r="W157" s="4" t="str">
        <f ca="1">IF(
  _xlfn.XLOOKUP($D157 &amp; "-" &amp; V$2, TrainingMan!$G:$G, TrainingMan!$F:$F, "2-Year") = "Forever",
  "Valid",
  IF(V157="", "Not Trained",
     IF(V157 &lt; TODAY() - 1, "Expired",
        IF(V157 &lt;= TODAY() + 90, "Expiring", "Valid")
     )
  )
)</f>
        <v>Valid</v>
      </c>
      <c r="X157" s="4">
        <v>42277</v>
      </c>
      <c r="Y157" s="4" t="str">
        <f ca="1">IF(
  _xlfn.XLOOKUP($D157 &amp; "-" &amp; X$2, TrainingMan!$G:$G, TrainingMan!$F:$F, "2-Year") = "Forever",
  "Valid",
  IF(X157="", "Not Trained",
     IF(X157 &lt; TODAY() - 1, "Expired",
        IF(X157 &lt;= TODAY() + 90, "Expiring", "Valid")
     )
  )
)</f>
        <v>Valid</v>
      </c>
      <c r="Z157" s="4">
        <v>43805</v>
      </c>
      <c r="AA157" s="4" t="str">
        <f ca="1">IF(LEN(TRIM(Z157)) = 0, "Not Trained",
  IF(_xlfn.XLOOKUP($D157 &amp; "-" &amp; Z$2, TrainingMan!$G:$G, TrainingMan!$F:$F, "2-Year") = "Forever", "Valid",
    IF(Z157 &lt; TODAY() - 1, "Expired",
      IF(Z157 &lt;= TODAY() + 90, "Expiring", "Valid")
    )
  )
)</f>
        <v>Valid</v>
      </c>
      <c r="AB157" s="4"/>
      <c r="AC157" s="4"/>
      <c r="AD157" s="4"/>
      <c r="AE157" s="4"/>
      <c r="AF157" s="4"/>
      <c r="AG157" s="4"/>
      <c r="AH157" s="4">
        <v>42468</v>
      </c>
      <c r="AI157" s="4"/>
      <c r="AJ157" s="4"/>
      <c r="AN157" s="4"/>
      <c r="AP157" s="4">
        <v>45834</v>
      </c>
      <c r="AQ157" s="4">
        <v>44711</v>
      </c>
      <c r="AR157" s="4"/>
      <c r="AS157" s="4">
        <v>44343</v>
      </c>
      <c r="AT157" s="4"/>
      <c r="AU157" s="4">
        <v>44705</v>
      </c>
      <c r="BB157" s="4"/>
      <c r="BC157" s="4"/>
      <c r="BD157" s="4">
        <v>42321</v>
      </c>
      <c r="BE157" s="4"/>
      <c r="BF157" s="4"/>
      <c r="BG157" s="4">
        <v>42629</v>
      </c>
      <c r="BH157" s="4"/>
      <c r="BI157" s="4"/>
      <c r="BJ157" s="4"/>
      <c r="BK157" s="4"/>
      <c r="BL157" s="4"/>
      <c r="BM157" s="4"/>
      <c r="BN157" s="4"/>
      <c r="BO157" s="4"/>
      <c r="BP157" s="4"/>
      <c r="BQ157">
        <f>COUNTIF('TrainingReq (Ach)'!B:B,Table13[[#This Row],[Job Title]])</f>
        <v>12</v>
      </c>
      <c r="BR157" cm="1">
        <f t="array" aca="1" ref="BR15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57" s="5">
        <f t="shared" ca="1" si="6"/>
        <v>1</v>
      </c>
      <c r="BW157" s="4"/>
      <c r="CD157" s="4"/>
      <c r="CE157" s="4" t="str">
        <f ca="1">IF(
  _xlfn.XLOOKUP($D157 &amp; "-" &amp; CD$2, 'TrainingReq (Ach)'!$G:$G, 'TrainingReq (Ach)'!$F:$F, "2-Year") = "Forever",
  "Valid",
  IF(CD157="", "Not Trained",
     IF(CD157 &lt; TODAY() - 1, "Expired",
        IF(CD157 &lt;= TODAY() + 90, "Expiring", "Valid")
     )
  )
)</f>
        <v>Not Trained</v>
      </c>
      <c r="CG157" s="4"/>
      <c r="CH157" s="4" t="str">
        <f ca="1">IF(
  _xlfn.XLOOKUP($D156 &amp; "-" &amp; CG$2, 'TrainingReq (Ach)'!$G:$G, 'TrainingReq (Ach)'!$F:$F, "2-Year") = "Forever",
  "Valid",
  IF(CG156="", "Not Trained",
     IF(CG156 &lt; TODAY() - 1, "Expired",
        IF(CG156 &lt;= TODAY() + 90, "Expiring", "Valid")
     )
  )
)</f>
        <v>Not Trained</v>
      </c>
      <c r="CI157" t="str">
        <f t="shared" si="7"/>
        <v>Not eligible</v>
      </c>
      <c r="CJ157" t="str">
        <f t="shared" si="8"/>
        <v>Not eligible</v>
      </c>
    </row>
    <row r="158" spans="1:88" ht="15.75" x14ac:dyDescent="0.25">
      <c r="A158">
        <v>156</v>
      </c>
      <c r="B158">
        <v>581291</v>
      </c>
      <c r="C158" t="s">
        <v>678</v>
      </c>
      <c r="D158" t="s">
        <v>25</v>
      </c>
      <c r="G158" t="s">
        <v>55</v>
      </c>
      <c r="H158" s="4">
        <v>46554</v>
      </c>
      <c r="I158" s="4" t="str">
        <f ca="1">IF(
  _xlfn.XLOOKUP($D158 &amp; "-" &amp; H$2, 'TrainingReq (Ach)'!G:G, 'TrainingReq (Ach)'!F:F, "2-Year") = "Forever",
  "Valid",
  IF(H158="", "Not Trained",
     IF(H158 &lt; TODAY() - 1, "Expired",
        IF(H158 &lt;= TODAY() + 90, "Expiring", "Valid")
     )
  )
)</f>
        <v>Valid</v>
      </c>
      <c r="J158" s="4">
        <v>46554</v>
      </c>
      <c r="K158" s="4" t="str">
        <f ca="1">IF(
  _xlfn.XLOOKUP($D158 &amp; "-" &amp; J$2, 'TrainingReq (Ach)'!G:G, 'TrainingReq (Ach)'!F:F, "2-Year") = "Forever",
  "Valid",
  IF(J158="", "Not Trained",
     IF(J158 &lt; TODAY() - 1, "Expired",
        IF(J158 &lt;= TODAY() + 90, "Expiring", "Valid")
     )
  )
)</f>
        <v>Valid</v>
      </c>
      <c r="L158" s="4">
        <v>44935</v>
      </c>
      <c r="M158" s="4" t="str">
        <f ca="1">IF(
  _xlfn.XLOOKUP($D158 &amp; "-" &amp; L$2, TrainingMan!$G:$G, TrainingMan!$F:$F, "2-Year") = "Forever",
  "Valid",
  IF(L158="", "Not Trained",
     IF(L158 &lt; TODAY() - 1, "Expired",
        IF(L158 &lt;= TODAY() + 90, "Expiring", "Valid")
     )
  )
)</f>
        <v>Valid</v>
      </c>
      <c r="N158" s="4">
        <v>44935</v>
      </c>
      <c r="O158" s="4" t="str">
        <f ca="1">IF(
  _xlfn.XLOOKUP($D158 &amp; "-" &amp; N$2, TrainingMan!$G:$G, TrainingMan!$F:$F, "2-Year") = "Forever",
  "Valid",
  IF(N158="", "Not Trained",
     IF(N158 &lt; TODAY() - 1, "Expired",
        IF(N158 &lt;= TODAY() + 90, "Expiring", "Valid")
     )
  )
)</f>
        <v>Valid</v>
      </c>
      <c r="P158" s="4">
        <v>44935</v>
      </c>
      <c r="Q158" s="4" t="str">
        <f ca="1">IF(
  _xlfn.XLOOKUP($D158 &amp; "-" &amp; P$2, TrainingMan!$G:$G, TrainingMan!$F:$F, "2-Year") = "Forever",
  "Valid",
  IF(P158="", "Not Trained",
     IF(P158 &lt; TODAY() - 1, "Expired",
        IF(P158 &lt;= TODAY() + 90, "Expiring", "Valid")
     )
  )
)</f>
        <v>Valid</v>
      </c>
      <c r="R158" s="4">
        <v>44935</v>
      </c>
      <c r="S158" s="4" t="str">
        <f ca="1">IF(
  _xlfn.XLOOKUP($D158 &amp; "-" &amp; R$2, TrainingMan!$G:$G, TrainingMan!$F:$F, "2-Year") = "Forever",
  "Valid",
  IF(R158="", "Not Trained",
     IF(R158 &lt; TODAY() - 1, "Expired",
        IF(R158 &lt;= TODAY() + 90, "Expiring", "Valid")
     )
  )
)</f>
        <v>Valid</v>
      </c>
      <c r="T158" s="4">
        <v>44935</v>
      </c>
      <c r="U158" s="4" t="str">
        <f ca="1">IF(
  _xlfn.XLOOKUP($D158 &amp; "-" &amp; T$2, TrainingMan!$G:$G, TrainingMan!$F:$F, "2-Year") = "Forever",
  "Valid",
  IF(T158="", "Not Trained",
     IF(T158 &lt; TODAY() - 1, "Expired",
        IF(T158 &lt;= TODAY() + 90, "Expiring", "Valid")
     )
  )
)</f>
        <v>Valid</v>
      </c>
      <c r="V158" s="4">
        <v>44935</v>
      </c>
      <c r="W158" s="4" t="str">
        <f ca="1">IF(
  _xlfn.XLOOKUP($D158 &amp; "-" &amp; V$2, TrainingMan!$G:$G, TrainingMan!$F:$F, "2-Year") = "Forever",
  "Valid",
  IF(V158="", "Not Trained",
     IF(V158 &lt; TODAY() - 1, "Expired",
        IF(V158 &lt;= TODAY() + 90, "Expiring", "Valid")
     )
  )
)</f>
        <v>Valid</v>
      </c>
      <c r="X158" s="4">
        <v>44935</v>
      </c>
      <c r="Y158" s="4" t="str">
        <f ca="1">IF(
  _xlfn.XLOOKUP($D158 &amp; "-" &amp; X$2, TrainingMan!$G:$G, TrainingMan!$F:$F, "2-Year") = "Forever",
  "Valid",
  IF(X158="", "Not Trained",
     IF(X158 &lt; TODAY() - 1, "Expired",
        IF(X158 &lt;= TODAY() + 90, "Expiring", "Valid")
     )
  )
)</f>
        <v>Valid</v>
      </c>
      <c r="Z158" s="4">
        <v>43879</v>
      </c>
      <c r="AA158" s="4" t="str">
        <f ca="1">IF(LEN(TRIM(Z158)) = 0, "Not Trained",
  IF(_xlfn.XLOOKUP($D158 &amp; "-" &amp; Z$2, TrainingMan!$G:$G, TrainingMan!$F:$F, "2-Year") = "Forever", "Valid",
    IF(Z158 &lt; TODAY() - 1, "Expired",
      IF(Z158 &lt;= TODAY() + 90, "Expiring", "Valid")
    )
  )
)</f>
        <v>Valid</v>
      </c>
      <c r="AB158" s="4">
        <v>45386</v>
      </c>
      <c r="AC158" s="4"/>
      <c r="AD158" s="4"/>
      <c r="AE158" s="4"/>
      <c r="AF158" s="4"/>
      <c r="AG158" s="4">
        <v>45259</v>
      </c>
      <c r="AH158" s="4">
        <v>42933</v>
      </c>
      <c r="AI158" s="4">
        <v>42695</v>
      </c>
      <c r="AJ158" s="4">
        <v>42458</v>
      </c>
      <c r="AN158" s="4"/>
      <c r="AP158" s="4"/>
      <c r="AQ158" s="4"/>
      <c r="AR158" s="4">
        <v>45341</v>
      </c>
      <c r="AS158" s="4">
        <v>45558</v>
      </c>
      <c r="AT158" s="4">
        <v>44979</v>
      </c>
      <c r="AU158" s="4"/>
      <c r="BB158" s="4">
        <v>45250</v>
      </c>
      <c r="BC158" s="4"/>
      <c r="BD158" s="4">
        <v>42319</v>
      </c>
      <c r="BE158" s="4"/>
      <c r="BF158" s="4"/>
      <c r="BG158" s="4">
        <v>42340</v>
      </c>
      <c r="BH158" s="4"/>
      <c r="BI158" s="4" t="s">
        <v>679</v>
      </c>
      <c r="BJ158" s="4"/>
      <c r="BK158" s="4"/>
      <c r="BL158" s="4"/>
      <c r="BM158" s="4"/>
      <c r="BN158" s="4"/>
      <c r="BO158" s="4"/>
      <c r="BP158" s="4"/>
      <c r="BQ158">
        <f>COUNTIF('TrainingReq (Ach)'!B:B,Table13[[#This Row],[Job Title]])</f>
        <v>9</v>
      </c>
      <c r="BR158" cm="1">
        <f t="array" aca="1" ref="BR15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9</v>
      </c>
      <c r="BS158" s="16">
        <f t="shared" ca="1" si="6"/>
        <v>1</v>
      </c>
      <c r="BW158" s="4"/>
      <c r="CD158" s="6"/>
      <c r="CE158" s="4" t="str">
        <f ca="1">IF(
  _xlfn.XLOOKUP($D158 &amp; "-" &amp; CD$2, 'TrainingReq (Ach)'!$G:$G, 'TrainingReq (Ach)'!$F:$F, "2-Year") = "Forever",
  "Valid",
  IF(CD158="", "Not Trained",
     IF(CD158 &lt; TODAY() - 1, "Expired",
        IF(CD158 &lt;= TODAY() + 90, "Expiring", "Valid")
     )
  )
)</f>
        <v>Not Trained</v>
      </c>
      <c r="CG158" s="6"/>
      <c r="CH158" s="4" t="str">
        <f ca="1">IF(
  _xlfn.XLOOKUP($D157 &amp; "-" &amp; CG$2, 'TrainingReq (Ach)'!$G:$G, 'TrainingReq (Ach)'!$F:$F, "2-Year") = "Forever",
  "Valid",
  IF(CG157="", "Not Trained",
     IF(CG157 &lt; TODAY() - 1, "Expired",
        IF(CG157 &lt;= TODAY() + 90, "Expiring", "Valid")
     )
  )
)</f>
        <v>Not Trained</v>
      </c>
      <c r="CI158" t="str">
        <f t="shared" si="7"/>
        <v>Not eligible</v>
      </c>
      <c r="CJ158" t="str">
        <f t="shared" si="8"/>
        <v>Not eligible</v>
      </c>
    </row>
    <row r="159" spans="1:88" x14ac:dyDescent="0.25">
      <c r="A159">
        <v>157</v>
      </c>
      <c r="B159">
        <v>581312</v>
      </c>
      <c r="C159" t="s">
        <v>680</v>
      </c>
      <c r="D159" t="s">
        <v>15</v>
      </c>
      <c r="E159" t="s">
        <v>292</v>
      </c>
      <c r="F159" t="s">
        <v>681</v>
      </c>
      <c r="G159" t="s">
        <v>56</v>
      </c>
      <c r="H159" s="4">
        <v>46532</v>
      </c>
      <c r="I159" s="4" t="str">
        <f ca="1">IF(
  _xlfn.XLOOKUP($D159 &amp; "-" &amp; H$2, 'TrainingReq (Ach)'!G:G, 'TrainingReq (Ach)'!F:F, "2-Year") = "Forever",
  "Valid",
  IF(H159="", "Not Trained",
     IF(H159 &lt; TODAY() - 1, "Expired",
        IF(H159 &lt;= TODAY() + 90, "Expiring", "Valid")
     )
  )
)</f>
        <v>Valid</v>
      </c>
      <c r="J159" s="4">
        <v>46532</v>
      </c>
      <c r="K159" s="4" t="str">
        <f ca="1">IF(
  _xlfn.XLOOKUP($D159 &amp; "-" &amp; J$2, 'TrainingReq (Ach)'!G:G, 'TrainingReq (Ach)'!F:F, "2-Year") = "Forever",
  "Valid",
  IF(J159="", "Not Trained",
     IF(J159 &lt; TODAY() - 1, "Expired",
        IF(J159 &lt;= TODAY() + 90, "Expiring", "Valid")
     )
  )
)</f>
        <v>Valid</v>
      </c>
      <c r="L159" s="4">
        <v>46501</v>
      </c>
      <c r="M159" s="4" t="str">
        <f ca="1">IF(
  _xlfn.XLOOKUP($D159 &amp; "-" &amp; L$2, TrainingMan!$G:$G, TrainingMan!$F:$F, "2-Year") = "Forever",
  "Valid",
  IF(L159="", "Not Trained",
     IF(L159 &lt; TODAY() - 1, "Expired",
        IF(L159 &lt;= TODAY() + 90, "Expiring", "Valid")
     )
  )
)</f>
        <v>Valid</v>
      </c>
      <c r="N159" s="4">
        <v>46501</v>
      </c>
      <c r="O159" s="4" t="str">
        <f ca="1">IF(
  _xlfn.XLOOKUP($D159 &amp; "-" &amp; N$2, TrainingMan!$G:$G, TrainingMan!$F:$F, "2-Year") = "Forever",
  "Valid",
  IF(N159="", "Not Trained",
     IF(N159 &lt; TODAY() - 1, "Expired",
        IF(N159 &lt;= TODAY() + 90, "Expiring", "Valid")
     )
  )
)</f>
        <v>Valid</v>
      </c>
      <c r="P159" s="4">
        <v>46501</v>
      </c>
      <c r="Q159" s="4" t="str">
        <f ca="1">IF(
  _xlfn.XLOOKUP($D159 &amp; "-" &amp; P$2, TrainingMan!$G:$G, TrainingMan!$F:$F, "2-Year") = "Forever",
  "Valid",
  IF(P159="", "Not Trained",
     IF(P159 &lt; TODAY() - 1, "Expired",
        IF(P159 &lt;= TODAY() + 90, "Expiring", "Valid")
     )
  )
)</f>
        <v>Valid</v>
      </c>
      <c r="R159" s="4">
        <v>46501</v>
      </c>
      <c r="S159" s="4" t="str">
        <f ca="1">IF(
  _xlfn.XLOOKUP($D159 &amp; "-" &amp; R$2, TrainingMan!$G:$G, TrainingMan!$F:$F, "2-Year") = "Forever",
  "Valid",
  IF(R159="", "Not Trained",
     IF(R159 &lt; TODAY() - 1, "Expired",
        IF(R159 &lt;= TODAY() + 90, "Expiring", "Valid")
     )
  )
)</f>
        <v>Valid</v>
      </c>
      <c r="T159" s="4">
        <v>46501</v>
      </c>
      <c r="U159" s="4" t="str">
        <f ca="1">IF(
  _xlfn.XLOOKUP($D159 &amp; "-" &amp; T$2, TrainingMan!$G:$G, TrainingMan!$F:$F, "2-Year") = "Forever",
  "Valid",
  IF(T159="", "Not Trained",
     IF(T159 &lt; TODAY() - 1, "Expired",
        IF(T159 &lt;= TODAY() + 90, "Expiring", "Valid")
     )
  )
)</f>
        <v>Valid</v>
      </c>
      <c r="V159" s="4">
        <v>46501</v>
      </c>
      <c r="W159" s="4" t="str">
        <f ca="1">IF(
  _xlfn.XLOOKUP($D159 &amp; "-" &amp; V$2, TrainingMan!$G:$G, TrainingMan!$F:$F, "2-Year") = "Forever",
  "Valid",
  IF(V159="", "Not Trained",
     IF(V159 &lt; TODAY() - 1, "Expired",
        IF(V159 &lt;= TODAY() + 90, "Expiring", "Valid")
     )
  )
)</f>
        <v>Valid</v>
      </c>
      <c r="X159" s="4">
        <v>46501</v>
      </c>
      <c r="Y159" s="4" t="str">
        <f ca="1">IF(
  _xlfn.XLOOKUP($D159 &amp; "-" &amp; X$2, TrainingMan!$G:$G, TrainingMan!$F:$F, "2-Year") = "Forever",
  "Valid",
  IF(X159="", "Not Trained",
     IF(X159 &lt; TODAY() - 1, "Expired",
        IF(X159 &lt;= TODAY() + 90, "Expiring", "Valid")
     )
  )
)</f>
        <v>Valid</v>
      </c>
      <c r="Z159" s="4">
        <v>45033</v>
      </c>
      <c r="AA159" s="4" t="str">
        <f ca="1">IF(LEN(TRIM(Z159)) = 0, "Not Trained",
  IF(_xlfn.XLOOKUP($D159 &amp; "-" &amp; Z$2, TrainingMan!$G:$G, TrainingMan!$F:$F, "2-Year") = "Forever", "Valid",
    IF(Z159 &lt; TODAY() - 1, "Expired",
      IF(Z159 &lt;= TODAY() + 90, "Expiring", "Valid")
    )
  )
)</f>
        <v>Valid</v>
      </c>
      <c r="AB159" s="4">
        <v>45044</v>
      </c>
      <c r="AC159" s="4">
        <v>44053</v>
      </c>
      <c r="AD159" s="4"/>
      <c r="AE159" s="4"/>
      <c r="AF159" s="4"/>
      <c r="AG159" s="4"/>
      <c r="AH159" s="4"/>
      <c r="AI159" s="4"/>
      <c r="AJ159" s="4">
        <v>42492</v>
      </c>
      <c r="AN159" s="4"/>
      <c r="AQ159" s="4"/>
      <c r="AR159" s="4"/>
      <c r="AS159" s="4"/>
      <c r="AT159" s="4"/>
      <c r="AU159" s="4"/>
      <c r="BB159" s="4">
        <v>46220</v>
      </c>
      <c r="BC159" s="4" t="s">
        <v>552</v>
      </c>
      <c r="BD159" s="4" t="s">
        <v>425</v>
      </c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>
        <f>COUNTIF('TrainingReq (Ach)'!B:B,Table13[[#This Row],[Job Title]])</f>
        <v>13</v>
      </c>
      <c r="BR159" cm="1">
        <f t="array" aca="1" ref="BR15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59" s="5">
        <f t="shared" ca="1" si="6"/>
        <v>1</v>
      </c>
      <c r="BT159" t="s">
        <v>246</v>
      </c>
      <c r="BU159" t="s">
        <v>247</v>
      </c>
      <c r="BW159" s="4"/>
      <c r="CC159" t="s">
        <v>682</v>
      </c>
      <c r="CD159" s="4"/>
      <c r="CE159" s="4" t="str">
        <f ca="1">IF(
  _xlfn.XLOOKUP($D159 &amp; "-" &amp; CD$2, 'TrainingReq (Ach)'!$G:$G, 'TrainingReq (Ach)'!$F:$F, "2-Year") = "Forever",
  "Valid",
  IF(CD159="", "Not Trained",
     IF(CD159 &lt; TODAY() - 1, "Expired",
        IF(CD159 &lt;= TODAY() + 90, "Expiring", "Valid")
     )
  )
)</f>
        <v>Not Trained</v>
      </c>
      <c r="CF159" t="s">
        <v>250</v>
      </c>
      <c r="CG159" s="4">
        <v>51766</v>
      </c>
      <c r="CH159" s="4" t="str">
        <f ca="1">IF(
  _xlfn.XLOOKUP($D158 &amp; "-" &amp; CG$2, 'TrainingReq (Ach)'!$G:$G, 'TrainingReq (Ach)'!$F:$F, "2-Year") = "Forever",
  "Valid",
  IF(CG158="", "Not Trained",
     IF(CG158 &lt; TODAY() - 1, "Expired",
        IF(CG158 &lt;= TODAY() + 90, "Expiring", "Valid")
     )
  )
)</f>
        <v>Not Trained</v>
      </c>
      <c r="CI159" t="str">
        <f t="shared" si="7"/>
        <v>Not eligible</v>
      </c>
      <c r="CJ159" t="str">
        <f t="shared" si="8"/>
        <v>Not eligible</v>
      </c>
    </row>
    <row r="160" spans="1:88" x14ac:dyDescent="0.25">
      <c r="A160">
        <v>158</v>
      </c>
      <c r="B160">
        <v>582600</v>
      </c>
      <c r="C160" t="s">
        <v>683</v>
      </c>
      <c r="D160" t="s">
        <v>15</v>
      </c>
      <c r="E160" t="s">
        <v>292</v>
      </c>
      <c r="F160" t="s">
        <v>681</v>
      </c>
      <c r="G160" t="s">
        <v>56</v>
      </c>
      <c r="H160" s="4">
        <v>46735</v>
      </c>
      <c r="I160" s="4" t="str">
        <f ca="1">IF(
  _xlfn.XLOOKUP($D160 &amp; "-" &amp; H$2, 'TrainingReq (Ach)'!G:G, 'TrainingReq (Ach)'!F:F, "2-Year") = "Forever",
  "Valid",
  IF(H160="", "Not Trained",
     IF(H160 &lt; TODAY() - 1, "Expired",
        IF(H160 &lt;= TODAY() + 90, "Expiring", "Valid")
     )
  )
)</f>
        <v>Valid</v>
      </c>
      <c r="J160" s="4">
        <v>46735</v>
      </c>
      <c r="K160" s="4" t="str">
        <f ca="1">IF(
  _xlfn.XLOOKUP($D160 &amp; "-" &amp; J$2, 'TrainingReq (Ach)'!G:G, 'TrainingReq (Ach)'!F:F, "2-Year") = "Forever",
  "Valid",
  IF(J160="", "Not Trained",
     IF(J160 &lt; TODAY() - 1, "Expired",
        IF(J160 &lt;= TODAY() + 90, "Expiring", "Valid")
     )
  )
)</f>
        <v>Valid</v>
      </c>
      <c r="L160" s="4">
        <v>46550</v>
      </c>
      <c r="M160" s="4" t="str">
        <f ca="1">IF(
  _xlfn.XLOOKUP($D160 &amp; "-" &amp; L$2, TrainingMan!$G:$G, TrainingMan!$F:$F, "2-Year") = "Forever",
  "Valid",
  IF(L160="", "Not Trained",
     IF(L160 &lt; TODAY() - 1, "Expired",
        IF(L160 &lt;= TODAY() + 90, "Expiring", "Valid")
     )
  )
)</f>
        <v>Valid</v>
      </c>
      <c r="N160" s="4">
        <v>46726</v>
      </c>
      <c r="O160" s="4" t="str">
        <f ca="1">IF(
  _xlfn.XLOOKUP($D160 &amp; "-" &amp; N$2, TrainingMan!$G:$G, TrainingMan!$F:$F, "2-Year") = "Forever",
  "Valid",
  IF(N160="", "Not Trained",
     IF(N160 &lt; TODAY() - 1, "Expired",
        IF(N160 &lt;= TODAY() + 90, "Expiring", "Valid")
     )
  )
)</f>
        <v>Valid</v>
      </c>
      <c r="P160" s="4">
        <v>46550</v>
      </c>
      <c r="Q160" s="4" t="str">
        <f ca="1">IF(
  _xlfn.XLOOKUP($D160 &amp; "-" &amp; P$2, TrainingMan!$G:$G, TrainingMan!$F:$F, "2-Year") = "Forever",
  "Valid",
  IF(P160="", "Not Trained",
     IF(P160 &lt; TODAY() - 1, "Expired",
        IF(P160 &lt;= TODAY() + 90, "Expiring", "Valid")
     )
  )
)</f>
        <v>Valid</v>
      </c>
      <c r="R160" s="4">
        <v>46726</v>
      </c>
      <c r="S160" s="4" t="str">
        <f ca="1">IF(
  _xlfn.XLOOKUP($D160 &amp; "-" &amp; R$2, TrainingMan!$G:$G, TrainingMan!$F:$F, "2-Year") = "Forever",
  "Valid",
  IF(R160="", "Not Trained",
     IF(R160 &lt; TODAY() - 1, "Expired",
        IF(R160 &lt;= TODAY() + 90, "Expiring", "Valid")
     )
  )
)</f>
        <v>Valid</v>
      </c>
      <c r="T160" s="4">
        <v>46726</v>
      </c>
      <c r="U160" s="4" t="str">
        <f ca="1">IF(
  _xlfn.XLOOKUP($D160 &amp; "-" &amp; T$2, TrainingMan!$G:$G, TrainingMan!$F:$F, "2-Year") = "Forever",
  "Valid",
  IF(T160="", "Not Trained",
     IF(T160 &lt; TODAY() - 1, "Expired",
        IF(T160 &lt;= TODAY() + 90, "Expiring", "Valid")
     )
  )
)</f>
        <v>Valid</v>
      </c>
      <c r="V160" s="4">
        <v>46550</v>
      </c>
      <c r="W160" s="4" t="str">
        <f ca="1">IF(
  _xlfn.XLOOKUP($D160 &amp; "-" &amp; V$2, TrainingMan!$G:$G, TrainingMan!$F:$F, "2-Year") = "Forever",
  "Valid",
  IF(V160="", "Not Trained",
     IF(V160 &lt; TODAY() - 1, "Expired",
        IF(V160 &lt;= TODAY() + 90, "Expiring", "Valid")
     )
  )
)</f>
        <v>Valid</v>
      </c>
      <c r="X160" s="4">
        <v>46550</v>
      </c>
      <c r="Y160" s="4" t="str">
        <f ca="1">IF(
  _xlfn.XLOOKUP($D160 &amp; "-" &amp; X$2, TrainingMan!$G:$G, TrainingMan!$F:$F, "2-Year") = "Forever",
  "Valid",
  IF(X160="", "Not Trained",
     IF(X160 &lt; TODAY() - 1, "Expired",
        IF(X160 &lt;= TODAY() + 90, "Expiring", "Valid")
     )
  )
)</f>
        <v>Valid</v>
      </c>
      <c r="Z160" s="4">
        <v>44784</v>
      </c>
      <c r="AA160" s="4" t="str">
        <f ca="1">IF(LEN(TRIM(Z160)) = 0, "Not Trained",
  IF(_xlfn.XLOOKUP($D160 &amp; "-" &amp; Z$2, TrainingMan!$G:$G, TrainingMan!$F:$F, "2-Year") = "Forever", "Valid",
    IF(Z160 &lt; TODAY() - 1, "Expired",
      IF(Z160 &lt;= TODAY() + 90, "Expiring", "Valid")
    )
  )
)</f>
        <v>Valid</v>
      </c>
      <c r="AB160" s="4">
        <v>44310</v>
      </c>
      <c r="AC160" s="4">
        <v>44221</v>
      </c>
      <c r="AD160" s="4"/>
      <c r="AE160" s="4"/>
      <c r="AF160" s="4"/>
      <c r="AG160" s="4">
        <v>45973</v>
      </c>
      <c r="AH160" s="4"/>
      <c r="AI160" s="4"/>
      <c r="AJ160" s="4"/>
      <c r="AN160" s="4"/>
      <c r="AQ160" s="4"/>
      <c r="AR160" s="4"/>
      <c r="AS160" s="4"/>
      <c r="AT160" s="4">
        <v>46087</v>
      </c>
      <c r="AU160" s="4"/>
      <c r="BB160" s="4">
        <v>46227</v>
      </c>
      <c r="BC160" s="4"/>
      <c r="BD160" s="4" t="s">
        <v>269</v>
      </c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>
        <f>COUNTIF('TrainingReq (Ach)'!B:B,Table13[[#This Row],[Job Title]])</f>
        <v>13</v>
      </c>
      <c r="BR160" cm="1">
        <f t="array" aca="1" ref="BR16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0" s="5">
        <f t="shared" ca="1" si="6"/>
        <v>1</v>
      </c>
      <c r="BT160" t="s">
        <v>246</v>
      </c>
      <c r="BU160" t="s">
        <v>247</v>
      </c>
      <c r="BV160" t="s">
        <v>256</v>
      </c>
      <c r="BW160" s="4"/>
      <c r="CC160" t="s">
        <v>684</v>
      </c>
      <c r="CD160" s="4"/>
      <c r="CE160" s="4" t="str">
        <f ca="1">IF(
  _xlfn.XLOOKUP($D160 &amp; "-" &amp; CD$2, 'TrainingReq (Ach)'!$G:$G, 'TrainingReq (Ach)'!$F:$F, "2-Year") = "Forever",
  "Valid",
  IF(CD160="", "Not Trained",
     IF(CD160 &lt; TODAY() - 1, "Expired",
        IF(CD160 &lt;= TODAY() + 90, "Expiring", "Valid")
     )
  )
)</f>
        <v>Not Trained</v>
      </c>
      <c r="CF160" t="s">
        <v>250</v>
      </c>
      <c r="CG160" s="4">
        <v>55484</v>
      </c>
      <c r="CH160" s="4" t="str">
        <f ca="1">IF(
  _xlfn.XLOOKUP($D159 &amp; "-" &amp; CG$2, 'TrainingReq (Ach)'!$G:$G, 'TrainingReq (Ach)'!$F:$F, "2-Year") = "Forever",
  "Valid",
  IF(CG159="", "Not Trained",
     IF(CG159 &lt; TODAY() - 1, "Expired",
        IF(CG159 &lt;= TODAY() + 90, "Expiring", "Valid")
     )
  )
)</f>
        <v>Valid</v>
      </c>
      <c r="CI160" t="str">
        <f t="shared" si="7"/>
        <v>Not eligible</v>
      </c>
      <c r="CJ160" t="str">
        <f t="shared" si="8"/>
        <v>Not eligible</v>
      </c>
    </row>
    <row r="161" spans="1:88" x14ac:dyDescent="0.25">
      <c r="A161">
        <v>159</v>
      </c>
      <c r="B161">
        <v>783186</v>
      </c>
      <c r="C161" t="s">
        <v>685</v>
      </c>
      <c r="D161" t="s">
        <v>13</v>
      </c>
      <c r="E161" t="s">
        <v>665</v>
      </c>
      <c r="F161" t="s">
        <v>681</v>
      </c>
      <c r="G161" t="s">
        <v>56</v>
      </c>
      <c r="H161" s="4">
        <v>46858</v>
      </c>
      <c r="I161" s="4" t="str">
        <f ca="1">IF(
  _xlfn.XLOOKUP($D161 &amp; "-" &amp; H$2, 'TrainingReq (Ach)'!G:G, 'TrainingReq (Ach)'!F:F, "2-Year") = "Forever",
  "Valid",
  IF(H161="", "Not Trained",
     IF(H161 &lt; TODAY() - 1, "Expired",
        IF(H161 &lt;= TODAY() + 90, "Expiring", "Valid")
     )
  )
)</f>
        <v>Valid</v>
      </c>
      <c r="J161" s="4">
        <v>46858</v>
      </c>
      <c r="K161" s="4" t="str">
        <f ca="1">IF(
  _xlfn.XLOOKUP($D161 &amp; "-" &amp; J$2, 'TrainingReq (Ach)'!G:G, 'TrainingReq (Ach)'!F:F, "2-Year") = "Forever",
  "Valid",
  IF(J161="", "Not Trained",
     IF(J161 &lt; TODAY() - 1, "Expired",
        IF(J161 &lt;= TODAY() + 90, "Expiring", "Valid")
     )
  )
)</f>
        <v>Valid</v>
      </c>
      <c r="L161" s="4">
        <v>46858</v>
      </c>
      <c r="M161" s="4" t="str">
        <f ca="1">IF(
  _xlfn.XLOOKUP($D161 &amp; "-" &amp; L$2, TrainingMan!$G:$G, TrainingMan!$F:$F, "2-Year") = "Forever",
  "Valid",
  IF(L161="", "Not Trained",
     IF(L161 &lt; TODAY() - 1, "Expired",
        IF(L161 &lt;= TODAY() + 90, "Expiring", "Valid")
     )
  )
)</f>
        <v>Valid</v>
      </c>
      <c r="N161" s="4">
        <v>46858</v>
      </c>
      <c r="O161" s="4" t="str">
        <f ca="1">IF(
  _xlfn.XLOOKUP($D161 &amp; "-" &amp; N$2, TrainingMan!$G:$G, TrainingMan!$F:$F, "2-Year") = "Forever",
  "Valid",
  IF(N161="", "Not Trained",
     IF(N161 &lt; TODAY() - 1, "Expired",
        IF(N161 &lt;= TODAY() + 90, "Expiring", "Valid")
     )
  )
)</f>
        <v>Valid</v>
      </c>
      <c r="P161" s="4">
        <v>46858</v>
      </c>
      <c r="Q161" s="4" t="str">
        <f ca="1">IF(
  _xlfn.XLOOKUP($D161 &amp; "-" &amp; P$2, TrainingMan!$G:$G, TrainingMan!$F:$F, "2-Year") = "Forever",
  "Valid",
  IF(P161="", "Not Trained",
     IF(P161 &lt; TODAY() - 1, "Expired",
        IF(P161 &lt;= TODAY() + 90, "Expiring", "Valid")
     )
  )
)</f>
        <v>Valid</v>
      </c>
      <c r="R161" s="4">
        <v>46858</v>
      </c>
      <c r="S161" s="4" t="str">
        <f ca="1">IF(
  _xlfn.XLOOKUP($D161 &amp; "-" &amp; R$2, TrainingMan!$G:$G, TrainingMan!$F:$F, "2-Year") = "Forever",
  "Valid",
  IF(R161="", "Not Trained",
     IF(R161 &lt; TODAY() - 1, "Expired",
        IF(R161 &lt;= TODAY() + 90, "Expiring", "Valid")
     )
  )
)</f>
        <v>Valid</v>
      </c>
      <c r="T161" s="4">
        <v>46858</v>
      </c>
      <c r="U161" s="4" t="str">
        <f ca="1">IF(
  _xlfn.XLOOKUP($D161 &amp; "-" &amp; T$2, TrainingMan!$G:$G, TrainingMan!$F:$F, "2-Year") = "Forever",
  "Valid",
  IF(T161="", "Not Trained",
     IF(T161 &lt; TODAY() - 1, "Expired",
        IF(T161 &lt;= TODAY() + 90, "Expiring", "Valid")
     )
  )
)</f>
        <v>Valid</v>
      </c>
      <c r="V161" s="4">
        <v>46858</v>
      </c>
      <c r="W161" s="4" t="str">
        <f ca="1">IF(
  _xlfn.XLOOKUP($D161 &amp; "-" &amp; V$2, TrainingMan!$G:$G, TrainingMan!$F:$F, "2-Year") = "Forever",
  "Valid",
  IF(V161="", "Not Trained",
     IF(V161 &lt; TODAY() - 1, "Expired",
        IF(V161 &lt;= TODAY() + 90, "Expiring", "Valid")
     )
  )
)</f>
        <v>Valid</v>
      </c>
      <c r="X161" s="4">
        <v>46857</v>
      </c>
      <c r="Y161" s="4" t="str">
        <f ca="1">IF(
  _xlfn.XLOOKUP($D161 &amp; "-" &amp; X$2, TrainingMan!$G:$G, TrainingMan!$F:$F, "2-Year") = "Forever",
  "Valid",
  IF(X161="", "Not Trained",
     IF(X161 &lt; TODAY() - 1, "Expired",
        IF(X161 &lt;= TODAY() + 90, "Expiring", "Valid")
     )
  )
)</f>
        <v>Valid</v>
      </c>
      <c r="Z161" s="4">
        <v>45551</v>
      </c>
      <c r="AA161" s="4" t="str">
        <f ca="1">IF(LEN(TRIM(Z161)) = 0, "Not Trained",
  IF(_xlfn.XLOOKUP($D161 &amp; "-" &amp; Z$2, TrainingMan!$G:$G, TrainingMan!$F:$F, "2-Year") = "Forever", "Valid",
    IF(Z161 &lt; TODAY() - 1, "Expired",
      IF(Z161 &lt;= TODAY() + 90, "Expiring", "Valid")
    )
  )
)</f>
        <v>Valid</v>
      </c>
      <c r="AB161" s="4">
        <v>36726</v>
      </c>
      <c r="AC161" s="4">
        <v>39341</v>
      </c>
      <c r="AD161" s="4">
        <v>41994</v>
      </c>
      <c r="AE161" s="4">
        <v>38287</v>
      </c>
      <c r="AF161" s="4">
        <v>38891</v>
      </c>
      <c r="AG161" s="4"/>
      <c r="AH161" s="4"/>
      <c r="AI161" s="4"/>
      <c r="AJ161" s="4"/>
      <c r="AN161" s="4"/>
      <c r="AQ161" s="4">
        <v>42391</v>
      </c>
      <c r="AR161" s="4"/>
      <c r="AS161" s="4"/>
      <c r="AT161" s="4">
        <v>46048</v>
      </c>
      <c r="AU161" s="4"/>
      <c r="BB161" s="4"/>
      <c r="BC161" s="4"/>
      <c r="BD161" s="4" t="s">
        <v>686</v>
      </c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>
        <f>COUNTIF('TrainingReq (Ach)'!B:B,Table13[[#This Row],[Job Title]])</f>
        <v>13</v>
      </c>
      <c r="BR161" cm="1">
        <f t="array" aca="1" ref="BR16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1" s="5">
        <f t="shared" ca="1" si="6"/>
        <v>1</v>
      </c>
      <c r="BT161" t="s">
        <v>246</v>
      </c>
      <c r="BU161" t="s">
        <v>247</v>
      </c>
      <c r="BW161" s="4"/>
      <c r="CD161" s="4"/>
      <c r="CE161" s="4" t="str">
        <f ca="1">IF(
  _xlfn.XLOOKUP($D161 &amp; "-" &amp; CD$2, 'TrainingReq (Ach)'!$G:$G, 'TrainingReq (Ach)'!$F:$F, "2-Year") = "Forever",
  "Valid",
  IF(CD161="", "Not Trained",
     IF(CD161 &lt; TODAY() - 1, "Expired",
        IF(CD161 &lt;= TODAY() + 90, "Expiring", "Valid")
     )
  )
)</f>
        <v>Not Trained</v>
      </c>
      <c r="CF161" t="s">
        <v>250</v>
      </c>
      <c r="CG161" s="4"/>
      <c r="CH161" s="4" t="str">
        <f ca="1">IF(
  _xlfn.XLOOKUP($D160 &amp; "-" &amp; CG$2, 'TrainingReq (Ach)'!$G:$G, 'TrainingReq (Ach)'!$F:$F, "2-Year") = "Forever",
  "Valid",
  IF(CG160="", "Not Trained",
     IF(CG160 &lt; TODAY() - 1, "Expired",
        IF(CG160 &lt;= TODAY() + 90, "Expiring", "Valid")
     )
  )
)</f>
        <v>Valid</v>
      </c>
      <c r="CI161" t="str">
        <f t="shared" si="7"/>
        <v>Not eligible</v>
      </c>
      <c r="CJ161" t="str">
        <f t="shared" si="8"/>
        <v>Not eligible</v>
      </c>
    </row>
    <row r="162" spans="1:88" x14ac:dyDescent="0.25">
      <c r="A162">
        <v>160</v>
      </c>
      <c r="B162">
        <v>580641</v>
      </c>
      <c r="C162" t="s">
        <v>687</v>
      </c>
      <c r="D162" t="s">
        <v>13</v>
      </c>
      <c r="E162" t="s">
        <v>665</v>
      </c>
      <c r="F162" t="s">
        <v>681</v>
      </c>
      <c r="G162" t="s">
        <v>56</v>
      </c>
      <c r="H162" s="4">
        <v>46869</v>
      </c>
      <c r="I162" s="4" t="str">
        <f ca="1">IF(
  _xlfn.XLOOKUP($D162 &amp; "-" &amp; H$2, 'TrainingReq (Ach)'!G:G, 'TrainingReq (Ach)'!F:F, "2-Year") = "Forever",
  "Valid",
  IF(H162="", "Not Trained",
     IF(H162 &lt; TODAY() - 1, "Expired",
        IF(H162 &lt;= TODAY() + 90, "Expiring", "Valid")
     )
  )
)</f>
        <v>Valid</v>
      </c>
      <c r="J162" s="4">
        <v>46869</v>
      </c>
      <c r="K162" s="4" t="str">
        <f ca="1">IF(
  _xlfn.XLOOKUP($D162 &amp; "-" &amp; J$2, 'TrainingReq (Ach)'!G:G, 'TrainingReq (Ach)'!F:F, "2-Year") = "Forever",
  "Valid",
  IF(J162="", "Not Trained",
     IF(J162 &lt; TODAY() - 1, "Expired",
        IF(J162 &lt;= TODAY() + 90, "Expiring", "Valid")
     )
  )
)</f>
        <v>Valid</v>
      </c>
      <c r="L162" s="4">
        <v>46302</v>
      </c>
      <c r="M162" s="4" t="str">
        <f ca="1">IF(
  _xlfn.XLOOKUP($D162 &amp; "-" &amp; L$2, TrainingMan!$G:$G, TrainingMan!$F:$F, "2-Year") = "Forever",
  "Valid",
  IF(L162="", "Not Trained",
     IF(L162 &lt; TODAY() - 1, "Expired",
        IF(L162 &lt;= TODAY() + 90, "Expiring", "Valid")
     )
  )
)</f>
        <v>Valid</v>
      </c>
      <c r="N162" s="4">
        <v>46112</v>
      </c>
      <c r="O162" s="4" t="str">
        <f ca="1">IF(
  _xlfn.XLOOKUP($D162 &amp; "-" &amp; N$2, TrainingMan!$G:$G, TrainingMan!$F:$F, "2-Year") = "Forever",
  "Valid",
  IF(N162="", "Not Trained",
     IF(N162 &lt; TODAY() - 1, "Expired",
        IF(N162 &lt;= TODAY() + 90, "Expiring", "Valid")
     )
  )
)</f>
        <v>Valid</v>
      </c>
      <c r="P162" s="4">
        <v>46302</v>
      </c>
      <c r="Q162" s="4" t="str">
        <f ca="1">IF(
  _xlfn.XLOOKUP($D162 &amp; "-" &amp; P$2, TrainingMan!$G:$G, TrainingMan!$F:$F, "2-Year") = "Forever",
  "Valid",
  IF(P162="", "Not Trained",
     IF(P162 &lt; TODAY() - 1, "Expired",
        IF(P162 &lt;= TODAY() + 90, "Expiring", "Valid")
     )
  )
)</f>
        <v>Valid</v>
      </c>
      <c r="R162" s="4">
        <v>46112</v>
      </c>
      <c r="S162" s="4" t="str">
        <f ca="1">IF(
  _xlfn.XLOOKUP($D162 &amp; "-" &amp; R$2, TrainingMan!$G:$G, TrainingMan!$F:$F, "2-Year") = "Forever",
  "Valid",
  IF(R162="", "Not Trained",
     IF(R162 &lt; TODAY() - 1, "Expired",
        IF(R162 &lt;= TODAY() + 90, "Expiring", "Valid")
     )
  )
)</f>
        <v>Valid</v>
      </c>
      <c r="T162" s="4">
        <v>45848</v>
      </c>
      <c r="U162" s="4" t="str">
        <f ca="1">IF(
  _xlfn.XLOOKUP($D162 &amp; "-" &amp; T$2, TrainingMan!$G:$G, TrainingMan!$F:$F, "2-Year") = "Forever",
  "Valid",
  IF(T162="", "Not Trained",
     IF(T162 &lt; TODAY() - 1, "Expired",
        IF(T162 &lt;= TODAY() + 90, "Expiring", "Valid")
     )
  )
)</f>
        <v>Valid</v>
      </c>
      <c r="V162" s="4">
        <v>46302</v>
      </c>
      <c r="W162" s="4" t="str">
        <f ca="1">IF(
  _xlfn.XLOOKUP($D162 &amp; "-" &amp; V$2, TrainingMan!$G:$G, TrainingMan!$F:$F, "2-Year") = "Forever",
  "Valid",
  IF(V162="", "Not Trained",
     IF(V162 &lt; TODAY() - 1, "Expired",
        IF(V162 &lt;= TODAY() + 90, "Expiring", "Valid")
     )
  )
)</f>
        <v>Valid</v>
      </c>
      <c r="X162" s="4">
        <v>46112</v>
      </c>
      <c r="Y162" s="4" t="str">
        <f ca="1">IF(
  _xlfn.XLOOKUP($D162 &amp; "-" &amp; X$2, TrainingMan!$G:$G, TrainingMan!$F:$F, "2-Year") = "Forever",
  "Valid",
  IF(X162="", "Not Trained",
     IF(X162 &lt; TODAY() - 1, "Expired",
        IF(X162 &lt;= TODAY() + 90, "Expiring", "Valid")
     )
  )
)</f>
        <v>Valid</v>
      </c>
      <c r="Z162" s="4">
        <v>45390</v>
      </c>
      <c r="AA162" s="4" t="str">
        <f ca="1">IF(LEN(TRIM(Z162)) = 0, "Not Trained",
  IF(_xlfn.XLOOKUP($D162 &amp; "-" &amp; Z$2, TrainingMan!$G:$G, TrainingMan!$F:$F, "2-Year") = "Forever", "Valid",
    IF(Z162 &lt; TODAY() - 1, "Expired",
      IF(Z162 &lt;= TODAY() + 90, "Expiring", "Valid")
    )
  )
)</f>
        <v>Valid</v>
      </c>
      <c r="AB162" s="4"/>
      <c r="AC162" s="4">
        <v>43247</v>
      </c>
      <c r="AD162" s="4">
        <v>43882</v>
      </c>
      <c r="AE162" s="4"/>
      <c r="AF162" s="4"/>
      <c r="AG162" s="4">
        <v>44187</v>
      </c>
      <c r="AH162" s="4"/>
      <c r="AI162" s="4" t="s">
        <v>688</v>
      </c>
      <c r="AJ162" s="4"/>
      <c r="AN162" s="4"/>
      <c r="AQ162" s="4"/>
      <c r="AR162" s="4"/>
      <c r="AS162" s="4"/>
      <c r="AT162" s="4" t="s">
        <v>689</v>
      </c>
      <c r="AU162" s="4"/>
      <c r="BB162" s="4"/>
      <c r="BC162" s="4"/>
      <c r="BD162" s="4" t="s">
        <v>393</v>
      </c>
      <c r="BE162" s="4"/>
      <c r="BF162" s="4"/>
      <c r="BG162" s="4">
        <v>41687</v>
      </c>
      <c r="BH162" s="4"/>
      <c r="BI162" s="4"/>
      <c r="BJ162" s="4"/>
      <c r="BK162" s="4"/>
      <c r="BL162" s="4"/>
      <c r="BM162" s="4"/>
      <c r="BN162" s="4"/>
      <c r="BO162" s="4"/>
      <c r="BP162" s="4"/>
      <c r="BQ162">
        <f>COUNTIF('TrainingReq (Ach)'!B:B,Table13[[#This Row],[Job Title]])</f>
        <v>13</v>
      </c>
      <c r="BR162" cm="1">
        <f t="array" aca="1" ref="BR16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2" s="5">
        <f t="shared" ca="1" si="6"/>
        <v>1</v>
      </c>
      <c r="BT162" t="s">
        <v>246</v>
      </c>
      <c r="BU162" t="s">
        <v>247</v>
      </c>
      <c r="BW162" s="4"/>
      <c r="CD162" s="4"/>
      <c r="CE162" s="4" t="str">
        <f ca="1">IF(
  _xlfn.XLOOKUP($D162 &amp; "-" &amp; CD$2, 'TrainingReq (Ach)'!$G:$G, 'TrainingReq (Ach)'!$F:$F, "2-Year") = "Forever",
  "Valid",
  IF(CD162="", "Not Trained",
     IF(CD162 &lt; TODAY() - 1, "Expired",
        IF(CD162 &lt;= TODAY() + 90, "Expiring", "Valid")
     )
  )
)</f>
        <v>Not Trained</v>
      </c>
      <c r="CF162" t="s">
        <v>250</v>
      </c>
      <c r="CG162" s="4"/>
      <c r="CH162" s="4" t="str">
        <f ca="1">IF(
  _xlfn.XLOOKUP($D161 &amp; "-" &amp; CG$2, 'TrainingReq (Ach)'!$G:$G, 'TrainingReq (Ach)'!$F:$F, "2-Year") = "Forever",
  "Valid",
  IF(CG161="", "Not Trained",
     IF(CG161 &lt; TODAY() - 1, "Expired",
        IF(CG161 &lt;= TODAY() + 90, "Expiring", "Valid")
     )
  )
)</f>
        <v>Not Trained</v>
      </c>
      <c r="CI162" t="str">
        <f t="shared" si="7"/>
        <v>Not eligible</v>
      </c>
      <c r="CJ162" t="str">
        <f t="shared" si="8"/>
        <v>Not eligible</v>
      </c>
    </row>
    <row r="163" spans="1:88" x14ac:dyDescent="0.25">
      <c r="A163">
        <v>161</v>
      </c>
      <c r="B163">
        <v>581663</v>
      </c>
      <c r="C163" t="s">
        <v>690</v>
      </c>
      <c r="D163" t="s">
        <v>13</v>
      </c>
      <c r="E163" t="s">
        <v>659</v>
      </c>
      <c r="F163" t="s">
        <v>681</v>
      </c>
      <c r="G163" t="s">
        <v>56</v>
      </c>
      <c r="H163" s="4">
        <v>46869</v>
      </c>
      <c r="I163" s="4" t="str">
        <f ca="1">IF(
  _xlfn.XLOOKUP($D163 &amp; "-" &amp; H$2, 'TrainingReq (Ach)'!G:G, 'TrainingReq (Ach)'!F:F, "2-Year") = "Forever",
  "Valid",
  IF(H163="", "Not Trained",
     IF(H163 &lt; TODAY() - 1, "Expired",
        IF(H163 &lt;= TODAY() + 90, "Expiring", "Valid")
     )
  )
)</f>
        <v>Valid</v>
      </c>
      <c r="J163" s="4">
        <v>46869</v>
      </c>
      <c r="K163" s="4" t="str">
        <f ca="1">IF(
  _xlfn.XLOOKUP($D163 &amp; "-" &amp; J$2, 'TrainingReq (Ach)'!G:G, 'TrainingReq (Ach)'!F:F, "2-Year") = "Forever",
  "Valid",
  IF(J163="", "Not Trained",
     IF(J163 &lt; TODAY() - 1, "Expired",
        IF(J163 &lt;= TODAY() + 90, "Expiring", "Valid")
     )
  )
)</f>
        <v>Valid</v>
      </c>
      <c r="L163" s="4">
        <v>45829</v>
      </c>
      <c r="M163" s="4" t="str">
        <f ca="1">IF(
  _xlfn.XLOOKUP($D163 &amp; "-" &amp; L$2, TrainingMan!$G:$G, TrainingMan!$F:$F, "2-Year") = "Forever",
  "Valid",
  IF(L163="", "Not Trained",
     IF(L163 &lt; TODAY() - 1, "Expired",
        IF(L163 &lt;= TODAY() + 90, "Expiring", "Valid")
     )
  )
)</f>
        <v>Valid</v>
      </c>
      <c r="N163" s="4">
        <v>45829</v>
      </c>
      <c r="O163" s="4" t="str">
        <f ca="1">IF(
  _xlfn.XLOOKUP($D163 &amp; "-" &amp; N$2, TrainingMan!$G:$G, TrainingMan!$F:$F, "2-Year") = "Forever",
  "Valid",
  IF(N163="", "Not Trained",
     IF(N163 &lt; TODAY() - 1, "Expired",
        IF(N163 &lt;= TODAY() + 90, "Expiring", "Valid")
     )
  )
)</f>
        <v>Valid</v>
      </c>
      <c r="P163" s="4">
        <v>45829</v>
      </c>
      <c r="Q163" s="4" t="str">
        <f ca="1">IF(
  _xlfn.XLOOKUP($D163 &amp; "-" &amp; P$2, TrainingMan!$G:$G, TrainingMan!$F:$F, "2-Year") = "Forever",
  "Valid",
  IF(P163="", "Not Trained",
     IF(P163 &lt; TODAY() - 1, "Expired",
        IF(P163 &lt;= TODAY() + 90, "Expiring", "Valid")
     )
  )
)</f>
        <v>Valid</v>
      </c>
      <c r="R163" s="4">
        <v>45829</v>
      </c>
      <c r="S163" s="4" t="str">
        <f ca="1">IF(
  _xlfn.XLOOKUP($D163 &amp; "-" &amp; R$2, TrainingMan!$G:$G, TrainingMan!$F:$F, "2-Year") = "Forever",
  "Valid",
  IF(R163="", "Not Trained",
     IF(R163 &lt; TODAY() - 1, "Expired",
        IF(R163 &lt;= TODAY() + 90, "Expiring", "Valid")
     )
  )
)</f>
        <v>Valid</v>
      </c>
      <c r="T163" s="4">
        <v>45854</v>
      </c>
      <c r="U163" s="4" t="str">
        <f ca="1">IF(
  _xlfn.XLOOKUP($D163 &amp; "-" &amp; T$2, TrainingMan!$G:$G, TrainingMan!$F:$F, "2-Year") = "Forever",
  "Valid",
  IF(T163="", "Not Trained",
     IF(T163 &lt; TODAY() - 1, "Expired",
        IF(T163 &lt;= TODAY() + 90, "Expiring", "Valid")
     )
  )
)</f>
        <v>Valid</v>
      </c>
      <c r="V163" s="4">
        <v>45868</v>
      </c>
      <c r="W163" s="4" t="str">
        <f ca="1">IF(
  _xlfn.XLOOKUP($D163 &amp; "-" &amp; V$2, TrainingMan!$G:$G, TrainingMan!$F:$F, "2-Year") = "Forever",
  "Valid",
  IF(V163="", "Not Trained",
     IF(V163 &lt; TODAY() - 1, "Expired",
        IF(V163 &lt;= TODAY() + 90, "Expiring", "Valid")
     )
  )
)</f>
        <v>Valid</v>
      </c>
      <c r="X163" s="4">
        <v>45868</v>
      </c>
      <c r="Y163" s="4" t="str">
        <f ca="1">IF(
  _xlfn.XLOOKUP($D163 &amp; "-" &amp; X$2, TrainingMan!$G:$G, TrainingMan!$F:$F, "2-Year") = "Forever",
  "Valid",
  IF(X163="", "Not Trained",
     IF(X163 &lt; TODAY() - 1, "Expired",
        IF(X163 &lt;= TODAY() + 90, "Expiring", "Valid")
     )
  )
)</f>
        <v>Valid</v>
      </c>
      <c r="Z163" s="4">
        <v>44955</v>
      </c>
      <c r="AA163" s="4" t="str">
        <f ca="1">IF(LEN(TRIM(Z163)) = 0, "Not Trained",
  IF(_xlfn.XLOOKUP($D163 &amp; "-" &amp; Z$2, TrainingMan!$G:$G, TrainingMan!$F:$F, "2-Year") = "Forever", "Valid",
    IF(Z163 &lt; TODAY() - 1, "Expired",
      IF(Z163 &lt;= TODAY() + 90, "Expiring", "Valid")
    )
  )
)</f>
        <v>Valid</v>
      </c>
      <c r="AB163" s="4">
        <v>43504</v>
      </c>
      <c r="AC163" s="4">
        <v>45471</v>
      </c>
      <c r="AD163" s="4">
        <v>45985</v>
      </c>
      <c r="AE163" s="4"/>
      <c r="AF163" s="4"/>
      <c r="AG163" s="4">
        <v>46064</v>
      </c>
      <c r="AH163" s="4" t="s">
        <v>691</v>
      </c>
      <c r="AI163" s="4"/>
      <c r="AJ163" s="4">
        <v>45826</v>
      </c>
      <c r="AN163" s="4"/>
      <c r="AQ163" s="4"/>
      <c r="AR163" s="4"/>
      <c r="AS163" s="4"/>
      <c r="AT163" s="4">
        <v>45952</v>
      </c>
      <c r="AU163" s="4"/>
      <c r="BB163" s="4"/>
      <c r="BC163" s="4" t="s">
        <v>297</v>
      </c>
      <c r="BD163" s="4" t="s">
        <v>602</v>
      </c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>
        <f>COUNTIF('TrainingReq (Ach)'!B:B,Table13[[#This Row],[Job Title]])</f>
        <v>13</v>
      </c>
      <c r="BR163" cm="1">
        <f t="array" aca="1" ref="BR16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3" s="5">
        <f t="shared" ca="1" si="6"/>
        <v>1</v>
      </c>
      <c r="BT163" t="s">
        <v>237</v>
      </c>
      <c r="BU163" t="s">
        <v>247</v>
      </c>
      <c r="BV163" t="s">
        <v>270</v>
      </c>
      <c r="BW163" s="4"/>
      <c r="CC163" t="s">
        <v>692</v>
      </c>
      <c r="CD163" s="4"/>
      <c r="CE163" s="4" t="str">
        <f ca="1">IF(
  _xlfn.XLOOKUP($D163 &amp; "-" &amp; CD$2, 'TrainingReq (Ach)'!$G:$G, 'TrainingReq (Ach)'!$F:$F, "2-Year") = "Forever",
  "Valid",
  IF(CD163="", "Not Trained",
     IF(CD163 &lt; TODAY() - 1, "Expired",
        IF(CD163 &lt;= TODAY() + 90, "Expiring", "Valid")
     )
  )
)</f>
        <v>Not Trained</v>
      </c>
      <c r="CF163" t="s">
        <v>250</v>
      </c>
      <c r="CG163" s="4">
        <v>53490</v>
      </c>
      <c r="CH163" s="4" t="str">
        <f ca="1">IF(
  _xlfn.XLOOKUP($D162 &amp; "-" &amp; CG$2, 'TrainingReq (Ach)'!$G:$G, 'TrainingReq (Ach)'!$F:$F, "2-Year") = "Forever",
  "Valid",
  IF(CG162="", "Not Trained",
     IF(CG162 &lt; TODAY() - 1, "Expired",
        IF(CG162 &lt;= TODAY() + 90, "Expiring", "Valid")
     )
  )
)</f>
        <v>Not Trained</v>
      </c>
      <c r="CI163" t="str">
        <f t="shared" si="7"/>
        <v>Not eligible</v>
      </c>
      <c r="CJ163" t="str">
        <f t="shared" si="8"/>
        <v>Not eligible</v>
      </c>
    </row>
    <row r="164" spans="1:88" x14ac:dyDescent="0.25">
      <c r="A164">
        <v>162</v>
      </c>
      <c r="B164">
        <v>580642</v>
      </c>
      <c r="C164" t="s">
        <v>693</v>
      </c>
      <c r="D164" t="s">
        <v>13</v>
      </c>
      <c r="E164" t="s">
        <v>665</v>
      </c>
      <c r="F164" t="s">
        <v>681</v>
      </c>
      <c r="G164" t="s">
        <v>56</v>
      </c>
      <c r="H164" s="4">
        <v>46869</v>
      </c>
      <c r="I164" s="4" t="str">
        <f ca="1">IF(
  _xlfn.XLOOKUP($D164 &amp; "-" &amp; H$2, 'TrainingReq (Ach)'!G:G, 'TrainingReq (Ach)'!F:F, "2-Year") = "Forever",
  "Valid",
  IF(H164="", "Not Trained",
     IF(H164 &lt; TODAY() - 1, "Expired",
        IF(H164 &lt;= TODAY() + 90, "Expiring", "Valid")
     )
  )
)</f>
        <v>Valid</v>
      </c>
      <c r="J164" s="4">
        <v>46869</v>
      </c>
      <c r="K164" s="4" t="str">
        <f ca="1">IF(
  _xlfn.XLOOKUP($D164 &amp; "-" &amp; J$2, 'TrainingReq (Ach)'!G:G, 'TrainingReq (Ach)'!F:F, "2-Year") = "Forever",
  "Valid",
  IF(J164="", "Not Trained",
     IF(J164 &lt; TODAY() - 1, "Expired",
        IF(J164 &lt;= TODAY() + 90, "Expiring", "Valid")
     )
  )
)</f>
        <v>Valid</v>
      </c>
      <c r="L164" s="4">
        <v>46267</v>
      </c>
      <c r="M164" s="4" t="str">
        <f ca="1">IF(
  _xlfn.XLOOKUP($D164 &amp; "-" &amp; L$2, TrainingMan!$G:$G, TrainingMan!$F:$F, "2-Year") = "Forever",
  "Valid",
  IF(L164="", "Not Trained",
     IF(L164 &lt; TODAY() - 1, "Expired",
        IF(L164 &lt;= TODAY() + 90, "Expiring", "Valid")
     )
  )
)</f>
        <v>Valid</v>
      </c>
      <c r="N164" s="4">
        <v>46267</v>
      </c>
      <c r="O164" s="4" t="str">
        <f ca="1">IF(
  _xlfn.XLOOKUP($D164 &amp; "-" &amp; N$2, TrainingMan!$G:$G, TrainingMan!$F:$F, "2-Year") = "Forever",
  "Valid",
  IF(N164="", "Not Trained",
     IF(N164 &lt; TODAY() - 1, "Expired",
        IF(N164 &lt;= TODAY() + 90, "Expiring", "Valid")
     )
  )
)</f>
        <v>Valid</v>
      </c>
      <c r="P164" s="4">
        <v>46107</v>
      </c>
      <c r="Q164" s="4" t="str">
        <f ca="1">IF(
  _xlfn.XLOOKUP($D164 &amp; "-" &amp; P$2, TrainingMan!$G:$G, TrainingMan!$F:$F, "2-Year") = "Forever",
  "Valid",
  IF(P164="", "Not Trained",
     IF(P164 &lt; TODAY() - 1, "Expired",
        IF(P164 &lt;= TODAY() + 90, "Expiring", "Valid")
     )
  )
)</f>
        <v>Valid</v>
      </c>
      <c r="R164" s="4">
        <v>46107</v>
      </c>
      <c r="S164" s="4" t="str">
        <f ca="1">IF(
  _xlfn.XLOOKUP($D164 &amp; "-" &amp; R$2, TrainingMan!$G:$G, TrainingMan!$F:$F, "2-Year") = "Forever",
  "Valid",
  IF(R164="", "Not Trained",
     IF(R164 &lt; TODAY() - 1, "Expired",
        IF(R164 &lt;= TODAY() + 90, "Expiring", "Valid")
     )
  )
)</f>
        <v>Valid</v>
      </c>
      <c r="T164" s="4">
        <v>46107</v>
      </c>
      <c r="U164" s="4" t="str">
        <f ca="1">IF(
  _xlfn.XLOOKUP($D164 &amp; "-" &amp; T$2, TrainingMan!$G:$G, TrainingMan!$F:$F, "2-Year") = "Forever",
  "Valid",
  IF(T164="", "Not Trained",
     IF(T164 &lt; TODAY() - 1, "Expired",
        IF(T164 &lt;= TODAY() + 90, "Expiring", "Valid")
     )
  )
)</f>
        <v>Valid</v>
      </c>
      <c r="V164" s="4">
        <v>46302</v>
      </c>
      <c r="W164" s="4" t="str">
        <f ca="1">IF(
  _xlfn.XLOOKUP($D164 &amp; "-" &amp; V$2, TrainingMan!$G:$G, TrainingMan!$F:$F, "2-Year") = "Forever",
  "Valid",
  IF(V164="", "Not Trained",
     IF(V164 &lt; TODAY() - 1, "Expired",
        IF(V164 &lt;= TODAY() + 90, "Expiring", "Valid")
     )
  )
)</f>
        <v>Valid</v>
      </c>
      <c r="X164" s="4">
        <v>46107</v>
      </c>
      <c r="Y164" s="4" t="str">
        <f ca="1">IF(
  _xlfn.XLOOKUP($D164 &amp; "-" &amp; X$2, TrainingMan!$G:$G, TrainingMan!$F:$F, "2-Year") = "Forever",
  "Valid",
  IF(X164="", "Not Trained",
     IF(X164 &lt; TODAY() - 1, "Expired",
        IF(X164 &lt;= TODAY() + 90, "Expiring", "Valid")
     )
  )
)</f>
        <v>Valid</v>
      </c>
      <c r="Z164" s="4">
        <v>45390</v>
      </c>
      <c r="AA164" s="4" t="str">
        <f ca="1">IF(LEN(TRIM(Z164)) = 0, "Not Trained",
  IF(_xlfn.XLOOKUP($D164 &amp; "-" &amp; Z$2, TrainingMan!$G:$G, TrainingMan!$F:$F, "2-Year") = "Forever", "Valid",
    IF(Z164 &lt; TODAY() - 1, "Expired",
      IF(Z164 &lt;= TODAY() + 90, "Expiring", "Valid")
    )
  )
)</f>
        <v>Valid</v>
      </c>
      <c r="AB164" s="4"/>
      <c r="AC164" s="4">
        <v>43205</v>
      </c>
      <c r="AD164" s="4">
        <v>45854</v>
      </c>
      <c r="AE164" s="4"/>
      <c r="AF164" s="4"/>
      <c r="AG164" s="4">
        <v>44019</v>
      </c>
      <c r="AH164" s="4" t="s">
        <v>694</v>
      </c>
      <c r="AI164" s="4" t="s">
        <v>695</v>
      </c>
      <c r="AJ164" s="4"/>
      <c r="AN164" s="4" t="s">
        <v>483</v>
      </c>
      <c r="AQ164" s="4"/>
      <c r="AR164" s="4"/>
      <c r="AS164" s="4"/>
      <c r="AT164" s="4" t="s">
        <v>696</v>
      </c>
      <c r="AU164" s="4"/>
      <c r="BB164" s="4"/>
      <c r="BC164" s="4"/>
      <c r="BD164" s="4" t="s">
        <v>673</v>
      </c>
      <c r="BE164" s="4"/>
      <c r="BF164" s="4"/>
      <c r="BG164" s="4">
        <v>41799</v>
      </c>
      <c r="BH164" s="4"/>
      <c r="BI164" s="4"/>
      <c r="BJ164" s="4"/>
      <c r="BK164" s="4"/>
      <c r="BL164" s="4"/>
      <c r="BM164" s="4"/>
      <c r="BN164" s="4"/>
      <c r="BO164" s="4"/>
      <c r="BP164" s="4"/>
      <c r="BQ164">
        <f>COUNTIF('TrainingReq (Ach)'!B:B,Table13[[#This Row],[Job Title]])</f>
        <v>13</v>
      </c>
      <c r="BR164" cm="1">
        <f t="array" aca="1" ref="BR16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4" s="5">
        <f t="shared" ca="1" si="6"/>
        <v>1</v>
      </c>
      <c r="BT164" t="s">
        <v>662</v>
      </c>
      <c r="BU164" t="s">
        <v>247</v>
      </c>
      <c r="BW164" s="4"/>
      <c r="CD164" s="4"/>
      <c r="CE164" s="4" t="str">
        <f ca="1">IF(
  _xlfn.XLOOKUP($D164 &amp; "-" &amp; CD$2, 'TrainingReq (Ach)'!$G:$G, 'TrainingReq (Ach)'!$F:$F, "2-Year") = "Forever",
  "Valid",
  IF(CD164="", "Not Trained",
     IF(CD164 &lt; TODAY() - 1, "Expired",
        IF(CD164 &lt;= TODAY() + 90, "Expiring", "Valid")
     )
  )
)</f>
        <v>Not Trained</v>
      </c>
      <c r="CF164" t="s">
        <v>250</v>
      </c>
      <c r="CG164" s="4"/>
      <c r="CH164" s="4" t="str">
        <f ca="1">IF(
  _xlfn.XLOOKUP($D163 &amp; "-" &amp; CG$2, 'TrainingReq (Ach)'!$G:$G, 'TrainingReq (Ach)'!$F:$F, "2-Year") = "Forever",
  "Valid",
  IF(CG163="", "Not Trained",
     IF(CG163 &lt; TODAY() - 1, "Expired",
        IF(CG163 &lt;= TODAY() + 90, "Expiring", "Valid")
     )
  )
)</f>
        <v>Valid</v>
      </c>
      <c r="CI164" t="str">
        <f t="shared" si="7"/>
        <v>Not eligible</v>
      </c>
      <c r="CJ164" t="str">
        <f t="shared" si="8"/>
        <v>Not eligible</v>
      </c>
    </row>
    <row r="165" spans="1:88" x14ac:dyDescent="0.25">
      <c r="A165">
        <v>163</v>
      </c>
      <c r="B165">
        <v>580457</v>
      </c>
      <c r="C165" t="s">
        <v>697</v>
      </c>
      <c r="D165" t="s">
        <v>13</v>
      </c>
      <c r="E165" t="s">
        <v>665</v>
      </c>
      <c r="F165" t="s">
        <v>681</v>
      </c>
      <c r="G165" t="s">
        <v>56</v>
      </c>
      <c r="H165" s="4">
        <v>46340</v>
      </c>
      <c r="I165" s="4" t="str">
        <f ca="1">IF(
  _xlfn.XLOOKUP($D165 &amp; "-" &amp; H$2, 'TrainingReq (Ach)'!G:G, 'TrainingReq (Ach)'!F:F, "2-Year") = "Forever",
  "Valid",
  IF(H165="", "Not Trained",
     IF(H165 &lt; TODAY() - 1, "Expired",
        IF(H165 &lt;= TODAY() + 90, "Expiring", "Valid")
     )
  )
)</f>
        <v>Expiring</v>
      </c>
      <c r="J165" s="4">
        <v>46340</v>
      </c>
      <c r="K165" s="4" t="str">
        <f ca="1">IF(
  _xlfn.XLOOKUP($D165 &amp; "-" &amp; J$2, 'TrainingReq (Ach)'!G:G, 'TrainingReq (Ach)'!F:F, "2-Year") = "Forever",
  "Valid",
  IF(J165="", "Not Trained",
     IF(J165 &lt; TODAY() - 1, "Expired",
        IF(J165 &lt;= TODAY() + 90, "Expiring", "Valid")
     )
  )
)</f>
        <v>Expiring</v>
      </c>
      <c r="L165" s="4">
        <v>46275</v>
      </c>
      <c r="M165" s="4" t="str">
        <f ca="1">IF(
  _xlfn.XLOOKUP($D165 &amp; "-" &amp; L$2, TrainingMan!$G:$G, TrainingMan!$F:$F, "2-Year") = "Forever",
  "Valid",
  IF(L165="", "Not Trained",
     IF(L165 &lt; TODAY() - 1, "Expired",
        IF(L165 &lt;= TODAY() + 90, "Expiring", "Valid")
     )
  )
)</f>
        <v>Valid</v>
      </c>
      <c r="N165" s="4">
        <v>46275</v>
      </c>
      <c r="O165" s="4" t="str">
        <f ca="1">IF(
  _xlfn.XLOOKUP($D165 &amp; "-" &amp; N$2, TrainingMan!$G:$G, TrainingMan!$F:$F, "2-Year") = "Forever",
  "Valid",
  IF(N165="", "Not Trained",
     IF(N165 &lt; TODAY() - 1, "Expired",
        IF(N165 &lt;= TODAY() + 90, "Expiring", "Valid")
     )
  )
)</f>
        <v>Valid</v>
      </c>
      <c r="P165" s="4">
        <v>46275</v>
      </c>
      <c r="Q165" s="4" t="str">
        <f ca="1">IF(
  _xlfn.XLOOKUP($D165 &amp; "-" &amp; P$2, TrainingMan!$G:$G, TrainingMan!$F:$F, "2-Year") = "Forever",
  "Valid",
  IF(P165="", "Not Trained",
     IF(P165 &lt; TODAY() - 1, "Expired",
        IF(P165 &lt;= TODAY() + 90, "Expiring", "Valid")
     )
  )
)</f>
        <v>Valid</v>
      </c>
      <c r="R165" s="4">
        <v>46312</v>
      </c>
      <c r="S165" s="4" t="str">
        <f ca="1">IF(
  _xlfn.XLOOKUP($D165 &amp; "-" &amp; R$2, TrainingMan!$G:$G, TrainingMan!$F:$F, "2-Year") = "Forever",
  "Valid",
  IF(R165="", "Not Trained",
     IF(R165 &lt; TODAY() - 1, "Expired",
        IF(R165 &lt;= TODAY() + 90, "Expiring", "Valid")
     )
  )
)</f>
        <v>Valid</v>
      </c>
      <c r="T165" s="4">
        <v>45861</v>
      </c>
      <c r="U165" s="4" t="str">
        <f ca="1">IF(
  _xlfn.XLOOKUP($D165 &amp; "-" &amp; T$2, TrainingMan!$G:$G, TrainingMan!$F:$F, "2-Year") = "Forever",
  "Valid",
  IF(T165="", "Not Trained",
     IF(T165 &lt; TODAY() - 1, "Expired",
        IF(T165 &lt;= TODAY() + 90, "Expiring", "Valid")
     )
  )
)</f>
        <v>Valid</v>
      </c>
      <c r="V165" s="4">
        <v>46275</v>
      </c>
      <c r="W165" s="4" t="str">
        <f ca="1">IF(
  _xlfn.XLOOKUP($D165 &amp; "-" &amp; V$2, TrainingMan!$G:$G, TrainingMan!$F:$F, "2-Year") = "Forever",
  "Valid",
  IF(V165="", "Not Trained",
     IF(V165 &lt; TODAY() - 1, "Expired",
        IF(V165 &lt;= TODAY() + 90, "Expiring", "Valid")
     )
  )
)</f>
        <v>Valid</v>
      </c>
      <c r="X165" s="4">
        <v>45861</v>
      </c>
      <c r="Y165" s="4" t="str">
        <f ca="1">IF(
  _xlfn.XLOOKUP($D165 &amp; "-" &amp; X$2, TrainingMan!$G:$G, TrainingMan!$F:$F, "2-Year") = "Forever",
  "Valid",
  IF(X165="", "Not Trained",
     IF(X165 &lt; TODAY() - 1, "Expired",
        IF(X165 &lt;= TODAY() + 90, "Expiring", "Valid")
     )
  )
)</f>
        <v>Valid</v>
      </c>
      <c r="Z165" s="4">
        <v>44962</v>
      </c>
      <c r="AA165" s="4" t="str">
        <f ca="1">IF(LEN(TRIM(Z165)) = 0, "Not Trained",
  IF(_xlfn.XLOOKUP($D165 &amp; "-" &amp; Z$2, TrainingMan!$G:$G, TrainingMan!$F:$F, "2-Year") = "Forever", "Valid",
    IF(Z165 &lt; TODAY() - 1, "Expired",
      IF(Z165 &lt;= TODAY() + 90, "Expiring", "Valid")
    )
  )
)</f>
        <v>Valid</v>
      </c>
      <c r="AB165" s="4"/>
      <c r="AC165" s="4">
        <v>45407</v>
      </c>
      <c r="AD165" s="4">
        <v>45023</v>
      </c>
      <c r="AE165" s="4"/>
      <c r="AF165" s="4"/>
      <c r="AG165" s="4">
        <v>46035</v>
      </c>
      <c r="AH165" s="4" t="s">
        <v>698</v>
      </c>
      <c r="AI165" s="4"/>
      <c r="AJ165" s="4"/>
      <c r="AN165" s="4"/>
      <c r="AQ165" s="4">
        <v>43063</v>
      </c>
      <c r="AR165" s="4">
        <v>42992</v>
      </c>
      <c r="AS165" s="4"/>
      <c r="AT165" s="4">
        <v>45861</v>
      </c>
      <c r="AU165" s="4"/>
      <c r="BB165" s="4"/>
      <c r="BC165" s="4"/>
      <c r="BD165" s="4" t="s">
        <v>393</v>
      </c>
      <c r="BE165" s="4"/>
      <c r="BF165" s="4"/>
      <c r="BG165" s="4">
        <v>41248</v>
      </c>
      <c r="BH165" s="4"/>
      <c r="BI165" s="4"/>
      <c r="BJ165" s="4"/>
      <c r="BK165" s="4"/>
      <c r="BL165" s="4"/>
      <c r="BM165" s="4"/>
      <c r="BN165" s="4"/>
      <c r="BO165" s="4"/>
      <c r="BP165" s="4"/>
      <c r="BQ165">
        <f>COUNTIF('TrainingReq (Ach)'!B:B,Table13[[#This Row],[Job Title]])</f>
        <v>13</v>
      </c>
      <c r="BR165" cm="1">
        <f t="array" aca="1" ref="BR16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5" s="5">
        <f t="shared" ca="1" si="6"/>
        <v>1</v>
      </c>
      <c r="BT165" t="s">
        <v>246</v>
      </c>
      <c r="BU165" t="s">
        <v>247</v>
      </c>
      <c r="BW165" s="4"/>
      <c r="CD165" s="4"/>
      <c r="CE165" s="4" t="str">
        <f ca="1">IF(
  _xlfn.XLOOKUP($D165 &amp; "-" &amp; CD$2, 'TrainingReq (Ach)'!$G:$G, 'TrainingReq (Ach)'!$F:$F, "2-Year") = "Forever",
  "Valid",
  IF(CD165="", "Not Trained",
     IF(CD165 &lt; TODAY() - 1, "Expired",
        IF(CD165 &lt;= TODAY() + 90, "Expiring", "Valid")
     )
  )
)</f>
        <v>Not Trained</v>
      </c>
      <c r="CF165" t="s">
        <v>250</v>
      </c>
      <c r="CG165" s="4"/>
      <c r="CH165" s="4" t="str">
        <f ca="1">IF(
  _xlfn.XLOOKUP($D164 &amp; "-" &amp; CG$2, 'TrainingReq (Ach)'!$G:$G, 'TrainingReq (Ach)'!$F:$F, "2-Year") = "Forever",
  "Valid",
  IF(CG164="", "Not Trained",
     IF(CG164 &lt; TODAY() - 1, "Expired",
        IF(CG164 &lt;= TODAY() + 90, "Expiring", "Valid")
     )
  )
)</f>
        <v>Not Trained</v>
      </c>
      <c r="CI165" t="str">
        <f t="shared" si="7"/>
        <v>Not eligible</v>
      </c>
      <c r="CJ165" t="str">
        <f t="shared" si="8"/>
        <v>Not eligible</v>
      </c>
    </row>
    <row r="166" spans="1:88" x14ac:dyDescent="0.25">
      <c r="A166">
        <v>164</v>
      </c>
      <c r="B166">
        <v>580620</v>
      </c>
      <c r="C166" t="s">
        <v>699</v>
      </c>
      <c r="D166" t="s">
        <v>22</v>
      </c>
      <c r="E166" t="s">
        <v>285</v>
      </c>
      <c r="F166" t="s">
        <v>681</v>
      </c>
      <c r="G166" t="s">
        <v>56</v>
      </c>
      <c r="H166" s="4">
        <v>46400</v>
      </c>
      <c r="I166" s="4" t="str">
        <f ca="1">IF(
  _xlfn.XLOOKUP($D166 &amp; "-" &amp; H$2, 'TrainingReq (Ach)'!G:G, 'TrainingReq (Ach)'!F:F, "2-Year") = "Forever",
  "Valid",
  IF(H166="", "Not Trained",
     IF(H166 &lt; TODAY() - 1, "Expired",
        IF(H166 &lt;= TODAY() + 90, "Expiring", "Valid")
     )
  )
)</f>
        <v>Valid</v>
      </c>
      <c r="J166" s="4">
        <v>46400</v>
      </c>
      <c r="K166" s="4" t="str">
        <f ca="1">IF(
  _xlfn.XLOOKUP($D166 &amp; "-" &amp; J$2, 'TrainingReq (Ach)'!G:G, 'TrainingReq (Ach)'!F:F, "2-Year") = "Forever",
  "Valid",
  IF(J166="", "Not Trained",
     IF(J166 &lt; TODAY() - 1, "Expired",
        IF(J166 &lt;= TODAY() + 90, "Expiring", "Valid")
     )
  )
)</f>
        <v>Valid</v>
      </c>
      <c r="L166" s="4">
        <v>45538</v>
      </c>
      <c r="M166" s="4" t="str">
        <f ca="1">IF(
  _xlfn.XLOOKUP($D166 &amp; "-" &amp; L$2, TrainingMan!$G:$G, TrainingMan!$F:$F, "2-Year") = "Forever",
  "Valid",
  IF(L166="", "Not Trained",
     IF(L166 &lt; TODAY() - 1, "Expired",
        IF(L166 &lt;= TODAY() + 90, "Expiring", "Valid")
     )
  )
)</f>
        <v>Valid</v>
      </c>
      <c r="N166" s="4">
        <v>46555</v>
      </c>
      <c r="O166" s="4" t="str">
        <f ca="1">IF(
  _xlfn.XLOOKUP($D166 &amp; "-" &amp; N$2, TrainingMan!$G:$G, TrainingMan!$F:$F, "2-Year") = "Forever",
  "Valid",
  IF(N166="", "Not Trained",
     IF(N166 &lt; TODAY() - 1, "Expired",
        IF(N166 &lt;= TODAY() + 90, "Expiring", "Valid")
     )
  )
)</f>
        <v>Valid</v>
      </c>
      <c r="P166" s="4">
        <v>46555</v>
      </c>
      <c r="Q166" s="4" t="str">
        <f ca="1">IF(
  _xlfn.XLOOKUP($D166 &amp; "-" &amp; P$2, TrainingMan!$G:$G, TrainingMan!$F:$F, "2-Year") = "Forever",
  "Valid",
  IF(P166="", "Not Trained",
     IF(P166 &lt; TODAY() - 1, "Expired",
        IF(P166 &lt;= TODAY() + 90, "Expiring", "Valid")
     )
  )
)</f>
        <v>Valid</v>
      </c>
      <c r="R166" s="4">
        <v>46555</v>
      </c>
      <c r="S166" s="4" t="str">
        <f ca="1">IF(
  _xlfn.XLOOKUP($D166 &amp; "-" &amp; R$2, TrainingMan!$G:$G, TrainingMan!$F:$F, "2-Year") = "Forever",
  "Valid",
  IF(R166="", "Not Trained",
     IF(R166 &lt; TODAY() - 1, "Expired",
        IF(R166 &lt;= TODAY() + 90, "Expiring", "Valid")
     )
  )
)</f>
        <v>Valid</v>
      </c>
      <c r="T166" s="4">
        <v>46555</v>
      </c>
      <c r="U166" s="4" t="str">
        <f ca="1">IF(
  _xlfn.XLOOKUP($D166 &amp; "-" &amp; T$2, TrainingMan!$G:$G, TrainingMan!$F:$F, "2-Year") = "Forever",
  "Valid",
  IF(T166="", "Not Trained",
     IF(T166 &lt; TODAY() - 1, "Expired",
        IF(T166 &lt;= TODAY() + 90, "Expiring", "Valid")
     )
  )
)</f>
        <v>Valid</v>
      </c>
      <c r="V166" s="4">
        <v>44271</v>
      </c>
      <c r="W166" s="4" t="str">
        <f ca="1">IF(
  _xlfn.XLOOKUP($D166 &amp; "-" &amp; V$2, TrainingMan!$G:$G, TrainingMan!$F:$F, "2-Year") = "Forever",
  "Valid",
  IF(V166="", "Not Trained",
     IF(V166 &lt; TODAY() - 1, "Expired",
        IF(V166 &lt;= TODAY() + 90, "Expiring", "Valid")
     )
  )
)</f>
        <v>Valid</v>
      </c>
      <c r="X166" s="4">
        <v>44277</v>
      </c>
      <c r="Y166" s="4" t="str">
        <f ca="1">IF(
  _xlfn.XLOOKUP($D166 &amp; "-" &amp; X$2, TrainingMan!$G:$G, TrainingMan!$F:$F, "2-Year") = "Forever",
  "Valid",
  IF(X166="", "Not Trained",
     IF(X166 &lt; TODAY() - 1, "Expired",
        IF(X166 &lt;= TODAY() + 90, "Expiring", "Valid")
     )
  )
)</f>
        <v>Valid</v>
      </c>
      <c r="Z166" s="4">
        <v>44271</v>
      </c>
      <c r="AA166" s="4" t="str">
        <f ca="1">IF(LEN(TRIM(Z166)) = 0, "Not Trained",
  IF(_xlfn.XLOOKUP($D166 &amp; "-" &amp; Z$2, TrainingMan!$G:$G, TrainingMan!$F:$F, "2-Year") = "Forever", "Valid",
    IF(Z166 &lt; TODAY() - 1, "Expired",
      IF(Z166 &lt;= TODAY() + 90, "Expiring", "Valid")
    )
  )
)</f>
        <v>Valid</v>
      </c>
      <c r="AB166" s="4"/>
      <c r="AC166" s="4">
        <v>42608</v>
      </c>
      <c r="AD166" s="4">
        <v>42669</v>
      </c>
      <c r="AE166" s="4"/>
      <c r="AF166" s="4"/>
      <c r="AG166" s="4">
        <v>42472</v>
      </c>
      <c r="AH166" s="4"/>
      <c r="AI166" s="4"/>
      <c r="AJ166" s="4"/>
      <c r="AN166" s="4"/>
      <c r="AP166" s="4">
        <v>45980</v>
      </c>
      <c r="AQ166" s="4">
        <v>44633</v>
      </c>
      <c r="AR166" s="4">
        <v>44905</v>
      </c>
      <c r="AS166" s="4">
        <v>44499</v>
      </c>
      <c r="AT166" s="4"/>
      <c r="AU166" s="4"/>
      <c r="BA166" t="s">
        <v>700</v>
      </c>
      <c r="BB166" s="4"/>
      <c r="BC166" s="4"/>
      <c r="BD166" s="4" t="s">
        <v>254</v>
      </c>
      <c r="BE166" s="4"/>
      <c r="BF166" s="4"/>
      <c r="BG166" s="4">
        <v>41687</v>
      </c>
      <c r="BH166" s="4"/>
      <c r="BI166" s="4"/>
      <c r="BJ166" s="4"/>
      <c r="BK166" s="4"/>
      <c r="BL166" s="4"/>
      <c r="BM166" s="4"/>
      <c r="BN166" s="4"/>
      <c r="BO166" s="4"/>
      <c r="BP166" s="4"/>
      <c r="BQ166">
        <f>COUNTIF('TrainingReq (Ach)'!B:B,Table13[[#This Row],[Job Title]])</f>
        <v>14</v>
      </c>
      <c r="BR166" cm="1">
        <f t="array" aca="1" ref="BR16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66" s="5">
        <f t="shared" ca="1" si="6"/>
        <v>1</v>
      </c>
      <c r="BT166" t="s">
        <v>246</v>
      </c>
      <c r="BU166" t="s">
        <v>238</v>
      </c>
      <c r="BW166" s="4"/>
      <c r="CD166" s="4"/>
      <c r="CE166" s="4" t="str">
        <f ca="1">IF(
  _xlfn.XLOOKUP($D166 &amp; "-" &amp; CD$2, 'TrainingReq (Ach)'!$G:$G, 'TrainingReq (Ach)'!$F:$F, "2-Year") = "Forever",
  "Valid",
  IF(CD166="", "Not Trained",
     IF(CD166 &lt; TODAY() - 1, "Expired",
        IF(CD166 &lt;= TODAY() + 90, "Expiring", "Valid")
     )
  )
)</f>
        <v>Not Trained</v>
      </c>
      <c r="CF166" t="s">
        <v>239</v>
      </c>
      <c r="CG166" s="4"/>
      <c r="CH166" s="4" t="str">
        <f ca="1">IF(
  _xlfn.XLOOKUP($D165 &amp; "-" &amp; CG$2, 'TrainingReq (Ach)'!$G:$G, 'TrainingReq (Ach)'!$F:$F, "2-Year") = "Forever",
  "Valid",
  IF(CG165="", "Not Trained",
     IF(CG165 &lt; TODAY() - 1, "Expired",
        IF(CG165 &lt;= TODAY() + 90, "Expiring", "Valid")
     )
  )
)</f>
        <v>Not Trained</v>
      </c>
      <c r="CI166" t="str">
        <f t="shared" si="7"/>
        <v>Not eligible</v>
      </c>
      <c r="CJ166" t="str">
        <f t="shared" si="8"/>
        <v>Not eligible</v>
      </c>
    </row>
    <row r="167" spans="1:88" x14ac:dyDescent="0.25">
      <c r="A167">
        <v>165</v>
      </c>
      <c r="B167">
        <v>581868</v>
      </c>
      <c r="C167" t="s">
        <v>701</v>
      </c>
      <c r="D167" t="s">
        <v>13</v>
      </c>
      <c r="E167" t="s">
        <v>665</v>
      </c>
      <c r="F167" t="s">
        <v>681</v>
      </c>
      <c r="G167" t="s">
        <v>56</v>
      </c>
      <c r="H167" s="4">
        <v>46400</v>
      </c>
      <c r="I167" s="4" t="str">
        <f ca="1">IF(
  _xlfn.XLOOKUP($D167 &amp; "-" &amp; H$2, 'TrainingReq (Ach)'!G:G, 'TrainingReq (Ach)'!F:F, "2-Year") = "Forever",
  "Valid",
  IF(H167="", "Not Trained",
     IF(H167 &lt; TODAY() - 1, "Expired",
        IF(H167 &lt;= TODAY() + 90, "Expiring", "Valid")
     )
  )
)</f>
        <v>Valid</v>
      </c>
      <c r="J167" s="4">
        <v>46400</v>
      </c>
      <c r="K167" s="4" t="str">
        <f ca="1">IF(
  _xlfn.XLOOKUP($D167 &amp; "-" &amp; J$2, 'TrainingReq (Ach)'!G:G, 'TrainingReq (Ach)'!F:F, "2-Year") = "Forever",
  "Valid",
  IF(J167="", "Not Trained",
     IF(J167 &lt; TODAY() - 1, "Expired",
        IF(J167 &lt;= TODAY() + 90, "Expiring", "Valid")
     )
  )
)</f>
        <v>Valid</v>
      </c>
      <c r="L167" s="4">
        <v>46304</v>
      </c>
      <c r="M167" s="4" t="str">
        <f ca="1">IF(
  _xlfn.XLOOKUP($D167 &amp; "-" &amp; L$2, TrainingMan!$G:$G, TrainingMan!$F:$F, "2-Year") = "Forever",
  "Valid",
  IF(L167="", "Not Trained",
     IF(L167 &lt; TODAY() - 1, "Expired",
        IF(L167 &lt;= TODAY() + 90, "Expiring", "Valid")
     )
  )
)</f>
        <v>Valid</v>
      </c>
      <c r="N167" s="4">
        <v>46304</v>
      </c>
      <c r="O167" s="4" t="str">
        <f ca="1">IF(
  _xlfn.XLOOKUP($D167 &amp; "-" &amp; N$2, TrainingMan!$G:$G, TrainingMan!$F:$F, "2-Year") = "Forever",
  "Valid",
  IF(N167="", "Not Trained",
     IF(N167 &lt; TODAY() - 1, "Expired",
        IF(N167 &lt;= TODAY() + 90, "Expiring", "Valid")
     )
  )
)</f>
        <v>Valid</v>
      </c>
      <c r="P167" s="4">
        <v>46304</v>
      </c>
      <c r="Q167" s="4" t="str">
        <f ca="1">IF(
  _xlfn.XLOOKUP($D167 &amp; "-" &amp; P$2, TrainingMan!$G:$G, TrainingMan!$F:$F, "2-Year") = "Forever",
  "Valid",
  IF(P167="", "Not Trained",
     IF(P167 &lt; TODAY() - 1, "Expired",
        IF(P167 &lt;= TODAY() + 90, "Expiring", "Valid")
     )
  )
)</f>
        <v>Valid</v>
      </c>
      <c r="R167" s="4">
        <v>46304</v>
      </c>
      <c r="S167" s="4" t="str">
        <f ca="1">IF(
  _xlfn.XLOOKUP($D167 &amp; "-" &amp; R$2, TrainingMan!$G:$G, TrainingMan!$F:$F, "2-Year") = "Forever",
  "Valid",
  IF(R167="", "Not Trained",
     IF(R167 &lt; TODAY() - 1, "Expired",
        IF(R167 &lt;= TODAY() + 90, "Expiring", "Valid")
     )
  )
)</f>
        <v>Valid</v>
      </c>
      <c r="T167" s="4">
        <v>45952</v>
      </c>
      <c r="U167" s="4" t="str">
        <f ca="1">IF(
  _xlfn.XLOOKUP($D167 &amp; "-" &amp; T$2, TrainingMan!$G:$G, TrainingMan!$F:$F, "2-Year") = "Forever",
  "Valid",
  IF(T167="", "Not Trained",
     IF(T167 &lt; TODAY() - 1, "Expired",
        IF(T167 &lt;= TODAY() + 90, "Expiring", "Valid")
     )
  )
)</f>
        <v>Valid</v>
      </c>
      <c r="V167" s="4">
        <v>46156</v>
      </c>
      <c r="W167" s="4" t="str">
        <f ca="1">IF(
  _xlfn.XLOOKUP($D167 &amp; "-" &amp; V$2, TrainingMan!$G:$G, TrainingMan!$F:$F, "2-Year") = "Forever",
  "Valid",
  IF(V167="", "Not Trained",
     IF(V167 &lt; TODAY() - 1, "Expired",
        IF(V167 &lt;= TODAY() + 90, "Expiring", "Valid")
     )
  )
)</f>
        <v>Valid</v>
      </c>
      <c r="X167" s="4">
        <v>46156</v>
      </c>
      <c r="Y167" s="4" t="str">
        <f ca="1">IF(
  _xlfn.XLOOKUP($D167 &amp; "-" &amp; X$2, TrainingMan!$G:$G, TrainingMan!$F:$F, "2-Year") = "Forever",
  "Valid",
  IF(X167="", "Not Trained",
     IF(X167 &lt; TODAY() - 1, "Expired",
        IF(X167 &lt;= TODAY() + 90, "Expiring", "Valid")
     )
  )
)</f>
        <v>Valid</v>
      </c>
      <c r="Z167" s="4">
        <v>43394</v>
      </c>
      <c r="AA167" s="4" t="str">
        <f ca="1">IF(LEN(TRIM(Z167)) = 0, "Not Trained",
  IF(_xlfn.XLOOKUP($D167 &amp; "-" &amp; Z$2, TrainingMan!$G:$G, TrainingMan!$F:$F, "2-Year") = "Forever", "Valid",
    IF(Z167 &lt; TODAY() - 1, "Expired",
      IF(Z167 &lt;= TODAY() + 90, "Expiring", "Valid")
    )
  )
)</f>
        <v>Valid</v>
      </c>
      <c r="AB167" s="4"/>
      <c r="AC167" s="4">
        <v>43948</v>
      </c>
      <c r="AD167" s="4">
        <v>44976</v>
      </c>
      <c r="AE167" s="4"/>
      <c r="AF167" s="4"/>
      <c r="AG167" s="4">
        <v>43025</v>
      </c>
      <c r="AH167" s="4"/>
      <c r="AI167" s="4" t="s">
        <v>702</v>
      </c>
      <c r="AJ167" s="4"/>
      <c r="AN167" s="4" t="s">
        <v>483</v>
      </c>
      <c r="AQ167" s="4"/>
      <c r="AR167" s="4"/>
      <c r="AS167" s="4"/>
      <c r="AT167" s="4" t="s">
        <v>689</v>
      </c>
      <c r="AU167" s="4"/>
      <c r="BB167" s="4"/>
      <c r="BC167" s="4"/>
      <c r="BD167" s="4" t="s">
        <v>602</v>
      </c>
      <c r="BE167" s="4"/>
      <c r="BF167" s="4"/>
      <c r="BG167" s="4">
        <v>43402</v>
      </c>
      <c r="BH167" s="4"/>
      <c r="BI167" s="4"/>
      <c r="BJ167" s="4"/>
      <c r="BK167" s="4"/>
      <c r="BL167" s="4"/>
      <c r="BM167" s="4"/>
      <c r="BN167" s="4"/>
      <c r="BO167" s="4"/>
      <c r="BP167" s="4"/>
      <c r="BQ167">
        <f>COUNTIF('TrainingReq (Ach)'!B:B,Table13[[#This Row],[Job Title]])</f>
        <v>13</v>
      </c>
      <c r="BR167" cm="1">
        <f t="array" aca="1" ref="BR16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7" s="5">
        <f t="shared" ca="1" si="6"/>
        <v>1</v>
      </c>
      <c r="BT167" t="s">
        <v>246</v>
      </c>
      <c r="BU167" t="s">
        <v>247</v>
      </c>
      <c r="BW167" s="4"/>
      <c r="CD167" s="4"/>
      <c r="CE167" s="4" t="str">
        <f ca="1">IF(
  _xlfn.XLOOKUP($D167 &amp; "-" &amp; CD$2, 'TrainingReq (Ach)'!$G:$G, 'TrainingReq (Ach)'!$F:$F, "2-Year") = "Forever",
  "Valid",
  IF(CD167="", "Not Trained",
     IF(CD167 &lt; TODAY() - 1, "Expired",
        IF(CD167 &lt;= TODAY() + 90, "Expiring", "Valid")
     )
  )
)</f>
        <v>Not Trained</v>
      </c>
      <c r="CF167" t="s">
        <v>250</v>
      </c>
      <c r="CG167" s="4"/>
      <c r="CH167" s="4" t="str">
        <f ca="1">IF(
  _xlfn.XLOOKUP($D166 &amp; "-" &amp; CG$2, 'TrainingReq (Ach)'!$G:$G, 'TrainingReq (Ach)'!$F:$F, "2-Year") = "Forever",
  "Valid",
  IF(CG166="", "Not Trained",
     IF(CG166 &lt; TODAY() - 1, "Expired",
        IF(CG166 &lt;= TODAY() + 90, "Expiring", "Valid")
     )
  )
)</f>
        <v>Not Trained</v>
      </c>
      <c r="CI167" t="str">
        <f t="shared" si="7"/>
        <v>Not eligible</v>
      </c>
      <c r="CJ167" t="str">
        <f t="shared" si="8"/>
        <v>Not eligible</v>
      </c>
    </row>
    <row r="168" spans="1:88" x14ac:dyDescent="0.25">
      <c r="A168">
        <v>166</v>
      </c>
      <c r="B168">
        <v>581958</v>
      </c>
      <c r="C168" t="s">
        <v>703</v>
      </c>
      <c r="D168" t="s">
        <v>13</v>
      </c>
      <c r="E168" t="s">
        <v>665</v>
      </c>
      <c r="F168" t="s">
        <v>681</v>
      </c>
      <c r="G168" t="s">
        <v>56</v>
      </c>
      <c r="H168" s="4">
        <v>46451</v>
      </c>
      <c r="I168" s="4" t="str">
        <f ca="1">IF(
  _xlfn.XLOOKUP($D168 &amp; "-" &amp; H$2, 'TrainingReq (Ach)'!G:G, 'TrainingReq (Ach)'!F:F, "2-Year") = "Forever",
  "Valid",
  IF(H168="", "Not Trained",
     IF(H168 &lt; TODAY() - 1, "Expired",
        IF(H168 &lt;= TODAY() + 90, "Expiring", "Valid")
     )
  )
)</f>
        <v>Valid</v>
      </c>
      <c r="J168" s="4">
        <v>46451</v>
      </c>
      <c r="K168" s="4" t="str">
        <f ca="1">IF(
  _xlfn.XLOOKUP($D168 &amp; "-" &amp; J$2, 'TrainingReq (Ach)'!G:G, 'TrainingReq (Ach)'!F:F, "2-Year") = "Forever",
  "Valid",
  IF(J168="", "Not Trained",
     IF(J168 &lt; TODAY() - 1, "Expired",
        IF(J168 &lt;= TODAY() + 90, "Expiring", "Valid")
     )
  )
)</f>
        <v>Valid</v>
      </c>
      <c r="L168" s="4">
        <v>46136</v>
      </c>
      <c r="M168" s="4" t="str">
        <f ca="1">IF(
  _xlfn.XLOOKUP($D168 &amp; "-" &amp; L$2, TrainingMan!$G:$G, TrainingMan!$F:$F, "2-Year") = "Forever",
  "Valid",
  IF(L168="", "Not Trained",
     IF(L168 &lt; TODAY() - 1, "Expired",
        IF(L168 &lt;= TODAY() + 90, "Expiring", "Valid")
     )
  )
)</f>
        <v>Valid</v>
      </c>
      <c r="N168" s="4">
        <v>46302</v>
      </c>
      <c r="O168" s="4" t="str">
        <f ca="1">IF(
  _xlfn.XLOOKUP($D168 &amp; "-" &amp; N$2, TrainingMan!$G:$G, TrainingMan!$F:$F, "2-Year") = "Forever",
  "Valid",
  IF(N168="", "Not Trained",
     IF(N168 &lt; TODAY() - 1, "Expired",
        IF(N168 &lt;= TODAY() + 90, "Expiring", "Valid")
     )
  )
)</f>
        <v>Valid</v>
      </c>
      <c r="P168" s="4">
        <v>46302</v>
      </c>
      <c r="Q168" s="4" t="str">
        <f ca="1">IF(
  _xlfn.XLOOKUP($D168 &amp; "-" &amp; P$2, TrainingMan!$G:$G, TrainingMan!$F:$F, "2-Year") = "Forever",
  "Valid",
  IF(P168="", "Not Trained",
     IF(P168 &lt; TODAY() - 1, "Expired",
        IF(P168 &lt;= TODAY() + 90, "Expiring", "Valid")
     )
  )
)</f>
        <v>Valid</v>
      </c>
      <c r="R168" s="4">
        <v>46302</v>
      </c>
      <c r="S168" s="4" t="str">
        <f ca="1">IF(
  _xlfn.XLOOKUP($D168 &amp; "-" &amp; R$2, TrainingMan!$G:$G, TrainingMan!$F:$F, "2-Year") = "Forever",
  "Valid",
  IF(R168="", "Not Trained",
     IF(R168 &lt; TODAY() - 1, "Expired",
        IF(R168 &lt;= TODAY() + 90, "Expiring", "Valid")
     )
  )
)</f>
        <v>Valid</v>
      </c>
      <c r="T168" s="4">
        <v>46136</v>
      </c>
      <c r="U168" s="4" t="str">
        <f ca="1">IF(
  _xlfn.XLOOKUP($D168 &amp; "-" &amp; T$2, TrainingMan!$G:$G, TrainingMan!$F:$F, "2-Year") = "Forever",
  "Valid",
  IF(T168="", "Not Trained",
     IF(T168 &lt; TODAY() - 1, "Expired",
        IF(T168 &lt;= TODAY() + 90, "Expiring", "Valid")
     )
  )
)</f>
        <v>Valid</v>
      </c>
      <c r="V168" s="4">
        <v>46136</v>
      </c>
      <c r="W168" s="4" t="str">
        <f ca="1">IF(
  _xlfn.XLOOKUP($D168 &amp; "-" &amp; V$2, TrainingMan!$G:$G, TrainingMan!$F:$F, "2-Year") = "Forever",
  "Valid",
  IF(V168="", "Not Trained",
     IF(V168 &lt; TODAY() - 1, "Expired",
        IF(V168 &lt;= TODAY() + 90, "Expiring", "Valid")
     )
  )
)</f>
        <v>Valid</v>
      </c>
      <c r="X168" s="4">
        <v>46136</v>
      </c>
      <c r="Y168" s="4" t="str">
        <f ca="1">IF(
  _xlfn.XLOOKUP($D168 &amp; "-" &amp; X$2, TrainingMan!$G:$G, TrainingMan!$F:$F, "2-Year") = "Forever",
  "Valid",
  IF(X168="", "Not Trained",
     IF(X168 &lt; TODAY() - 1, "Expired",
        IF(X168 &lt;= TODAY() + 90, "Expiring", "Valid")
     )
  )
)</f>
        <v>Valid</v>
      </c>
      <c r="Z168" s="4">
        <v>43412</v>
      </c>
      <c r="AA168" s="4" t="str">
        <f ca="1">IF(LEN(TRIM(Z168)) = 0, "Not Trained",
  IF(_xlfn.XLOOKUP($D168 &amp; "-" &amp; Z$2, TrainingMan!$G:$G, TrainingMan!$F:$F, "2-Year") = "Forever", "Valid",
    IF(Z168 &lt; TODAY() - 1, "Expired",
      IF(Z168 &lt;= TODAY() + 90, "Expiring", "Valid")
    )
  )
)</f>
        <v>Valid</v>
      </c>
      <c r="AB168" s="4"/>
      <c r="AC168" s="4">
        <v>45583</v>
      </c>
      <c r="AD168" s="4">
        <v>45731</v>
      </c>
      <c r="AE168" s="4"/>
      <c r="AF168" s="4"/>
      <c r="AG168" s="4">
        <v>44971</v>
      </c>
      <c r="AH168" s="4" t="s">
        <v>704</v>
      </c>
      <c r="AI168" s="4" t="s">
        <v>705</v>
      </c>
      <c r="AJ168" s="4"/>
      <c r="AN168" s="4"/>
      <c r="AQ168" s="4"/>
      <c r="AR168" s="4"/>
      <c r="AS168" s="4"/>
      <c r="AT168" s="4" t="s">
        <v>706</v>
      </c>
      <c r="AU168" s="4"/>
      <c r="BB168" s="4"/>
      <c r="BC168" s="4" t="s">
        <v>707</v>
      </c>
      <c r="BD168" s="4" t="s">
        <v>708</v>
      </c>
      <c r="BE168" s="4"/>
      <c r="BF168" s="4"/>
      <c r="BG168" s="4">
        <v>43181</v>
      </c>
      <c r="BH168" s="4"/>
      <c r="BI168" s="4"/>
      <c r="BJ168" s="4"/>
      <c r="BK168" s="4"/>
      <c r="BL168" s="4"/>
      <c r="BM168" s="4"/>
      <c r="BN168" s="4"/>
      <c r="BO168" s="4"/>
      <c r="BP168" s="4"/>
      <c r="BQ168">
        <f>COUNTIF('TrainingReq (Ach)'!B:B,Table13[[#This Row],[Job Title]])</f>
        <v>13</v>
      </c>
      <c r="BR168" cm="1">
        <f t="array" aca="1" ref="BR16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68" s="5">
        <f t="shared" ca="1" si="6"/>
        <v>1</v>
      </c>
      <c r="BT168" t="s">
        <v>246</v>
      </c>
      <c r="BU168" t="s">
        <v>247</v>
      </c>
      <c r="BW168" s="4"/>
      <c r="CD168" s="4"/>
      <c r="CE168" s="4" t="str">
        <f ca="1">IF(
  _xlfn.XLOOKUP($D168 &amp; "-" &amp; CD$2, 'TrainingReq (Ach)'!$G:$G, 'TrainingReq (Ach)'!$F:$F, "2-Year") = "Forever",
  "Valid",
  IF(CD168="", "Not Trained",
     IF(CD168 &lt; TODAY() - 1, "Expired",
        IF(CD168 &lt;= TODAY() + 90, "Expiring", "Valid")
     )
  )
)</f>
        <v>Not Trained</v>
      </c>
      <c r="CF168" t="s">
        <v>250</v>
      </c>
      <c r="CG168" s="4"/>
      <c r="CH168" s="4" t="str">
        <f ca="1">IF(
  _xlfn.XLOOKUP($D167 &amp; "-" &amp; CG$2, 'TrainingReq (Ach)'!$G:$G, 'TrainingReq (Ach)'!$F:$F, "2-Year") = "Forever",
  "Valid",
  IF(CG167="", "Not Trained",
     IF(CG167 &lt; TODAY() - 1, "Expired",
        IF(CG167 &lt;= TODAY() + 90, "Expiring", "Valid")
     )
  )
)</f>
        <v>Not Trained</v>
      </c>
      <c r="CI168" t="str">
        <f t="shared" si="7"/>
        <v>Not eligible</v>
      </c>
      <c r="CJ168" t="str">
        <f t="shared" si="8"/>
        <v>Not eligible</v>
      </c>
    </row>
    <row r="169" spans="1:88" x14ac:dyDescent="0.25">
      <c r="A169">
        <v>167</v>
      </c>
      <c r="B169">
        <v>581961</v>
      </c>
      <c r="C169" t="s">
        <v>709</v>
      </c>
      <c r="D169" t="s">
        <v>17</v>
      </c>
      <c r="G169" t="s">
        <v>57</v>
      </c>
      <c r="H169" s="4">
        <v>46316</v>
      </c>
      <c r="I169" s="4" t="str">
        <f ca="1">IF(
  _xlfn.XLOOKUP($D169 &amp; "-" &amp; H$2, 'TrainingReq (Ach)'!G:G, 'TrainingReq (Ach)'!F:F, "2-Year") = "Forever",
  "Valid",
  IF(H169="", "Not Trained",
     IF(H169 &lt; TODAY() - 1, "Expired",
        IF(H169 &lt;= TODAY() + 90, "Expiring", "Valid")
     )
  )
)</f>
        <v>Expiring</v>
      </c>
      <c r="J169" s="4">
        <v>46316</v>
      </c>
      <c r="K169" s="4" t="str">
        <f ca="1">IF(
  _xlfn.XLOOKUP($D169 &amp; "-" &amp; J$2, 'TrainingReq (Ach)'!G:G, 'TrainingReq (Ach)'!F:F, "2-Year") = "Forever",
  "Valid",
  IF(J169="", "Not Trained",
     IF(J169 &lt; TODAY() - 1, "Expired",
        IF(J169 &lt;= TODAY() + 90, "Expiring", "Valid")
     )
  )
)</f>
        <v>Expiring</v>
      </c>
      <c r="L169" s="4">
        <v>43503</v>
      </c>
      <c r="M169" s="4" t="str">
        <f ca="1">IF(
  _xlfn.XLOOKUP($D169 &amp; "-" &amp; L$2, TrainingMan!$G:$G, TrainingMan!$F:$F, "2-Year") = "Forever",
  "Valid",
  IF(L169="", "Not Trained",
     IF(L169 &lt; TODAY() - 1, "Expired",
        IF(L169 &lt;= TODAY() + 90, "Expiring", "Valid")
     )
  )
)</f>
        <v>Valid</v>
      </c>
      <c r="N169" s="4">
        <v>46443</v>
      </c>
      <c r="O169" s="4" t="str">
        <f ca="1">IF(
  _xlfn.XLOOKUP($D169 &amp; "-" &amp; N$2, TrainingMan!$G:$G, TrainingMan!$F:$F, "2-Year") = "Forever",
  "Valid",
  IF(N169="", "Not Trained",
     IF(N169 &lt; TODAY() - 1, "Expired",
        IF(N169 &lt;= TODAY() + 90, "Expiring", "Valid")
     )
  )
)</f>
        <v>Valid</v>
      </c>
      <c r="P169" s="4">
        <v>46443</v>
      </c>
      <c r="Q169" s="4" t="str">
        <f ca="1">IF(
  _xlfn.XLOOKUP($D169 &amp; "-" &amp; P$2, TrainingMan!$G:$G, TrainingMan!$F:$F, "2-Year") = "Forever",
  "Valid",
  IF(P169="", "Not Trained",
     IF(P169 &lt; TODAY() - 1, "Expired",
        IF(P169 &lt;= TODAY() + 90, "Expiring", "Valid")
     )
  )
)</f>
        <v>Valid</v>
      </c>
      <c r="R169" s="4">
        <v>46443</v>
      </c>
      <c r="S169" s="4" t="str">
        <f ca="1">IF(
  _xlfn.XLOOKUP($D169 &amp; "-" &amp; R$2, TrainingMan!$G:$G, TrainingMan!$F:$F, "2-Year") = "Forever",
  "Valid",
  IF(R169="", "Not Trained",
     IF(R169 &lt; TODAY() - 1, "Expired",
        IF(R169 &lt;= TODAY() + 90, "Expiring", "Valid")
     )
  )
)</f>
        <v>Valid</v>
      </c>
      <c r="T169" s="4">
        <v>46443</v>
      </c>
      <c r="U169" s="4" t="str">
        <f ca="1">IF(
  _xlfn.XLOOKUP($D169 &amp; "-" &amp; T$2, TrainingMan!$G:$G, TrainingMan!$F:$F, "2-Year") = "Forever",
  "Valid",
  IF(T169="", "Not Trained",
     IF(T169 &lt; TODAY() - 1, "Expired",
        IF(T169 &lt;= TODAY() + 90, "Expiring", "Valid")
     )
  )
)</f>
        <v>Valid</v>
      </c>
      <c r="V169" s="4">
        <v>42745</v>
      </c>
      <c r="W169" s="4" t="str">
        <f ca="1">IF(
  _xlfn.XLOOKUP($D169 &amp; "-" &amp; V$2, TrainingMan!$G:$G, TrainingMan!$F:$F, "2-Year") = "Forever",
  "Valid",
  IF(V169="", "Not Trained",
     IF(V169 &lt; TODAY() - 1, "Expired",
        IF(V169 &lt;= TODAY() + 90, "Expiring", "Valid")
     )
  )
)</f>
        <v>Valid</v>
      </c>
      <c r="X169" s="4">
        <v>42779</v>
      </c>
      <c r="Y169" s="4" t="str">
        <f ca="1">IF(
  _xlfn.XLOOKUP($D169 &amp; "-" &amp; X$2, TrainingMan!$G:$G, TrainingMan!$F:$F, "2-Year") = "Forever",
  "Valid",
  IF(X169="", "Not Trained",
     IF(X169 &lt; TODAY() - 1, "Expired",
        IF(X169 &lt;= TODAY() + 90, "Expiring", "Valid")
     )
  )
)</f>
        <v>Valid</v>
      </c>
      <c r="Z169" s="4">
        <v>43804</v>
      </c>
      <c r="AA169" s="4" t="str">
        <f ca="1">IF(LEN(TRIM(Z169)) = 0, "Not Trained",
  IF(_xlfn.XLOOKUP($D169 &amp; "-" &amp; Z$2, TrainingMan!$G:$G, TrainingMan!$F:$F, "2-Year") = "Forever", "Valid",
    IF(Z169 &lt; TODAY() - 1, "Expired",
      IF(Z169 &lt;= TODAY() + 90, "Expiring", "Valid")
    )
  )
)</f>
        <v>Valid</v>
      </c>
      <c r="AB169" s="4"/>
      <c r="AC169" s="4"/>
      <c r="AD169" s="4"/>
      <c r="AE169" s="4"/>
      <c r="AF169" s="4"/>
      <c r="AG169" s="4">
        <v>44706</v>
      </c>
      <c r="AH169" s="4"/>
      <c r="AI169" s="4">
        <v>42807</v>
      </c>
      <c r="AJ169" s="4">
        <v>42690</v>
      </c>
      <c r="AN169" s="4"/>
      <c r="AQ169" s="4"/>
      <c r="AR169" s="4"/>
      <c r="AS169" s="4"/>
      <c r="AT169" s="4">
        <v>45308</v>
      </c>
      <c r="AU169" s="4"/>
      <c r="BB169" s="4">
        <v>45818</v>
      </c>
      <c r="BC169" s="4"/>
      <c r="BD169" s="4">
        <v>42857</v>
      </c>
      <c r="BE169" s="4"/>
      <c r="BF169" s="4"/>
      <c r="BG169" s="4">
        <v>43402</v>
      </c>
      <c r="BH169" s="4"/>
      <c r="BI169" s="4"/>
      <c r="BJ169" s="4"/>
      <c r="BK169" s="4"/>
      <c r="BL169" s="4"/>
      <c r="BM169" s="4"/>
      <c r="BN169" s="4"/>
      <c r="BO169" s="4"/>
      <c r="BP169" s="4"/>
      <c r="BQ169">
        <f>COUNTIF('TrainingReq (Ach)'!B:B,Table13[[#This Row],[Job Title]])</f>
        <v>16</v>
      </c>
      <c r="BR169" cm="1">
        <f t="array" aca="1" ref="BR16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69" s="5">
        <f t="shared" ca="1" si="6"/>
        <v>1</v>
      </c>
      <c r="BW169" s="4"/>
      <c r="CD169" s="4"/>
      <c r="CE169" s="4" t="str">
        <f ca="1">IF(
  _xlfn.XLOOKUP($D169 &amp; "-" &amp; CD$2, 'TrainingReq (Ach)'!$G:$G, 'TrainingReq (Ach)'!$F:$F, "2-Year") = "Forever",
  "Valid",
  IF(CD169="", "Not Trained",
     IF(CD169 &lt; TODAY() - 1, "Expired",
        IF(CD169 &lt;= TODAY() + 90, "Expiring", "Valid")
     )
  )
)</f>
        <v>Not Trained</v>
      </c>
      <c r="CG169" s="4"/>
      <c r="CH169" s="4" t="str">
        <f ca="1">IF(
  _xlfn.XLOOKUP($D168 &amp; "-" &amp; CG$2, 'TrainingReq (Ach)'!$G:$G, 'TrainingReq (Ach)'!$F:$F, "2-Year") = "Forever",
  "Valid",
  IF(CG168="", "Not Trained",
     IF(CG168 &lt; TODAY() - 1, "Expired",
        IF(CG168 &lt;= TODAY() + 90, "Expiring", "Valid")
     )
  )
)</f>
        <v>Not Trained</v>
      </c>
      <c r="CI169" t="str">
        <f t="shared" si="7"/>
        <v>Not eligible</v>
      </c>
      <c r="CJ169" t="str">
        <f t="shared" si="8"/>
        <v>Not eligible</v>
      </c>
    </row>
    <row r="170" spans="1:88" x14ac:dyDescent="0.25">
      <c r="A170">
        <v>168</v>
      </c>
      <c r="B170">
        <v>581987</v>
      </c>
      <c r="C170" t="s">
        <v>710</v>
      </c>
      <c r="D170" t="s">
        <v>22</v>
      </c>
      <c r="G170" t="s">
        <v>57</v>
      </c>
      <c r="H170" s="4">
        <v>46942</v>
      </c>
      <c r="I170" s="4" t="str">
        <f ca="1">IF(
  _xlfn.XLOOKUP($D170 &amp; "-" &amp; H$2, 'TrainingReq (Ach)'!G:G, 'TrainingReq (Ach)'!F:F, "2-Year") = "Forever",
  "Valid",
  IF(H170="", "Not Trained",
     IF(H170 &lt; TODAY() - 1, "Expired",
        IF(H170 &lt;= TODAY() + 90, "Expiring", "Valid")
     )
  )
)</f>
        <v>Valid</v>
      </c>
      <c r="J170" s="4">
        <v>46942</v>
      </c>
      <c r="K170" s="4" t="str">
        <f ca="1">IF(
  _xlfn.XLOOKUP($D170 &amp; "-" &amp; J$2, 'TrainingReq (Ach)'!G:G, 'TrainingReq (Ach)'!F:F, "2-Year") = "Forever",
  "Valid",
  IF(J170="", "Not Trained",
     IF(J170 &lt; TODAY() - 1, "Expired",
        IF(J170 &lt;= TODAY() + 90, "Expiring", "Valid")
     )
  )
)</f>
        <v>Valid</v>
      </c>
      <c r="L170" s="4">
        <v>43529</v>
      </c>
      <c r="M170" s="4" t="str">
        <f ca="1">IF(
  _xlfn.XLOOKUP($D170 &amp; "-" &amp; L$2, TrainingMan!$G:$G, TrainingMan!$F:$F, "2-Year") = "Forever",
  "Valid",
  IF(L170="", "Not Trained",
     IF(L170 &lt; TODAY() - 1, "Expired",
        IF(L170 &lt;= TODAY() + 90, "Expiring", "Valid")
     )
  )
)</f>
        <v>Valid</v>
      </c>
      <c r="N170" s="4">
        <v>46443</v>
      </c>
      <c r="O170" s="4" t="str">
        <f ca="1">IF(
  _xlfn.XLOOKUP($D170 &amp; "-" &amp; N$2, TrainingMan!$G:$G, TrainingMan!$F:$F, "2-Year") = "Forever",
  "Valid",
  IF(N170="", "Not Trained",
     IF(N170 &lt; TODAY() - 1, "Expired",
        IF(N170 &lt;= TODAY() + 90, "Expiring", "Valid")
     )
  )
)</f>
        <v>Valid</v>
      </c>
      <c r="P170" s="4">
        <v>46443</v>
      </c>
      <c r="Q170" s="4" t="str">
        <f ca="1">IF(
  _xlfn.XLOOKUP($D170 &amp; "-" &amp; P$2, TrainingMan!$G:$G, TrainingMan!$F:$F, "2-Year") = "Forever",
  "Valid",
  IF(P170="", "Not Trained",
     IF(P170 &lt; TODAY() - 1, "Expired",
        IF(P170 &lt;= TODAY() + 90, "Expiring", "Valid")
     )
  )
)</f>
        <v>Valid</v>
      </c>
      <c r="R170" s="4">
        <v>46443</v>
      </c>
      <c r="S170" s="4" t="str">
        <f ca="1">IF(
  _xlfn.XLOOKUP($D170 &amp; "-" &amp; R$2, TrainingMan!$G:$G, TrainingMan!$F:$F, "2-Year") = "Forever",
  "Valid",
  IF(R170="", "Not Trained",
     IF(R170 &lt; TODAY() - 1, "Expired",
        IF(R170 &lt;= TODAY() + 90, "Expiring", "Valid")
     )
  )
)</f>
        <v>Valid</v>
      </c>
      <c r="T170" s="4">
        <v>46443</v>
      </c>
      <c r="U170" s="4" t="str">
        <f ca="1">IF(
  _xlfn.XLOOKUP($D170 &amp; "-" &amp; T$2, TrainingMan!$G:$G, TrainingMan!$F:$F, "2-Year") = "Forever",
  "Valid",
  IF(T170="", "Not Trained",
     IF(T170 &lt; TODAY() - 1, "Expired",
        IF(T170 &lt;= TODAY() + 90, "Expiring", "Valid")
     )
  )
)</f>
        <v>Valid</v>
      </c>
      <c r="V170" s="4">
        <v>42782</v>
      </c>
      <c r="W170" s="4" t="str">
        <f ca="1">IF(
  _xlfn.XLOOKUP($D170 &amp; "-" &amp; V$2, TrainingMan!$G:$G, TrainingMan!$F:$F, "2-Year") = "Forever",
  "Valid",
  IF(V170="", "Not Trained",
     IF(V170 &lt; TODAY() - 1, "Expired",
        IF(V170 &lt;= TODAY() + 90, "Expiring", "Valid")
     )
  )
)</f>
        <v>Valid</v>
      </c>
      <c r="X170" s="4">
        <v>43209</v>
      </c>
      <c r="Y170" s="4" t="str">
        <f ca="1">IF(
  _xlfn.XLOOKUP($D170 &amp; "-" &amp; X$2, TrainingMan!$G:$G, TrainingMan!$F:$F, "2-Year") = "Forever",
  "Valid",
  IF(X170="", "Not Trained",
     IF(X170 &lt; TODAY() - 1, "Expired",
        IF(X170 &lt;= TODAY() + 90, "Expiring", "Valid")
     )
  )
)</f>
        <v>Valid</v>
      </c>
      <c r="Z170" s="4">
        <v>42971</v>
      </c>
      <c r="AA170" s="4" t="str">
        <f ca="1">IF(LEN(TRIM(Z170)) = 0, "Not Trained",
  IF(_xlfn.XLOOKUP($D170 &amp; "-" &amp; Z$2, TrainingMan!$G:$G, TrainingMan!$F:$F, "2-Year") = "Forever", "Valid",
    IF(Z170 &lt; TODAY() - 1, "Expired",
      IF(Z170 &lt;= TODAY() + 90, "Expiring", "Valid")
    )
  )
)</f>
        <v>Valid</v>
      </c>
      <c r="AB170" s="4"/>
      <c r="AC170" s="4"/>
      <c r="AD170" s="4"/>
      <c r="AE170" s="4"/>
      <c r="AF170" s="4"/>
      <c r="AG170" s="4">
        <v>44426</v>
      </c>
      <c r="AH170" s="4">
        <v>43045</v>
      </c>
      <c r="AI170" s="4">
        <v>43388</v>
      </c>
      <c r="AJ170" s="4">
        <v>44391</v>
      </c>
      <c r="AN170" s="4"/>
      <c r="AP170" s="4">
        <v>45917</v>
      </c>
      <c r="AQ170" s="4"/>
      <c r="AR170" s="4"/>
      <c r="AS170" s="4">
        <v>45936</v>
      </c>
      <c r="AT170" s="4">
        <v>45225</v>
      </c>
      <c r="AU170" s="4"/>
      <c r="BB170" s="4">
        <v>45225</v>
      </c>
      <c r="BC170" s="4"/>
      <c r="BD170" s="4">
        <v>42857</v>
      </c>
      <c r="BE170" s="4"/>
      <c r="BF170" s="4"/>
      <c r="BG170" s="4">
        <v>44158</v>
      </c>
      <c r="BH170" s="4"/>
      <c r="BI170" s="4"/>
      <c r="BJ170" s="4"/>
      <c r="BK170" s="4"/>
      <c r="BL170" s="4"/>
      <c r="BM170" s="4"/>
      <c r="BN170" s="4"/>
      <c r="BO170" s="4"/>
      <c r="BP170" s="4"/>
      <c r="BQ170">
        <f>COUNTIF('TrainingReq (Ach)'!B:B,Table13[[#This Row],[Job Title]])</f>
        <v>14</v>
      </c>
      <c r="BR170" cm="1">
        <f t="array" aca="1" ref="BR17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70" s="5">
        <f t="shared" ca="1" si="6"/>
        <v>0.8571428571428571</v>
      </c>
      <c r="BW170" s="4"/>
      <c r="CD170" s="4"/>
      <c r="CE170" s="4" t="str">
        <f ca="1">IF(
  _xlfn.XLOOKUP($D170 &amp; "-" &amp; CD$2, 'TrainingReq (Ach)'!$G:$G, 'TrainingReq (Ach)'!$F:$F, "2-Year") = "Forever",
  "Valid",
  IF(CD170="", "Not Trained",
     IF(CD170 &lt; TODAY() - 1, "Expired",
        IF(CD170 &lt;= TODAY() + 90, "Expiring", "Valid")
     )
  )
)</f>
        <v>Not Trained</v>
      </c>
      <c r="CG170" s="4"/>
      <c r="CH170" s="4" t="str">
        <f ca="1">IF(
  _xlfn.XLOOKUP($D169 &amp; "-" &amp; CG$2, 'TrainingReq (Ach)'!$G:$G, 'TrainingReq (Ach)'!$F:$F, "2-Year") = "Forever",
  "Valid",
  IF(CG169="", "Not Trained",
     IF(CG169 &lt; TODAY() - 1, "Expired",
        IF(CG169 &lt;= TODAY() + 90, "Expiring", "Valid")
     )
  )
)</f>
        <v>Not Trained</v>
      </c>
      <c r="CI170" t="str">
        <f t="shared" si="7"/>
        <v>Not eligible</v>
      </c>
      <c r="CJ170" t="str">
        <f t="shared" si="8"/>
        <v>Not eligible</v>
      </c>
    </row>
    <row r="171" spans="1:88" x14ac:dyDescent="0.25">
      <c r="A171">
        <v>169</v>
      </c>
      <c r="B171">
        <v>582192</v>
      </c>
      <c r="C171" t="s">
        <v>711</v>
      </c>
      <c r="D171" t="s">
        <v>25</v>
      </c>
      <c r="G171" t="s">
        <v>55</v>
      </c>
      <c r="H171" s="4">
        <v>46493</v>
      </c>
      <c r="I171" s="4" t="str">
        <f ca="1">IF(
  _xlfn.XLOOKUP($D171 &amp; "-" &amp; H$2, 'TrainingReq (Ach)'!G:G, 'TrainingReq (Ach)'!F:F, "2-Year") = "Forever",
  "Valid",
  IF(H171="", "Not Trained",
     IF(H171 &lt; TODAY() - 1, "Expired",
        IF(H171 &lt;= TODAY() + 90, "Expiring", "Valid")
     )
  )
)</f>
        <v>Valid</v>
      </c>
      <c r="J171" s="4">
        <v>46493</v>
      </c>
      <c r="K171" s="4" t="str">
        <f ca="1">IF(
  _xlfn.XLOOKUP($D171 &amp; "-" &amp; J$2, 'TrainingReq (Ach)'!G:G, 'TrainingReq (Ach)'!F:F, "2-Year") = "Forever",
  "Valid",
  IF(J171="", "Not Trained",
     IF(J171 &lt; TODAY() - 1, "Expired",
        IF(J171 &lt;= TODAY() + 90, "Expiring", "Valid")
     )
  )
)</f>
        <v>Valid</v>
      </c>
      <c r="L171" s="4">
        <v>43789</v>
      </c>
      <c r="M171" s="4" t="str">
        <f ca="1">IF(
  _xlfn.XLOOKUP($D171 &amp; "-" &amp; L$2, TrainingMan!$G:$G, TrainingMan!$F:$F, "2-Year") = "Forever",
  "Valid",
  IF(L171="", "Not Trained",
     IF(L171 &lt; TODAY() - 1, "Expired",
        IF(L171 &lt;= TODAY() + 90, "Expiring", "Valid")
     )
  )
)</f>
        <v>Valid</v>
      </c>
      <c r="N171" s="4">
        <v>46450</v>
      </c>
      <c r="O171" s="4" t="str">
        <f ca="1">IF(
  _xlfn.XLOOKUP($D171 &amp; "-" &amp; N$2, TrainingMan!$G:$G, TrainingMan!$F:$F, "2-Year") = "Forever",
  "Valid",
  IF(N171="", "Not Trained",
     IF(N171 &lt; TODAY() - 1, "Expired",
        IF(N171 &lt;= TODAY() + 90, "Expiring", "Valid")
     )
  )
)</f>
        <v>Valid</v>
      </c>
      <c r="P171" s="4">
        <v>46450</v>
      </c>
      <c r="Q171" s="4" t="str">
        <f ca="1">IF(
  _xlfn.XLOOKUP($D171 &amp; "-" &amp; P$2, TrainingMan!$G:$G, TrainingMan!$F:$F, "2-Year") = "Forever",
  "Valid",
  IF(P171="", "Not Trained",
     IF(P171 &lt; TODAY() - 1, "Expired",
        IF(P171 &lt;= TODAY() + 90, "Expiring", "Valid")
     )
  )
)</f>
        <v>Valid</v>
      </c>
      <c r="R171" s="4">
        <v>46450</v>
      </c>
      <c r="S171" s="4" t="str">
        <f ca="1">IF(
  _xlfn.XLOOKUP($D171 &amp; "-" &amp; R$2, TrainingMan!$G:$G, TrainingMan!$F:$F, "2-Year") = "Forever",
  "Valid",
  IF(R171="", "Not Trained",
     IF(R171 &lt; TODAY() - 1, "Expired",
        IF(R171 &lt;= TODAY() + 90, "Expiring", "Valid")
     )
  )
)</f>
        <v>Valid</v>
      </c>
      <c r="T171" s="4">
        <v>46450</v>
      </c>
      <c r="U171" s="4" t="str">
        <f ca="1">IF(
  _xlfn.XLOOKUP($D171 &amp; "-" &amp; T$2, TrainingMan!$G:$G, TrainingMan!$F:$F, "2-Year") = "Forever",
  "Valid",
  IF(T171="", "Not Trained",
     IF(T171 &lt; TODAY() - 1, "Expired",
        IF(T171 &lt;= TODAY() + 90, "Expiring", "Valid")
     )
  )
)</f>
        <v>Valid</v>
      </c>
      <c r="V171" s="4">
        <v>43789</v>
      </c>
      <c r="W171" s="4" t="str">
        <f ca="1">IF(
  _xlfn.XLOOKUP($D171 &amp; "-" &amp; V$2, TrainingMan!$G:$G, TrainingMan!$F:$F, "2-Year") = "Forever",
  "Valid",
  IF(V171="", "Not Trained",
     IF(V171 &lt; TODAY() - 1, "Expired",
        IF(V171 &lt;= TODAY() + 90, "Expiring", "Valid")
     )
  )
)</f>
        <v>Valid</v>
      </c>
      <c r="X171" s="4">
        <v>43535</v>
      </c>
      <c r="Y171" s="4" t="str">
        <f ca="1">IF(
  _xlfn.XLOOKUP($D171 &amp; "-" &amp; X$2, TrainingMan!$G:$G, TrainingMan!$F:$F, "2-Year") = "Forever",
  "Valid",
  IF(X171="", "Not Trained",
     IF(X171 &lt; TODAY() - 1, "Expired",
        IF(X171 &lt;= TODAY() + 90, "Expiring", "Valid")
     )
  )
)</f>
        <v>Valid</v>
      </c>
      <c r="Z171" s="4">
        <v>43995</v>
      </c>
      <c r="AA171" s="4" t="str">
        <f ca="1">IF(LEN(TRIM(Z171)) = 0, "Not Trained",
  IF(_xlfn.XLOOKUP($D171 &amp; "-" &amp; Z$2, TrainingMan!$G:$G, TrainingMan!$F:$F, "2-Year") = "Forever", "Valid",
    IF(Z171 &lt; TODAY() - 1, "Expired",
      IF(Z171 &lt;= TODAY() + 90, "Expiring", "Valid")
    )
  )
)</f>
        <v>Valid</v>
      </c>
      <c r="AB171" s="4"/>
      <c r="AC171" s="4"/>
      <c r="AD171" s="4"/>
      <c r="AE171" s="4"/>
      <c r="AF171" s="4"/>
      <c r="AG171" s="4">
        <v>44699</v>
      </c>
      <c r="AH171" s="4"/>
      <c r="AI171" s="4">
        <v>44368</v>
      </c>
      <c r="AJ171" s="4">
        <v>46043</v>
      </c>
      <c r="AN171" s="4"/>
      <c r="AP171" s="4">
        <v>45980</v>
      </c>
      <c r="AQ171" s="4"/>
      <c r="AR171" s="4"/>
      <c r="AS171" s="4"/>
      <c r="AT171" s="4">
        <v>45455</v>
      </c>
      <c r="AU171" s="4"/>
      <c r="BB171" s="4">
        <v>45859</v>
      </c>
      <c r="BC171" s="4"/>
      <c r="BD171" s="4">
        <v>42772</v>
      </c>
      <c r="BE171" s="4"/>
      <c r="BF171" s="4"/>
      <c r="BG171" s="4">
        <v>43116</v>
      </c>
      <c r="BH171" s="4"/>
      <c r="BI171" s="4"/>
      <c r="BJ171" s="4"/>
      <c r="BK171" s="4"/>
      <c r="BL171" s="4"/>
      <c r="BM171" s="4"/>
      <c r="BN171" s="4"/>
      <c r="BO171" s="4"/>
      <c r="BP171" s="4"/>
      <c r="BQ171">
        <f>COUNTIF('TrainingReq (Ach)'!B:B,Table13[[#This Row],[Job Title]])</f>
        <v>9</v>
      </c>
      <c r="BR171" cm="1">
        <f t="array" aca="1" ref="BR17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8</v>
      </c>
      <c r="BS171" s="5">
        <f t="shared" ca="1" si="6"/>
        <v>0.88888888888888884</v>
      </c>
      <c r="BW171" s="4"/>
      <c r="CD171" s="4"/>
      <c r="CE171" s="4" t="str">
        <f ca="1">IF(
  _xlfn.XLOOKUP($D171 &amp; "-" &amp; CD$2, 'TrainingReq (Ach)'!$G:$G, 'TrainingReq (Ach)'!$F:$F, "2-Year") = "Forever",
  "Valid",
  IF(CD171="", "Not Trained",
     IF(CD171 &lt; TODAY() - 1, "Expired",
        IF(CD171 &lt;= TODAY() + 90, "Expiring", "Valid")
     )
  )
)</f>
        <v>Not Trained</v>
      </c>
      <c r="CG171" s="4"/>
      <c r="CH171" s="4" t="str">
        <f ca="1">IF(
  _xlfn.XLOOKUP($D170 &amp; "-" &amp; CG$2, 'TrainingReq (Ach)'!$G:$G, 'TrainingReq (Ach)'!$F:$F, "2-Year") = "Forever",
  "Valid",
  IF(CG170="", "Not Trained",
     IF(CG170 &lt; TODAY() - 1, "Expired",
        IF(CG170 &lt;= TODAY() + 90, "Expiring", "Valid")
     )
  )
)</f>
        <v>Not Trained</v>
      </c>
      <c r="CI171" t="str">
        <f t="shared" si="7"/>
        <v>Not eligible</v>
      </c>
      <c r="CJ171" t="str">
        <f t="shared" si="8"/>
        <v>Not eligible</v>
      </c>
    </row>
    <row r="172" spans="1:88" x14ac:dyDescent="0.25">
      <c r="A172">
        <v>170</v>
      </c>
      <c r="B172">
        <v>582498</v>
      </c>
      <c r="C172" t="s">
        <v>712</v>
      </c>
      <c r="D172" t="s">
        <v>17</v>
      </c>
      <c r="G172" t="s">
        <v>57</v>
      </c>
      <c r="H172" s="4">
        <v>46612</v>
      </c>
      <c r="I172" s="4" t="str">
        <f ca="1">IF(
  _xlfn.XLOOKUP($D172 &amp; "-" &amp; H$2, 'TrainingReq (Ach)'!G:G, 'TrainingReq (Ach)'!F:F, "2-Year") = "Forever",
  "Valid",
  IF(H172="", "Not Trained",
     IF(H172 &lt; TODAY() - 1, "Expired",
        IF(H172 &lt;= TODAY() + 90, "Expiring", "Valid")
     )
  )
)</f>
        <v>Valid</v>
      </c>
      <c r="J172" s="4">
        <v>46612</v>
      </c>
      <c r="K172" s="4" t="str">
        <f ca="1">IF(
  _xlfn.XLOOKUP($D172 &amp; "-" &amp; J$2, 'TrainingReq (Ach)'!G:G, 'TrainingReq (Ach)'!F:F, "2-Year") = "Forever",
  "Valid",
  IF(J172="", "Not Trained",
     IF(J172 &lt; TODAY() - 1, "Expired",
        IF(J172 &lt;= TODAY() + 90, "Expiring", "Valid")
     )
  )
)</f>
        <v>Valid</v>
      </c>
      <c r="L172" s="4">
        <v>42971</v>
      </c>
      <c r="M172" s="4" t="str">
        <f ca="1">IF(
  _xlfn.XLOOKUP($D172 &amp; "-" &amp; L$2, TrainingMan!$G:$G, TrainingMan!$F:$F, "2-Year") = "Forever",
  "Valid",
  IF(L172="", "Not Trained",
     IF(L172 &lt; TODAY() - 1, "Expired",
        IF(L172 &lt;= TODAY() + 90, "Expiring", "Valid")
     )
  )
)</f>
        <v>Valid</v>
      </c>
      <c r="N172" s="4">
        <v>46577</v>
      </c>
      <c r="O172" s="4" t="str">
        <f ca="1">IF(
  _xlfn.XLOOKUP($D172 &amp; "-" &amp; N$2, TrainingMan!$G:$G, TrainingMan!$F:$F, "2-Year") = "Forever",
  "Valid",
  IF(N172="", "Not Trained",
     IF(N172 &lt; TODAY() - 1, "Expired",
        IF(N172 &lt;= TODAY() + 90, "Expiring", "Valid")
     )
  )
)</f>
        <v>Valid</v>
      </c>
      <c r="P172" s="4">
        <v>46577</v>
      </c>
      <c r="Q172" s="4" t="str">
        <f ca="1">IF(
  _xlfn.XLOOKUP($D172 &amp; "-" &amp; P$2, TrainingMan!$G:$G, TrainingMan!$F:$F, "2-Year") = "Forever",
  "Valid",
  IF(P172="", "Not Trained",
     IF(P172 &lt; TODAY() - 1, "Expired",
        IF(P172 &lt;= TODAY() + 90, "Expiring", "Valid")
     )
  )
)</f>
        <v>Valid</v>
      </c>
      <c r="R172" s="4">
        <v>46577</v>
      </c>
      <c r="S172" s="4" t="str">
        <f ca="1">IF(
  _xlfn.XLOOKUP($D172 &amp; "-" &amp; R$2, TrainingMan!$G:$G, TrainingMan!$F:$F, "2-Year") = "Forever",
  "Valid",
  IF(R172="", "Not Trained",
     IF(R172 &lt; TODAY() - 1, "Expired",
        IF(R172 &lt;= TODAY() + 90, "Expiring", "Valid")
     )
  )
)</f>
        <v>Valid</v>
      </c>
      <c r="T172" s="4">
        <v>46577</v>
      </c>
      <c r="U172" s="4" t="str">
        <f ca="1">IF(
  _xlfn.XLOOKUP($D172 &amp; "-" &amp; T$2, TrainingMan!$G:$G, TrainingMan!$F:$F, "2-Year") = "Forever",
  "Valid",
  IF(T172="", "Not Trained",
     IF(T172 &lt; TODAY() - 1, "Expired",
        IF(T172 &lt;= TODAY() + 90, "Expiring", "Valid")
     )
  )
)</f>
        <v>Valid</v>
      </c>
      <c r="V172" s="4">
        <v>42961</v>
      </c>
      <c r="W172" s="4" t="str">
        <f ca="1">IF(
  _xlfn.XLOOKUP($D172 &amp; "-" &amp; V$2, TrainingMan!$G:$G, TrainingMan!$F:$F, "2-Year") = "Forever",
  "Valid",
  IF(V172="", "Not Trained",
     IF(V172 &lt; TODAY() - 1, "Expired",
        IF(V172 &lt;= TODAY() + 90, "Expiring", "Valid")
     )
  )
)</f>
        <v>Valid</v>
      </c>
      <c r="X172" s="4">
        <v>43535</v>
      </c>
      <c r="Y172" s="4" t="str">
        <f ca="1">IF(
  _xlfn.XLOOKUP($D172 &amp; "-" &amp; X$2, TrainingMan!$G:$G, TrainingMan!$F:$F, "2-Year") = "Forever",
  "Valid",
  IF(X172="", "Not Trained",
     IF(X172 &lt; TODAY() - 1, "Expired",
        IF(X172 &lt;= TODAY() + 90, "Expiring", "Valid")
     )
  )
)</f>
        <v>Valid</v>
      </c>
      <c r="Z172" s="4">
        <v>43657</v>
      </c>
      <c r="AA172" s="4" t="str">
        <f ca="1">IF(LEN(TRIM(Z172)) = 0, "Not Trained",
  IF(_xlfn.XLOOKUP($D172 &amp; "-" &amp; Z$2, TrainingMan!$G:$G, TrainingMan!$F:$F, "2-Year") = "Forever", "Valid",
    IF(Z172 &lt; TODAY() - 1, "Expired",
      IF(Z172 &lt;= TODAY() + 90, "Expiring", "Valid")
    )
  )
)</f>
        <v>Valid</v>
      </c>
      <c r="AB172" s="4"/>
      <c r="AC172" s="4"/>
      <c r="AD172" s="4"/>
      <c r="AE172" s="4"/>
      <c r="AF172" s="4"/>
      <c r="AG172" s="4">
        <v>45826</v>
      </c>
      <c r="AH172" s="4"/>
      <c r="AI172" s="4">
        <v>43297</v>
      </c>
      <c r="AJ172" s="4">
        <v>44214</v>
      </c>
      <c r="AN172" s="4"/>
      <c r="AQ172" s="4"/>
      <c r="AR172" s="4"/>
      <c r="AS172" s="4"/>
      <c r="AT172" s="4">
        <v>45735</v>
      </c>
      <c r="AU172" s="4"/>
      <c r="BB172" s="4">
        <v>45735</v>
      </c>
      <c r="BC172" s="4"/>
      <c r="BD172" s="4">
        <v>42955</v>
      </c>
      <c r="BE172" s="4"/>
      <c r="BF172" s="4"/>
      <c r="BG172" s="4">
        <v>43181</v>
      </c>
      <c r="BH172" s="4"/>
      <c r="BI172" s="4"/>
      <c r="BJ172" s="4"/>
      <c r="BK172" s="4"/>
      <c r="BL172" s="4"/>
      <c r="BM172" s="4"/>
      <c r="BN172" s="4"/>
      <c r="BO172" s="4"/>
      <c r="BP172" s="4"/>
      <c r="BQ172">
        <f>COUNTIF('TrainingReq (Ach)'!B:B,Table13[[#This Row],[Job Title]])</f>
        <v>16</v>
      </c>
      <c r="BR172" cm="1">
        <f t="array" aca="1" ref="BR17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2" s="5">
        <f t="shared" ca="1" si="6"/>
        <v>1</v>
      </c>
      <c r="BW172" s="4"/>
      <c r="CD172" s="4"/>
      <c r="CE172" s="4" t="str">
        <f ca="1">IF(
  _xlfn.XLOOKUP($D172 &amp; "-" &amp; CD$2, 'TrainingReq (Ach)'!$G:$G, 'TrainingReq (Ach)'!$F:$F, "2-Year") = "Forever",
  "Valid",
  IF(CD172="", "Not Trained",
     IF(CD172 &lt; TODAY() - 1, "Expired",
        IF(CD172 &lt;= TODAY() + 90, "Expiring", "Valid")
     )
  )
)</f>
        <v>Not Trained</v>
      </c>
      <c r="CG172" s="4"/>
      <c r="CH172" s="4" t="str">
        <f ca="1">IF(
  _xlfn.XLOOKUP($D171 &amp; "-" &amp; CG$2, 'TrainingReq (Ach)'!$G:$G, 'TrainingReq (Ach)'!$F:$F, "2-Year") = "Forever",
  "Valid",
  IF(CG171="", "Not Trained",
     IF(CG171 &lt; TODAY() - 1, "Expired",
        IF(CG171 &lt;= TODAY() + 90, "Expiring", "Valid")
     )
  )
)</f>
        <v>Not Trained</v>
      </c>
      <c r="CI172" t="str">
        <f t="shared" si="7"/>
        <v>Not eligible</v>
      </c>
      <c r="CJ172" t="str">
        <f t="shared" si="8"/>
        <v>Not eligible</v>
      </c>
    </row>
    <row r="173" spans="1:88" ht="15.75" x14ac:dyDescent="0.25">
      <c r="A173">
        <v>171</v>
      </c>
      <c r="B173">
        <v>581949</v>
      </c>
      <c r="C173" t="s">
        <v>713</v>
      </c>
      <c r="D173" t="s">
        <v>17</v>
      </c>
      <c r="G173" t="s">
        <v>57</v>
      </c>
      <c r="H173" s="4">
        <v>46921</v>
      </c>
      <c r="I173" s="4" t="str">
        <f ca="1">IF(
  _xlfn.XLOOKUP($D173 &amp; "-" &amp; H$2, 'TrainingReq (Ach)'!G:G, 'TrainingReq (Ach)'!F:F, "2-Year") = "Forever",
  "Valid",
  IF(H173="", "Not Trained",
     IF(H173 &lt; TODAY() - 1, "Expired",
        IF(H173 &lt;= TODAY() + 90, "Expiring", "Valid")
     )
  )
)</f>
        <v>Valid</v>
      </c>
      <c r="J173" s="4">
        <v>46921</v>
      </c>
      <c r="K173" s="4" t="str">
        <f ca="1">IF(
  _xlfn.XLOOKUP($D173 &amp; "-" &amp; J$2, 'TrainingReq (Ach)'!G:G, 'TrainingReq (Ach)'!F:F, "2-Year") = "Forever",
  "Valid",
  IF(J173="", "Not Trained",
     IF(J173 &lt; TODAY() - 1, "Expired",
        IF(J173 &lt;= TODAY() + 90, "Expiring", "Valid")
     )
  )
)</f>
        <v>Valid</v>
      </c>
      <c r="L173" s="4">
        <v>44350</v>
      </c>
      <c r="M173" s="4" t="str">
        <f ca="1">IF(
  _xlfn.XLOOKUP($D173 &amp; "-" &amp; L$2, TrainingMan!$G:$G, TrainingMan!$F:$F, "2-Year") = "Forever",
  "Valid",
  IF(L173="", "Not Trained",
     IF(L173 &lt; TODAY() - 1, "Expired",
        IF(L173 &lt;= TODAY() + 90, "Expiring", "Valid")
     )
  )
)</f>
        <v>Valid</v>
      </c>
      <c r="N173" s="4">
        <v>46584</v>
      </c>
      <c r="O173" s="4" t="str">
        <f ca="1">IF(
  _xlfn.XLOOKUP($D173 &amp; "-" &amp; N$2, TrainingMan!$G:$G, TrainingMan!$F:$F, "2-Year") = "Forever",
  "Valid",
  IF(N173="", "Not Trained",
     IF(N173 &lt; TODAY() - 1, "Expired",
        IF(N173 &lt;= TODAY() + 90, "Expiring", "Valid")
     )
  )
)</f>
        <v>Valid</v>
      </c>
      <c r="P173" s="4">
        <v>46593</v>
      </c>
      <c r="Q173" s="4" t="str">
        <f ca="1">IF(
  _xlfn.XLOOKUP($D173 &amp; "-" &amp; P$2, TrainingMan!$G:$G, TrainingMan!$F:$F, "2-Year") = "Forever",
  "Valid",
  IF(P173="", "Not Trained",
     IF(P173 &lt; TODAY() - 1, "Expired",
        IF(P173 &lt;= TODAY() + 90, "Expiring", "Valid")
     )
  )
)</f>
        <v>Valid</v>
      </c>
      <c r="R173" s="4">
        <v>46593</v>
      </c>
      <c r="S173" s="4" t="str">
        <f ca="1">IF(
  _xlfn.XLOOKUP($D173 &amp; "-" &amp; R$2, TrainingMan!$G:$G, TrainingMan!$F:$F, "2-Year") = "Forever",
  "Valid",
  IF(R173="", "Not Trained",
     IF(R173 &lt; TODAY() - 1, "Expired",
        IF(R173 &lt;= TODAY() + 90, "Expiring", "Valid")
     )
  )
)</f>
        <v>Valid</v>
      </c>
      <c r="T173" s="4">
        <v>46593</v>
      </c>
      <c r="U173" s="4" t="str">
        <f ca="1">IF(
  _xlfn.XLOOKUP($D173 &amp; "-" &amp; T$2, TrainingMan!$G:$G, TrainingMan!$F:$F, "2-Year") = "Forever",
  "Valid",
  IF(T173="", "Not Trained",
     IF(T173 &lt; TODAY() - 1, "Expired",
        IF(T173 &lt;= TODAY() + 90, "Expiring", "Valid")
     )
  )
)</f>
        <v>Valid</v>
      </c>
      <c r="V173" s="4">
        <v>42570</v>
      </c>
      <c r="W173" s="4" t="str">
        <f ca="1">IF(
  _xlfn.XLOOKUP($D173 &amp; "-" &amp; V$2, TrainingMan!$G:$G, TrainingMan!$F:$F, "2-Year") = "Forever",
  "Valid",
  IF(V173="", "Not Trained",
     IF(V173 &lt; TODAY() - 1, "Expired",
        IF(V173 &lt;= TODAY() + 90, "Expiring", "Valid")
     )
  )
)</f>
        <v>Valid</v>
      </c>
      <c r="X173" s="4">
        <v>44726</v>
      </c>
      <c r="Y173" s="4" t="str">
        <f ca="1">IF(
  _xlfn.XLOOKUP($D173 &amp; "-" &amp; X$2, TrainingMan!$G:$G, TrainingMan!$F:$F, "2-Year") = "Forever",
  "Valid",
  IF(X173="", "Not Trained",
     IF(X173 &lt; TODAY() - 1, "Expired",
        IF(X173 &lt;= TODAY() + 90, "Expiring", "Valid")
     )
  )
)</f>
        <v>Valid</v>
      </c>
      <c r="Z173" s="4">
        <v>44172</v>
      </c>
      <c r="AA173" s="4" t="str">
        <f ca="1">IF(LEN(TRIM(Z173)) = 0, "Not Trained",
  IF(_xlfn.XLOOKUP($D173 &amp; "-" &amp; Z$2, TrainingMan!$G:$G, TrainingMan!$F:$F, "2-Year") = "Forever", "Valid",
    IF(Z173 &lt; TODAY() - 1, "Expired",
      IF(Z173 &lt;= TODAY() + 90, "Expiring", "Valid")
    )
  )
)</f>
        <v>Valid</v>
      </c>
      <c r="AB173" s="4"/>
      <c r="AC173" s="4"/>
      <c r="AD173" s="4"/>
      <c r="AE173" s="4"/>
      <c r="AF173" s="4"/>
      <c r="AG173" s="4">
        <v>45670</v>
      </c>
      <c r="AH173" s="4">
        <v>43199</v>
      </c>
      <c r="AI173" s="4">
        <v>43297</v>
      </c>
      <c r="AJ173" s="4">
        <v>42690</v>
      </c>
      <c r="AN173" s="4"/>
      <c r="AQ173" s="4"/>
      <c r="AR173" s="4"/>
      <c r="AS173" s="4"/>
      <c r="AT173" s="4">
        <v>45888</v>
      </c>
      <c r="AU173" s="4"/>
      <c r="BB173" s="4">
        <v>45734</v>
      </c>
      <c r="BC173" s="4"/>
      <c r="BD173" s="4">
        <v>45430</v>
      </c>
      <c r="BE173" s="4"/>
      <c r="BF173" s="4"/>
      <c r="BG173" s="4">
        <v>45929</v>
      </c>
      <c r="BH173" s="4"/>
      <c r="BI173" s="4"/>
      <c r="BJ173" s="4"/>
      <c r="BK173" s="4"/>
      <c r="BL173" s="4"/>
      <c r="BM173" s="4"/>
      <c r="BN173" s="4"/>
      <c r="BO173" s="4"/>
      <c r="BP173" s="4"/>
      <c r="BQ173">
        <f>COUNTIF('TrainingReq (Ach)'!B:B,Table13[[#This Row],[Job Title]])</f>
        <v>16</v>
      </c>
      <c r="BR173" cm="1">
        <f t="array" aca="1" ref="BR17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3" s="16">
        <f t="shared" ca="1" si="6"/>
        <v>1</v>
      </c>
      <c r="BW173" s="4"/>
      <c r="CD173" s="6"/>
      <c r="CE173" s="4" t="str">
        <f ca="1">IF(
  _xlfn.XLOOKUP($D173 &amp; "-" &amp; CD$2, 'TrainingReq (Ach)'!$G:$G, 'TrainingReq (Ach)'!$F:$F, "2-Year") = "Forever",
  "Valid",
  IF(CD173="", "Not Trained",
     IF(CD173 &lt; TODAY() - 1, "Expired",
        IF(CD173 &lt;= TODAY() + 90, "Expiring", "Valid")
     )
  )
)</f>
        <v>Not Trained</v>
      </c>
      <c r="CG173" s="6"/>
      <c r="CH173" s="4" t="str">
        <f ca="1">IF(
  _xlfn.XLOOKUP($D172 &amp; "-" &amp; CG$2, 'TrainingReq (Ach)'!$G:$G, 'TrainingReq (Ach)'!$F:$F, "2-Year") = "Forever",
  "Valid",
  IF(CG172="", "Not Trained",
     IF(CG172 &lt; TODAY() - 1, "Expired",
        IF(CG172 &lt;= TODAY() + 90, "Expiring", "Valid")
     )
  )
)</f>
        <v>Not Trained</v>
      </c>
      <c r="CI173" t="str">
        <f t="shared" si="7"/>
        <v>Not eligible</v>
      </c>
      <c r="CJ173" t="str">
        <f t="shared" si="8"/>
        <v>Not eligible</v>
      </c>
    </row>
    <row r="174" spans="1:88" x14ac:dyDescent="0.25">
      <c r="A174">
        <v>172</v>
      </c>
      <c r="B174">
        <v>581990</v>
      </c>
      <c r="C174" t="s">
        <v>714</v>
      </c>
      <c r="D174" t="s">
        <v>16</v>
      </c>
      <c r="G174" t="s">
        <v>57</v>
      </c>
      <c r="H174" s="4">
        <v>46542</v>
      </c>
      <c r="I174" s="4" t="str">
        <f ca="1">IF(
  _xlfn.XLOOKUP($D174 &amp; "-" &amp; H$2, 'TrainingReq (Ach)'!G:G, 'TrainingReq (Ach)'!F:F, "2-Year") = "Forever",
  "Valid",
  IF(H174="", "Not Trained",
     IF(H174 &lt; TODAY() - 1, "Expired",
        IF(H174 &lt;= TODAY() + 90, "Expiring", "Valid")
     )
  )
)</f>
        <v>Valid</v>
      </c>
      <c r="J174" s="4">
        <v>46542</v>
      </c>
      <c r="K174" s="4" t="str">
        <f ca="1">IF(
  _xlfn.XLOOKUP($D174 &amp; "-" &amp; J$2, 'TrainingReq (Ach)'!G:G, 'TrainingReq (Ach)'!F:F, "2-Year") = "Forever",
  "Valid",
  IF(J174="", "Not Trained",
     IF(J174 &lt; TODAY() - 1, "Expired",
        IF(J174 &lt;= TODAY() + 90, "Expiring", "Valid")
     )
  )
)</f>
        <v>Valid</v>
      </c>
      <c r="L174" s="4">
        <v>43706</v>
      </c>
      <c r="M174" s="4" t="str">
        <f ca="1">IF(
  _xlfn.XLOOKUP($D174 &amp; "-" &amp; L$2, TrainingMan!$G:$G, TrainingMan!$F:$F, "2-Year") = "Forever",
  "Valid",
  IF(L174="", "Not Trained",
     IF(L174 &lt; TODAY() - 1, "Expired",
        IF(L174 &lt;= TODAY() + 90, "Expiring", "Valid")
     )
  )
)</f>
        <v>Valid</v>
      </c>
      <c r="N174" s="4">
        <v>46584</v>
      </c>
      <c r="O174" s="4" t="str">
        <f ca="1">IF(
  _xlfn.XLOOKUP($D174 &amp; "-" &amp; N$2, TrainingMan!$G:$G, TrainingMan!$F:$F, "2-Year") = "Forever",
  "Valid",
  IF(N174="", "Not Trained",
     IF(N174 &lt; TODAY() - 1, "Expired",
        IF(N174 &lt;= TODAY() + 90, "Expiring", "Valid")
     )
  )
)</f>
        <v>Valid</v>
      </c>
      <c r="P174" s="4">
        <v>46584</v>
      </c>
      <c r="Q174" s="4" t="str">
        <f ca="1">IF(
  _xlfn.XLOOKUP($D174 &amp; "-" &amp; P$2, TrainingMan!$G:$G, TrainingMan!$F:$F, "2-Year") = "Forever",
  "Valid",
  IF(P174="", "Not Trained",
     IF(P174 &lt; TODAY() - 1, "Expired",
        IF(P174 &lt;= TODAY() + 90, "Expiring", "Valid")
     )
  )
)</f>
        <v>Valid</v>
      </c>
      <c r="R174" s="4">
        <v>46597</v>
      </c>
      <c r="S174" s="4" t="str">
        <f ca="1">IF(
  _xlfn.XLOOKUP($D174 &amp; "-" &amp; R$2, TrainingMan!$G:$G, TrainingMan!$F:$F, "2-Year") = "Forever",
  "Valid",
  IF(R174="", "Not Trained",
     IF(R174 &lt; TODAY() - 1, "Expired",
        IF(R174 &lt;= TODAY() + 90, "Expiring", "Valid")
     )
  )
)</f>
        <v>Valid</v>
      </c>
      <c r="T174" s="4">
        <v>46584</v>
      </c>
      <c r="U174" s="4" t="str">
        <f ca="1">IF(
  _xlfn.XLOOKUP($D174 &amp; "-" &amp; T$2, TrainingMan!$G:$G, TrainingMan!$F:$F, "2-Year") = "Forever",
  "Valid",
  IF(T174="", "Not Trained",
     IF(T174 &lt; TODAY() - 1, "Expired",
        IF(T174 &lt;= TODAY() + 90, "Expiring", "Valid")
     )
  )
)</f>
        <v>Valid</v>
      </c>
      <c r="V174" s="4">
        <v>43140</v>
      </c>
      <c r="W174" s="4" t="str">
        <f ca="1">IF(
  _xlfn.XLOOKUP($D174 &amp; "-" &amp; V$2, TrainingMan!$G:$G, TrainingMan!$F:$F, "2-Year") = "Forever",
  "Valid",
  IF(V174="", "Not Trained",
     IF(V174 &lt; TODAY() - 1, "Expired",
        IF(V174 &lt;= TODAY() + 90, "Expiring", "Valid")
     )
  )
)</f>
        <v>Valid</v>
      </c>
      <c r="X174" s="4">
        <v>44013</v>
      </c>
      <c r="Y174" s="4" t="str">
        <f ca="1">IF(
  _xlfn.XLOOKUP($D174 &amp; "-" &amp; X$2, TrainingMan!$G:$G, TrainingMan!$F:$F, "2-Year") = "Forever",
  "Valid",
  IF(X174="", "Not Trained",
     IF(X174 &lt; TODAY() - 1, "Expired",
        IF(X174 &lt;= TODAY() + 90, "Expiring", "Valid")
     )
  )
)</f>
        <v>Valid</v>
      </c>
      <c r="Z174" s="4">
        <v>43868</v>
      </c>
      <c r="AA174" s="4" t="str">
        <f ca="1">IF(LEN(TRIM(Z174)) = 0, "Not Trained",
  IF(_xlfn.XLOOKUP($D174 &amp; "-" &amp; Z$2, TrainingMan!$G:$G, TrainingMan!$F:$F, "2-Year") = "Forever", "Valid",
    IF(Z174 &lt; TODAY() - 1, "Expired",
      IF(Z174 &lt;= TODAY() + 90, "Expiring", "Valid")
    )
  )
)</f>
        <v>Valid</v>
      </c>
      <c r="AB174" s="4"/>
      <c r="AC174" s="4"/>
      <c r="AD174" s="4"/>
      <c r="AE174" s="4"/>
      <c r="AF174" s="4"/>
      <c r="AG174" s="4">
        <v>45259</v>
      </c>
      <c r="AH174" s="4">
        <v>42660</v>
      </c>
      <c r="AI174" s="4"/>
      <c r="AJ174" s="4">
        <v>42969</v>
      </c>
      <c r="AN174" s="4"/>
      <c r="AQ174" s="4"/>
      <c r="AR174" s="4"/>
      <c r="AS174" s="4"/>
      <c r="AT174" s="4">
        <v>45125</v>
      </c>
      <c r="AU174" s="4"/>
      <c r="BB174" s="4">
        <v>45852</v>
      </c>
      <c r="BC174" s="4"/>
      <c r="BD174" s="4">
        <v>42857</v>
      </c>
      <c r="BE174" s="4"/>
      <c r="BF174" s="4"/>
      <c r="BG174" s="4">
        <v>43402</v>
      </c>
      <c r="BH174" s="4"/>
      <c r="BI174" s="4"/>
      <c r="BJ174" s="4"/>
      <c r="BK174" s="4"/>
      <c r="BL174" s="4"/>
      <c r="BM174" s="4"/>
      <c r="BN174" s="4"/>
      <c r="BO174" s="4"/>
      <c r="BP174" s="4"/>
      <c r="BQ174">
        <f>COUNTIF('TrainingReq (Ach)'!B:B,Table13[[#This Row],[Job Title]])</f>
        <v>16</v>
      </c>
      <c r="BR174" cm="1">
        <f t="array" aca="1" ref="BR17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4" s="5">
        <f t="shared" ca="1" si="6"/>
        <v>1</v>
      </c>
      <c r="BW174" s="4"/>
      <c r="CD174" s="4"/>
      <c r="CE174" s="4" t="str">
        <f ca="1">IF(
  _xlfn.XLOOKUP($D174 &amp; "-" &amp; CD$2, 'TrainingReq (Ach)'!$G:$G, 'TrainingReq (Ach)'!$F:$F, "2-Year") = "Forever",
  "Valid",
  IF(CD174="", "Not Trained",
     IF(CD174 &lt; TODAY() - 1, "Expired",
        IF(CD174 &lt;= TODAY() + 90, "Expiring", "Valid")
     )
  )
)</f>
        <v>Not Trained</v>
      </c>
      <c r="CG174" s="4"/>
      <c r="CH174" s="4" t="str">
        <f ca="1">IF(
  _xlfn.XLOOKUP($D173 &amp; "-" &amp; CG$2, 'TrainingReq (Ach)'!$G:$G, 'TrainingReq (Ach)'!$F:$F, "2-Year") = "Forever",
  "Valid",
  IF(CG173="", "Not Trained",
     IF(CG173 &lt; TODAY() - 1, "Expired",
        IF(CG173 &lt;= TODAY() + 90, "Expiring", "Valid")
     )
  )
)</f>
        <v>Not Trained</v>
      </c>
      <c r="CI174" t="str">
        <f t="shared" si="7"/>
        <v>Not eligible</v>
      </c>
      <c r="CJ174" t="str">
        <f t="shared" si="8"/>
        <v>Not eligible</v>
      </c>
    </row>
    <row r="175" spans="1:88" x14ac:dyDescent="0.25">
      <c r="A175">
        <v>173</v>
      </c>
      <c r="B175">
        <v>581066</v>
      </c>
      <c r="C175" t="s">
        <v>715</v>
      </c>
      <c r="D175" t="s">
        <v>16</v>
      </c>
      <c r="G175" t="s">
        <v>57</v>
      </c>
      <c r="H175" s="4">
        <v>46316</v>
      </c>
      <c r="I175" s="4" t="str">
        <f ca="1">IF(
  _xlfn.XLOOKUP($D175 &amp; "-" &amp; H$2, 'TrainingReq (Ach)'!G:G, 'TrainingReq (Ach)'!F:F, "2-Year") = "Forever",
  "Valid",
  IF(H175="", "Not Trained",
     IF(H175 &lt; TODAY() - 1, "Expired",
        IF(H175 &lt;= TODAY() + 90, "Expiring", "Valid")
     )
  )
)</f>
        <v>Expiring</v>
      </c>
      <c r="J175" s="4">
        <v>46316</v>
      </c>
      <c r="K175" s="4" t="str">
        <f ca="1">IF(
  _xlfn.XLOOKUP($D175 &amp; "-" &amp; J$2, 'TrainingReq (Ach)'!G:G, 'TrainingReq (Ach)'!F:F, "2-Year") = "Forever",
  "Valid",
  IF(J175="", "Not Trained",
     IF(J175 &lt; TODAY() - 1, "Expired",
        IF(J175 &lt;= TODAY() + 90, "Expiring", "Valid")
     )
  )
)</f>
        <v>Expiring</v>
      </c>
      <c r="L175" s="4">
        <v>43529</v>
      </c>
      <c r="M175" s="4" t="str">
        <f ca="1">IF(
  _xlfn.XLOOKUP($D175 &amp; "-" &amp; L$2, TrainingMan!$G:$G, TrainingMan!$F:$F, "2-Year") = "Forever",
  "Valid",
  IF(L175="", "Not Trained",
     IF(L175 &lt; TODAY() - 1, "Expired",
        IF(L175 &lt;= TODAY() + 90, "Expiring", "Valid")
     )
  )
)</f>
        <v>Valid</v>
      </c>
      <c r="N175" s="4">
        <v>46449</v>
      </c>
      <c r="O175" s="4" t="str">
        <f ca="1">IF(
  _xlfn.XLOOKUP($D175 &amp; "-" &amp; N$2, TrainingMan!$G:$G, TrainingMan!$F:$F, "2-Year") = "Forever",
  "Valid",
  IF(N175="", "Not Trained",
     IF(N175 &lt; TODAY() - 1, "Expired",
        IF(N175 &lt;= TODAY() + 90, "Expiring", "Valid")
     )
  )
)</f>
        <v>Valid</v>
      </c>
      <c r="P175" s="4">
        <v>46449</v>
      </c>
      <c r="Q175" s="4" t="str">
        <f ca="1">IF(
  _xlfn.XLOOKUP($D175 &amp; "-" &amp; P$2, TrainingMan!$G:$G, TrainingMan!$F:$F, "2-Year") = "Forever",
  "Valid",
  IF(P175="", "Not Trained",
     IF(P175 &lt; TODAY() - 1, "Expired",
        IF(P175 &lt;= TODAY() + 90, "Expiring", "Valid")
     )
  )
)</f>
        <v>Valid</v>
      </c>
      <c r="R175" s="4">
        <v>46449</v>
      </c>
      <c r="S175" s="4" t="str">
        <f ca="1">IF(
  _xlfn.XLOOKUP($D175 &amp; "-" &amp; R$2, TrainingMan!$G:$G, TrainingMan!$F:$F, "2-Year") = "Forever",
  "Valid",
  IF(R175="", "Not Trained",
     IF(R175 &lt; TODAY() - 1, "Expired",
        IF(R175 &lt;= TODAY() + 90, "Expiring", "Valid")
     )
  )
)</f>
        <v>Valid</v>
      </c>
      <c r="T175" s="4">
        <v>46449</v>
      </c>
      <c r="U175" s="4" t="str">
        <f ca="1">IF(
  _xlfn.XLOOKUP($D175 &amp; "-" &amp; T$2, TrainingMan!$G:$G, TrainingMan!$F:$F, "2-Year") = "Forever",
  "Valid",
  IF(T175="", "Not Trained",
     IF(T175 &lt; TODAY() - 1, "Expired",
        IF(T175 &lt;= TODAY() + 90, "Expiring", "Valid")
     )
  )
)</f>
        <v>Valid</v>
      </c>
      <c r="V175" s="4">
        <v>43349</v>
      </c>
      <c r="W175" s="4" t="str">
        <f ca="1">IF(
  _xlfn.XLOOKUP($D175 &amp; "-" &amp; V$2, TrainingMan!$G:$G, TrainingMan!$F:$F, "2-Year") = "Forever",
  "Valid",
  IF(V175="", "Not Trained",
     IF(V175 &lt; TODAY() - 1, "Expired",
        IF(V175 &lt;= TODAY() + 90, "Expiring", "Valid")
     )
  )
)</f>
        <v>Valid</v>
      </c>
      <c r="X175" s="4">
        <v>43203</v>
      </c>
      <c r="Y175" s="4" t="str">
        <f ca="1">IF(
  _xlfn.XLOOKUP($D175 &amp; "-" &amp; X$2, TrainingMan!$G:$G, TrainingMan!$F:$F, "2-Year") = "Forever",
  "Valid",
  IF(X175="", "Not Trained",
     IF(X175 &lt; TODAY() - 1, "Expired",
        IF(X175 &lt;= TODAY() + 90, "Expiring", "Valid")
     )
  )
)</f>
        <v>Valid</v>
      </c>
      <c r="Z175" s="4">
        <v>43391</v>
      </c>
      <c r="AA175" s="4" t="str">
        <f ca="1">IF(LEN(TRIM(Z175)) = 0, "Not Trained",
  IF(_xlfn.XLOOKUP($D175 &amp; "-" &amp; Z$2, TrainingMan!$G:$G, TrainingMan!$F:$F, "2-Year") = "Forever", "Valid",
    IF(Z175 &lt; TODAY() - 1, "Expired",
      IF(Z175 &lt;= TODAY() + 90, "Expiring", "Valid")
    )
  )
)</f>
        <v>Valid</v>
      </c>
      <c r="AB175" s="4"/>
      <c r="AC175" s="4"/>
      <c r="AD175" s="4"/>
      <c r="AE175" s="4"/>
      <c r="AF175" s="4"/>
      <c r="AG175" s="4">
        <v>45203</v>
      </c>
      <c r="AH175" s="4">
        <v>43164</v>
      </c>
      <c r="AI175" s="4"/>
      <c r="AJ175" s="4">
        <v>46218</v>
      </c>
      <c r="AN175" s="4"/>
      <c r="AQ175" s="4"/>
      <c r="AR175" s="4"/>
      <c r="AS175" s="4"/>
      <c r="AT175" s="4">
        <v>45574</v>
      </c>
      <c r="AU175" s="4"/>
      <c r="BB175" s="4">
        <v>45818</v>
      </c>
      <c r="BC175" s="4"/>
      <c r="BD175" s="4">
        <v>41990</v>
      </c>
      <c r="BE175" s="4"/>
      <c r="BF175" s="4"/>
      <c r="BG175" s="4">
        <v>42417</v>
      </c>
      <c r="BH175" s="4"/>
      <c r="BI175" s="4"/>
      <c r="BJ175" s="4"/>
      <c r="BK175" s="4"/>
      <c r="BL175" s="4"/>
      <c r="BM175" s="4"/>
      <c r="BN175" s="4"/>
      <c r="BO175" s="4"/>
      <c r="BP175" s="4"/>
      <c r="BQ175">
        <f>COUNTIF('TrainingReq (Ach)'!B:B,Table13[[#This Row],[Job Title]])</f>
        <v>16</v>
      </c>
      <c r="BR175" cm="1">
        <f t="array" aca="1" ref="BR17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5" s="5">
        <f t="shared" ca="1" si="6"/>
        <v>1</v>
      </c>
      <c r="BW175" s="4"/>
      <c r="CD175" s="4"/>
      <c r="CE175" s="4" t="str">
        <f ca="1">IF(
  _xlfn.XLOOKUP($D175 &amp; "-" &amp; CD$2, 'TrainingReq (Ach)'!$G:$G, 'TrainingReq (Ach)'!$F:$F, "2-Year") = "Forever",
  "Valid",
  IF(CD175="", "Not Trained",
     IF(CD175 &lt; TODAY() - 1, "Expired",
        IF(CD175 &lt;= TODAY() + 90, "Expiring", "Valid")
     )
  )
)</f>
        <v>Not Trained</v>
      </c>
      <c r="CG175" s="4"/>
      <c r="CH175" s="4" t="str">
        <f ca="1">IF(
  _xlfn.XLOOKUP($D174 &amp; "-" &amp; CG$2, 'TrainingReq (Ach)'!$G:$G, 'TrainingReq (Ach)'!$F:$F, "2-Year") = "Forever",
  "Valid",
  IF(CG174="", "Not Trained",
     IF(CG174 &lt; TODAY() - 1, "Expired",
        IF(CG174 &lt;= TODAY() + 90, "Expiring", "Valid")
     )
  )
)</f>
        <v>Not Trained</v>
      </c>
      <c r="CI175" t="str">
        <f t="shared" si="7"/>
        <v>Not eligible</v>
      </c>
      <c r="CJ175" t="str">
        <f t="shared" si="8"/>
        <v>Not eligible</v>
      </c>
    </row>
    <row r="176" spans="1:88" x14ac:dyDescent="0.25">
      <c r="A176">
        <v>174</v>
      </c>
      <c r="B176">
        <v>581276</v>
      </c>
      <c r="C176" t="s">
        <v>716</v>
      </c>
      <c r="D176" t="s">
        <v>16</v>
      </c>
      <c r="G176" t="s">
        <v>57</v>
      </c>
      <c r="H176" s="4">
        <v>46547</v>
      </c>
      <c r="I176" s="4" t="str">
        <f ca="1">IF(
  _xlfn.XLOOKUP($D176 &amp; "-" &amp; H$2, 'TrainingReq (Ach)'!G:G, 'TrainingReq (Ach)'!F:F, "2-Year") = "Forever",
  "Valid",
  IF(H176="", "Not Trained",
     IF(H176 &lt; TODAY() - 1, "Expired",
        IF(H176 &lt;= TODAY() + 90, "Expiring", "Valid")
     )
  )
)</f>
        <v>Valid</v>
      </c>
      <c r="J176" s="4">
        <v>46547</v>
      </c>
      <c r="K176" s="4" t="str">
        <f ca="1">IF(
  _xlfn.XLOOKUP($D176 &amp; "-" &amp; J$2, 'TrainingReq (Ach)'!G:G, 'TrainingReq (Ach)'!F:F, "2-Year") = "Forever",
  "Valid",
  IF(J176="", "Not Trained",
     IF(J176 &lt; TODAY() - 1, "Expired",
        IF(J176 &lt;= TODAY() + 90, "Expiring", "Valid")
     )
  )
)</f>
        <v>Valid</v>
      </c>
      <c r="L176" s="4">
        <v>43542</v>
      </c>
      <c r="M176" s="4" t="str">
        <f ca="1">IF(
  _xlfn.XLOOKUP($D176 &amp; "-" &amp; L$2, TrainingMan!$G:$G, TrainingMan!$F:$F, "2-Year") = "Forever",
  "Valid",
  IF(L176="", "Not Trained",
     IF(L176 &lt; TODAY() - 1, "Expired",
        IF(L176 &lt;= TODAY() + 90, "Expiring", "Valid")
     )
  )
)</f>
        <v>Valid</v>
      </c>
      <c r="N176" s="4">
        <v>46450</v>
      </c>
      <c r="O176" s="4" t="str">
        <f ca="1">IF(
  _xlfn.XLOOKUP($D176 &amp; "-" &amp; N$2, TrainingMan!$G:$G, TrainingMan!$F:$F, "2-Year") = "Forever",
  "Valid",
  IF(N176="", "Not Trained",
     IF(N176 &lt; TODAY() - 1, "Expired",
        IF(N176 &lt;= TODAY() + 90, "Expiring", "Valid")
     )
  )
)</f>
        <v>Valid</v>
      </c>
      <c r="P176" s="4">
        <v>46450</v>
      </c>
      <c r="Q176" s="4" t="str">
        <f ca="1">IF(
  _xlfn.XLOOKUP($D176 &amp; "-" &amp; P$2, TrainingMan!$G:$G, TrainingMan!$F:$F, "2-Year") = "Forever",
  "Valid",
  IF(P176="", "Not Trained",
     IF(P176 &lt; TODAY() - 1, "Expired",
        IF(P176 &lt;= TODAY() + 90, "Expiring", "Valid")
     )
  )
)</f>
        <v>Valid</v>
      </c>
      <c r="R176" s="4">
        <v>46450</v>
      </c>
      <c r="S176" s="4" t="str">
        <f ca="1">IF(
  _xlfn.XLOOKUP($D176 &amp; "-" &amp; R$2, TrainingMan!$G:$G, TrainingMan!$F:$F, "2-Year") = "Forever",
  "Valid",
  IF(R176="", "Not Trained",
     IF(R176 &lt; TODAY() - 1, "Expired",
        IF(R176 &lt;= TODAY() + 90, "Expiring", "Valid")
     )
  )
)</f>
        <v>Valid</v>
      </c>
      <c r="T176" s="4">
        <v>46450</v>
      </c>
      <c r="U176" s="4" t="str">
        <f ca="1">IF(
  _xlfn.XLOOKUP($D176 &amp; "-" &amp; T$2, TrainingMan!$G:$G, TrainingMan!$F:$F, "2-Year") = "Forever",
  "Valid",
  IF(T176="", "Not Trained",
     IF(T176 &lt; TODAY() - 1, "Expired",
        IF(T176 &lt;= TODAY() + 90, "Expiring", "Valid")
     )
  )
)</f>
        <v>Valid</v>
      </c>
      <c r="V176" s="4">
        <v>42745</v>
      </c>
      <c r="W176" s="4" t="str">
        <f ca="1">IF(
  _xlfn.XLOOKUP($D176 &amp; "-" &amp; V$2, TrainingMan!$G:$G, TrainingMan!$F:$F, "2-Year") = "Forever",
  "Valid",
  IF(V176="", "Not Trained",
     IF(V176 &lt; TODAY() - 1, "Expired",
        IF(V176 &lt;= TODAY() + 90, "Expiring", "Valid")
     )
  )
)</f>
        <v>Valid</v>
      </c>
      <c r="X176" s="4">
        <v>43507</v>
      </c>
      <c r="Y176" s="4" t="str">
        <f ca="1">IF(
  _xlfn.XLOOKUP($D176 &amp; "-" &amp; X$2, TrainingMan!$G:$G, TrainingMan!$F:$F, "2-Year") = "Forever",
  "Valid",
  IF(X176="", "Not Trained",
     IF(X176 &lt; TODAY() - 1, "Expired",
        IF(X176 &lt;= TODAY() + 90, "Expiring", "Valid")
     )
  )
)</f>
        <v>Valid</v>
      </c>
      <c r="Z176" s="4">
        <v>42611</v>
      </c>
      <c r="AA176" s="4" t="str">
        <f ca="1">IF(LEN(TRIM(Z176)) = 0, "Not Trained",
  IF(_xlfn.XLOOKUP($D176 &amp; "-" &amp; Z$2, TrainingMan!$G:$G, TrainingMan!$F:$F, "2-Year") = "Forever", "Valid",
    IF(Z176 &lt; TODAY() - 1, "Expired",
      IF(Z176 &lt;= TODAY() + 90, "Expiring", "Valid")
    )
  )
)</f>
        <v>Valid</v>
      </c>
      <c r="AB176" s="4"/>
      <c r="AC176" s="4"/>
      <c r="AD176" s="4"/>
      <c r="AE176" s="4"/>
      <c r="AF176" s="4"/>
      <c r="AG176" s="4">
        <v>45321</v>
      </c>
      <c r="AH176" s="4">
        <v>42779</v>
      </c>
      <c r="AI176" s="4">
        <v>44571</v>
      </c>
      <c r="AJ176" s="4">
        <v>44412</v>
      </c>
      <c r="AN176" s="4"/>
      <c r="AQ176" s="4"/>
      <c r="AR176" s="4"/>
      <c r="AS176" s="4"/>
      <c r="AT176" s="4">
        <v>45357</v>
      </c>
      <c r="AU176" s="4"/>
      <c r="BB176" s="4">
        <v>45866</v>
      </c>
      <c r="BC176" s="4"/>
      <c r="BD176" s="4">
        <v>42319</v>
      </c>
      <c r="BE176" s="4"/>
      <c r="BF176" s="4"/>
      <c r="BG176" s="4">
        <v>42648</v>
      </c>
      <c r="BH176" s="4"/>
      <c r="BI176" s="4"/>
      <c r="BJ176" s="4"/>
      <c r="BK176" s="4"/>
      <c r="BL176" s="4"/>
      <c r="BM176" s="4"/>
      <c r="BN176" s="4"/>
      <c r="BO176" s="4"/>
      <c r="BP176" s="4"/>
      <c r="BQ176">
        <f>COUNTIF('TrainingReq (Ach)'!B:B,Table13[[#This Row],[Job Title]])</f>
        <v>16</v>
      </c>
      <c r="BR176" cm="1">
        <f t="array" aca="1" ref="BR17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6" s="5">
        <f t="shared" ca="1" si="6"/>
        <v>1</v>
      </c>
      <c r="BW176" s="4"/>
      <c r="CD176" s="4"/>
      <c r="CE176" s="4" t="str">
        <f ca="1">IF(
  _xlfn.XLOOKUP($D176 &amp; "-" &amp; CD$2, 'TrainingReq (Ach)'!$G:$G, 'TrainingReq (Ach)'!$F:$F, "2-Year") = "Forever",
  "Valid",
  IF(CD176="", "Not Trained",
     IF(CD176 &lt; TODAY() - 1, "Expired",
        IF(CD176 &lt;= TODAY() + 90, "Expiring", "Valid")
     )
  )
)</f>
        <v>Not Trained</v>
      </c>
      <c r="CG176" s="4"/>
      <c r="CH176" s="4" t="str">
        <f ca="1">IF(
  _xlfn.XLOOKUP($D175 &amp; "-" &amp; CG$2, 'TrainingReq (Ach)'!$G:$G, 'TrainingReq (Ach)'!$F:$F, "2-Year") = "Forever",
  "Valid",
  IF(CG175="", "Not Trained",
     IF(CG175 &lt; TODAY() - 1, "Expired",
        IF(CG175 &lt;= TODAY() + 90, "Expiring", "Valid")
     )
  )
)</f>
        <v>Not Trained</v>
      </c>
      <c r="CI176" t="str">
        <f t="shared" si="7"/>
        <v>Not eligible</v>
      </c>
      <c r="CJ176" t="str">
        <f t="shared" si="8"/>
        <v>Not eligible</v>
      </c>
    </row>
    <row r="177" spans="1:88" x14ac:dyDescent="0.25">
      <c r="A177">
        <v>175</v>
      </c>
      <c r="B177">
        <v>582830</v>
      </c>
      <c r="C177" t="s">
        <v>717</v>
      </c>
      <c r="D177" t="s">
        <v>16</v>
      </c>
      <c r="G177" t="s">
        <v>57</v>
      </c>
      <c r="H177" s="4">
        <v>46823</v>
      </c>
      <c r="I177" s="4" t="str">
        <f ca="1">IF(
  _xlfn.XLOOKUP($D177 &amp; "-" &amp; H$2, 'TrainingReq (Ach)'!G:G, 'TrainingReq (Ach)'!F:F, "2-Year") = "Forever",
  "Valid",
  IF(H177="", "Not Trained",
     IF(H177 &lt; TODAY() - 1, "Expired",
        IF(H177 &lt;= TODAY() + 90, "Expiring", "Valid")
     )
  )
)</f>
        <v>Valid</v>
      </c>
      <c r="J177" s="4">
        <v>46823</v>
      </c>
      <c r="K177" s="4" t="str">
        <f ca="1">IF(
  _xlfn.XLOOKUP($D177 &amp; "-" &amp; J$2, 'TrainingReq (Ach)'!G:G, 'TrainingReq (Ach)'!F:F, "2-Year") = "Forever",
  "Valid",
  IF(J177="", "Not Trained",
     IF(J177 &lt; TODAY() - 1, "Expired",
        IF(J177 &lt;= TODAY() + 90, "Expiring", "Valid")
     )
  )
)</f>
        <v>Valid</v>
      </c>
      <c r="L177" s="4">
        <v>43643</v>
      </c>
      <c r="M177" s="4" t="str">
        <f ca="1">IF(
  _xlfn.XLOOKUP($D177 &amp; "-" &amp; L$2, TrainingMan!$G:$G, TrainingMan!$F:$F, "2-Year") = "Forever",
  "Valid",
  IF(L177="", "Not Trained",
     IF(L177 &lt; TODAY() - 1, "Expired",
        IF(L177 &lt;= TODAY() + 90, "Expiring", "Valid")
     )
  )
)</f>
        <v>Valid</v>
      </c>
      <c r="N177" s="4">
        <v>46450</v>
      </c>
      <c r="O177" s="4" t="str">
        <f ca="1">IF(
  _xlfn.XLOOKUP($D177 &amp; "-" &amp; N$2, TrainingMan!$G:$G, TrainingMan!$F:$F, "2-Year") = "Forever",
  "Valid",
  IF(N177="", "Not Trained",
     IF(N177 &lt; TODAY() - 1, "Expired",
        IF(N177 &lt;= TODAY() + 90, "Expiring", "Valid")
     )
  )
)</f>
        <v>Valid</v>
      </c>
      <c r="P177" s="4">
        <v>46450</v>
      </c>
      <c r="Q177" s="4" t="str">
        <f ca="1">IF(
  _xlfn.XLOOKUP($D177 &amp; "-" &amp; P$2, TrainingMan!$G:$G, TrainingMan!$F:$F, "2-Year") = "Forever",
  "Valid",
  IF(P177="", "Not Trained",
     IF(P177 &lt; TODAY() - 1, "Expired",
        IF(P177 &lt;= TODAY() + 90, "Expiring", "Valid")
     )
  )
)</f>
        <v>Valid</v>
      </c>
      <c r="R177" s="4">
        <v>46450</v>
      </c>
      <c r="S177" s="4" t="str">
        <f ca="1">IF(
  _xlfn.XLOOKUP($D177 &amp; "-" &amp; R$2, TrainingMan!$G:$G, TrainingMan!$F:$F, "2-Year") = "Forever",
  "Valid",
  IF(R177="", "Not Trained",
     IF(R177 &lt; TODAY() - 1, "Expired",
        IF(R177 &lt;= TODAY() + 90, "Expiring", "Valid")
     )
  )
)</f>
        <v>Valid</v>
      </c>
      <c r="T177" s="4">
        <v>46450</v>
      </c>
      <c r="U177" s="4" t="str">
        <f ca="1">IF(
  _xlfn.XLOOKUP($D177 &amp; "-" &amp; T$2, TrainingMan!$G:$G, TrainingMan!$F:$F, "2-Year") = "Forever",
  "Valid",
  IF(T177="", "Not Trained",
     IF(T177 &lt; TODAY() - 1, "Expired",
        IF(T177 &lt;= TODAY() + 90, "Expiring", "Valid")
     )
  )
)</f>
        <v>Valid</v>
      </c>
      <c r="V177" s="4">
        <v>43335</v>
      </c>
      <c r="W177" s="4" t="str">
        <f ca="1">IF(
  _xlfn.XLOOKUP($D177 &amp; "-" &amp; V$2, TrainingMan!$G:$G, TrainingMan!$F:$F, "2-Year") = "Forever",
  "Valid",
  IF(V177="", "Not Trained",
     IF(V177 &lt; TODAY() - 1, "Expired",
        IF(V177 &lt;= TODAY() + 90, "Expiring", "Valid")
     )
  )
)</f>
        <v>Valid</v>
      </c>
      <c r="X177" s="4">
        <v>43223</v>
      </c>
      <c r="Y177" s="4" t="str">
        <f ca="1">IF(
  _xlfn.XLOOKUP($D177 &amp; "-" &amp; X$2, TrainingMan!$G:$G, TrainingMan!$F:$F, "2-Year") = "Forever",
  "Valid",
  IF(X177="", "Not Trained",
     IF(X177 &lt; TODAY() - 1, "Expired",
        IF(X177 &lt;= TODAY() + 90, "Expiring", "Valid")
     )
  )
)</f>
        <v>Valid</v>
      </c>
      <c r="Z177" s="4">
        <v>43367</v>
      </c>
      <c r="AA177" s="4" t="str">
        <f ca="1">IF(LEN(TRIM(Z177)) = 0, "Not Trained",
  IF(_xlfn.XLOOKUP($D177 &amp; "-" &amp; Z$2, TrainingMan!$G:$G, TrainingMan!$F:$F, "2-Year") = "Forever", "Valid",
    IF(Z177 &lt; TODAY() - 1, "Expired",
      IF(Z177 &lt;= TODAY() + 90, "Expiring", "Valid")
    )
  )
)</f>
        <v>Valid</v>
      </c>
      <c r="AB177" s="4"/>
      <c r="AC177" s="4"/>
      <c r="AD177" s="4"/>
      <c r="AE177" s="4"/>
      <c r="AF177" s="4"/>
      <c r="AG177" s="4">
        <v>45847</v>
      </c>
      <c r="AH177" s="4">
        <v>43164</v>
      </c>
      <c r="AI177" s="4">
        <v>43180</v>
      </c>
      <c r="AJ177" s="4">
        <v>44102</v>
      </c>
      <c r="AN177" s="4"/>
      <c r="AQ177" s="4"/>
      <c r="AR177" s="4"/>
      <c r="AS177" s="4"/>
      <c r="AT177" s="4">
        <v>45861</v>
      </c>
      <c r="AU177" s="4"/>
      <c r="BB177" s="4">
        <v>45831</v>
      </c>
      <c r="BC177" s="4"/>
      <c r="BD177" s="4">
        <v>43199</v>
      </c>
      <c r="BE177" s="4"/>
      <c r="BF177" s="4"/>
      <c r="BG177" s="4">
        <v>43487</v>
      </c>
      <c r="BH177" s="4"/>
      <c r="BI177" s="4"/>
      <c r="BJ177" s="4"/>
      <c r="BK177" s="4"/>
      <c r="BL177" s="4"/>
      <c r="BM177" s="4">
        <v>46198</v>
      </c>
      <c r="BN177" s="4"/>
      <c r="BO177" s="4"/>
      <c r="BP177" s="4"/>
      <c r="BQ177">
        <f>COUNTIF('TrainingReq (Ach)'!B:B,Table13[[#This Row],[Job Title]])</f>
        <v>16</v>
      </c>
      <c r="BR177" cm="1">
        <f t="array" aca="1" ref="BR17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16</v>
      </c>
      <c r="BS177" s="5">
        <f t="shared" ca="1" si="6"/>
        <v>1</v>
      </c>
      <c r="BW177" s="4"/>
      <c r="CD177" s="4"/>
      <c r="CE177" s="4" t="str">
        <f ca="1">IF(
  _xlfn.XLOOKUP($D177 &amp; "-" &amp; CD$2, 'TrainingReq (Ach)'!$G:$G, 'TrainingReq (Ach)'!$F:$F, "2-Year") = "Forever",
  "Valid",
  IF(CD177="", "Not Trained",
     IF(CD177 &lt; TODAY() - 1, "Expired",
        IF(CD177 &lt;= TODAY() + 90, "Expiring", "Valid")
     )
  )
)</f>
        <v>Not Trained</v>
      </c>
      <c r="CG177" s="4"/>
      <c r="CH177" s="4" t="str">
        <f ca="1">IF(
  _xlfn.XLOOKUP($D176 &amp; "-" &amp; CG$2, 'TrainingReq (Ach)'!$G:$G, 'TrainingReq (Ach)'!$F:$F, "2-Year") = "Forever",
  "Valid",
  IF(CG176="", "Not Trained",
     IF(CG176 &lt; TODAY() - 1, "Expired",
        IF(CG176 &lt;= TODAY() + 90, "Expiring", "Valid")
     )
  )
)</f>
        <v>Not Trained</v>
      </c>
      <c r="CI177" t="str">
        <f t="shared" si="7"/>
        <v>Not eligible</v>
      </c>
      <c r="CJ177" t="str">
        <f t="shared" si="8"/>
        <v>Not eligible</v>
      </c>
    </row>
    <row r="178" spans="1:88" x14ac:dyDescent="0.25">
      <c r="A178">
        <v>176</v>
      </c>
      <c r="B178">
        <v>582690</v>
      </c>
      <c r="C178" t="s">
        <v>718</v>
      </c>
      <c r="D178" t="s">
        <v>9</v>
      </c>
      <c r="G178" t="s">
        <v>57</v>
      </c>
      <c r="H178" s="4">
        <v>46297</v>
      </c>
      <c r="I178" s="4" t="str">
        <f ca="1">IF(
  _xlfn.XLOOKUP($D178 &amp; "-" &amp; H$2, 'TrainingReq (Ach)'!G:G, 'TrainingReq (Ach)'!F:F, "2-Year") = "Forever",
  "Valid",
  IF(H178="", "Not Trained",
     IF(H178 &lt; TODAY() - 1, "Expired",
        IF(H178 &lt;= TODAY() + 90, "Expiring", "Valid")
     )
  )
)</f>
        <v>Expiring</v>
      </c>
      <c r="J178" s="4">
        <v>46297</v>
      </c>
      <c r="K178" s="4" t="str">
        <f ca="1">IF(
  _xlfn.XLOOKUP($D178 &amp; "-" &amp; J$2, 'TrainingReq (Ach)'!G:G, 'TrainingReq (Ach)'!F:F, "2-Year") = "Forever",
  "Valid",
  IF(J178="", "Not Trained",
     IF(J178 &lt; TODAY() - 1, "Expired",
        IF(J178 &lt;= TODAY() + 90, "Expiring", "Valid")
     )
  )
)</f>
        <v>Expiring</v>
      </c>
      <c r="L178" s="4">
        <v>43971</v>
      </c>
      <c r="M178" s="4" t="str">
        <f ca="1">IF(
  _xlfn.XLOOKUP($D178 &amp; "-" &amp; L$2, TrainingMan!$G:$G, TrainingMan!$F:$F, "2-Year") = "Forever",
  "Valid",
  IF(L178="", "Not Trained",
     IF(L178 &lt; TODAY() - 1, "Expired",
        IF(L178 &lt;= TODAY() + 90, "Expiring", "Valid")
     )
  )
)</f>
        <v>Valid</v>
      </c>
      <c r="N178" s="4">
        <v>46553</v>
      </c>
      <c r="O178" s="4" t="str">
        <f ca="1">IF(
  _xlfn.XLOOKUP($D178 &amp; "-" &amp; N$2, TrainingMan!$G:$G, TrainingMan!$F:$F, "2-Year") = "Forever",
  "Valid",
  IF(N178="", "Not Trained",
     IF(N178 &lt; TODAY() - 1, "Expired",
        IF(N178 &lt;= TODAY() + 90, "Expiring", "Valid")
     )
  )
)</f>
        <v>Valid</v>
      </c>
      <c r="P178" s="4">
        <v>46553</v>
      </c>
      <c r="Q178" s="4" t="str">
        <f ca="1">IF(
  _xlfn.XLOOKUP($D178 &amp; "-" &amp; P$2, TrainingMan!$G:$G, TrainingMan!$F:$F, "2-Year") = "Forever",
  "Valid",
  IF(P178="", "Not Trained",
     IF(P178 &lt; TODAY() - 1, "Expired",
        IF(P178 &lt;= TODAY() + 90, "Expiring", "Valid")
     )
  )
)</f>
        <v>Valid</v>
      </c>
      <c r="R178" s="4">
        <v>46553</v>
      </c>
      <c r="S178" s="4" t="str">
        <f ca="1">IF(
  _xlfn.XLOOKUP($D178 &amp; "-" &amp; R$2, TrainingMan!$G:$G, TrainingMan!$F:$F, "2-Year") = "Forever",
  "Valid",
  IF(R178="", "Not Trained",
     IF(R178 &lt; TODAY() - 1, "Expired",
        IF(R178 &lt;= TODAY() + 90, "Expiring", "Valid")
     )
  )
)</f>
        <v>Valid</v>
      </c>
      <c r="T178" s="4">
        <v>46553</v>
      </c>
      <c r="U178" s="4" t="str">
        <f ca="1">IF(
  _xlfn.XLOOKUP($D178 &amp; "-" &amp; T$2, TrainingMan!$G:$G, TrainingMan!$F:$F, "2-Year") = "Forever",
  "Valid",
  IF(T178="", "Not Trained",
     IF(T178 &lt; TODAY() - 1, "Expired",
        IF(T178 &lt;= TODAY() + 90, "Expiring", "Valid")
     )
  )
)</f>
        <v>Valid</v>
      </c>
      <c r="V178" s="4">
        <v>44865</v>
      </c>
      <c r="W178" s="4" t="str">
        <f ca="1">IF(
  _xlfn.XLOOKUP($D178 &amp; "-" &amp; V$2, TrainingMan!$G:$G, TrainingMan!$F:$F, "2-Year") = "Forever",
  "Valid",
  IF(V178="", "Not Trained",
     IF(V178 &lt; TODAY() - 1, "Expired",
        IF(V178 &lt;= TODAY() + 90, "Expiring", "Valid")
     )
  )
)</f>
        <v>Valid</v>
      </c>
      <c r="X178" s="4">
        <v>44893</v>
      </c>
      <c r="Y178" s="4" t="str">
        <f ca="1">IF(
  _xlfn.XLOOKUP($D178 &amp; "-" &amp; X$2, TrainingMan!$G:$G, TrainingMan!$F:$F, "2-Year") = "Forever",
  "Valid",
  IF(X178="", "Not Trained",
     IF(X178 &lt; TODAY() - 1, "Expired",
        IF(X178 &lt;= TODAY() + 90, "Expiring", "Valid")
     )
  )
)</f>
        <v>Valid</v>
      </c>
      <c r="Z178" s="4">
        <v>43172</v>
      </c>
      <c r="AA178" s="4" t="str">
        <f ca="1">IF(LEN(TRIM(Z178)) = 0, "Not Trained",
  IF(_xlfn.XLOOKUP($D178 &amp; "-" &amp; Z$2, TrainingMan!$G:$G, TrainingMan!$F:$F, "2-Year") = "Forever", "Valid",
    IF(Z178 &lt; TODAY() - 1, "Expired",
      IF(Z178 &lt;= TODAY() + 90, "Expiring", "Valid")
    )
  )
)</f>
        <v>Valid</v>
      </c>
      <c r="AB178" s="4"/>
      <c r="AC178" s="4"/>
      <c r="AD178" s="4"/>
      <c r="AE178" s="4"/>
      <c r="AF178" s="4"/>
      <c r="AG178" s="4"/>
      <c r="AH178" s="4">
        <v>45454</v>
      </c>
      <c r="AI178" s="4"/>
      <c r="AJ178" s="4">
        <v>45924</v>
      </c>
      <c r="AN178" s="4"/>
      <c r="AQ178" s="4"/>
      <c r="AR178" s="4"/>
      <c r="AS178" s="4"/>
      <c r="AT178" s="4">
        <v>45357</v>
      </c>
      <c r="AU178" s="4"/>
      <c r="BB178" s="4">
        <v>45357</v>
      </c>
      <c r="BC178" s="4"/>
      <c r="BD178" s="4">
        <v>45427</v>
      </c>
      <c r="BE178" s="4"/>
      <c r="BF178" s="4"/>
      <c r="BG178" s="4">
        <v>42944</v>
      </c>
      <c r="BH178" s="4"/>
      <c r="BI178" s="4"/>
      <c r="BJ178" s="4"/>
      <c r="BK178" s="4"/>
      <c r="BL178" s="4"/>
      <c r="BM178" s="4"/>
      <c r="BN178" s="4"/>
      <c r="BO178" s="4"/>
      <c r="BP178" s="4"/>
      <c r="BQ178">
        <f>COUNTIF('TrainingReq (Ach)'!B:B,Table13[[#This Row],[Job Title]])</f>
        <v>14</v>
      </c>
      <c r="BR178" cm="1">
        <f t="array" aca="1" ref="BR17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78" s="5">
        <f t="shared" ca="1" si="6"/>
        <v>1</v>
      </c>
      <c r="BW178" s="4"/>
      <c r="CD178" s="4"/>
      <c r="CE178" s="4" t="str">
        <f ca="1">IF(
  _xlfn.XLOOKUP($D178 &amp; "-" &amp; CD$2, 'TrainingReq (Ach)'!$G:$G, 'TrainingReq (Ach)'!$F:$F, "2-Year") = "Forever",
  "Valid",
  IF(CD178="", "Not Trained",
     IF(CD178 &lt; TODAY() - 1, "Expired",
        IF(CD178 &lt;= TODAY() + 90, "Expiring", "Valid")
     )
  )
)</f>
        <v>Not Trained</v>
      </c>
      <c r="CG178" s="4"/>
      <c r="CH178" s="4" t="e">
        <f ca="1">IF(
  _xlfn.XLOOKUP(#REF! &amp; "-" &amp; CG$2, 'TrainingReq (Ach)'!$G:$G, 'TrainingReq (Ach)'!$F:$F, "2-Year") = "Forever",
  "Valid",
  IF(#REF!="", "Not Trained",
     IF(#REF! &lt; TODAY() - 1, "Expired",
        IF(#REF! &lt;= TODAY() + 90, "Expiring", "Valid")
     )
  )
)</f>
        <v>#REF!</v>
      </c>
      <c r="CI178" t="str">
        <f t="shared" si="7"/>
        <v>Not eligible</v>
      </c>
      <c r="CJ178" t="str">
        <f t="shared" si="8"/>
        <v>Not eligible</v>
      </c>
    </row>
    <row r="179" spans="1:88" x14ac:dyDescent="0.25">
      <c r="A179">
        <v>177</v>
      </c>
      <c r="B179">
        <v>783227</v>
      </c>
      <c r="C179" t="s">
        <v>719</v>
      </c>
      <c r="D179" t="s">
        <v>11</v>
      </c>
      <c r="G179" t="s">
        <v>57</v>
      </c>
      <c r="H179" s="4">
        <v>46943</v>
      </c>
      <c r="I179" s="4" t="str">
        <f ca="1">IF(
  _xlfn.XLOOKUP($D179 &amp; "-" &amp; H$2, 'TrainingReq (Ach)'!G:G, 'TrainingReq (Ach)'!F:F, "2-Year") = "Forever",
  "Valid",
  IF(H179="", "Not Trained",
     IF(H179 &lt; TODAY() - 1, "Expired",
        IF(H179 &lt;= TODAY() + 90, "Expiring", "Valid")
     )
  )
)</f>
        <v>Valid</v>
      </c>
      <c r="J179" s="4">
        <v>46284</v>
      </c>
      <c r="K179" s="4" t="str">
        <f ca="1">IF(
  _xlfn.XLOOKUP($D179 &amp; "-" &amp; J$2, 'TrainingReq (Ach)'!G:G, 'TrainingReq (Ach)'!F:F, "2-Year") = "Forever",
  "Valid",
  IF(J179="", "Not Trained",
     IF(J179 &lt; TODAY() - 1, "Expired",
        IF(J179 &lt;= TODAY() + 90, "Expiring", "Valid")
     )
  )
)</f>
        <v>Expiring</v>
      </c>
      <c r="L179" s="4">
        <v>45554</v>
      </c>
      <c r="M179" s="4" t="str">
        <f ca="1">IF(
  _xlfn.XLOOKUP($D179 &amp; "-" &amp; L$2, TrainingMan!$G:$G, TrainingMan!$F:$F, "2-Year") = "Forever",
  "Valid",
  IF(L179="", "Not Trained",
     IF(L179 &lt; TODAY() - 1, "Expired",
        IF(L179 &lt;= TODAY() + 90, "Expiring", "Valid")
     )
  )
)</f>
        <v>Valid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N179" s="4"/>
      <c r="AQ179" s="4"/>
      <c r="AR179" s="4"/>
      <c r="AS179" s="4"/>
      <c r="AT179" s="4"/>
      <c r="AU179" s="4"/>
      <c r="BB179" s="4"/>
      <c r="BC179" s="4"/>
      <c r="BD179" s="4">
        <v>45510</v>
      </c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>
        <f>COUNTIF('TrainingReq (Ach)'!B:B,Table13[[#This Row],[Job Title]])</f>
        <v>3</v>
      </c>
      <c r="BR179" cm="1">
        <f t="array" aca="1" ref="BR17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79" s="5">
        <f t="shared" ca="1" si="6"/>
        <v>1</v>
      </c>
      <c r="BW179" s="4"/>
      <c r="CD179" s="4"/>
      <c r="CE179" s="4" t="str">
        <f ca="1">IF(
  _xlfn.XLOOKUP($D179 &amp; "-" &amp; CD$2, 'TrainingReq (Ach)'!$G:$G, 'TrainingReq (Ach)'!$F:$F, "2-Year") = "Forever",
  "Valid",
  IF(CD179="", "Not Trained",
     IF(CD179 &lt; TODAY() - 1, "Expired",
        IF(CD179 &lt;= TODAY() + 90, "Expiring", "Valid")
     )
  )
)</f>
        <v>Not Trained</v>
      </c>
      <c r="CG179" s="4"/>
      <c r="CH179" s="4" t="str">
        <f ca="1">IF(
  _xlfn.XLOOKUP($D178 &amp; "-" &amp; CG$2, 'TrainingReq (Ach)'!$G:$G, 'TrainingReq (Ach)'!$F:$F, "2-Year") = "Forever",
  "Valid",
  IF(CG178="", "Not Trained",
     IF(CG178 &lt; TODAY() - 1, "Expired",
        IF(CG178 &lt;= TODAY() + 90, "Expiring", "Valid")
     )
  )
)</f>
        <v>Not Trained</v>
      </c>
      <c r="CI179" t="str">
        <f t="shared" si="7"/>
        <v>Not eligible</v>
      </c>
      <c r="CJ179" t="str">
        <f t="shared" si="8"/>
        <v>Not eligible</v>
      </c>
    </row>
    <row r="180" spans="1:88" ht="15.75" x14ac:dyDescent="0.25">
      <c r="A180">
        <v>178</v>
      </c>
      <c r="B180">
        <v>584434</v>
      </c>
      <c r="C180" t="s">
        <v>720</v>
      </c>
      <c r="D180" t="s">
        <v>9</v>
      </c>
      <c r="G180" t="s">
        <v>57</v>
      </c>
      <c r="H180" s="4">
        <v>46697</v>
      </c>
      <c r="I180" s="4" t="str">
        <f ca="1">IF(
  _xlfn.XLOOKUP($D180 &amp; "-" &amp; H$2, 'TrainingReq (Ach)'!G:G, 'TrainingReq (Ach)'!F:F, "2-Year") = "Forever",
  "Valid",
  IF(H180="", "Not Trained",
     IF(H180 &lt; TODAY() - 1, "Expired",
        IF(H180 &lt;= TODAY() + 90, "Expiring", "Valid")
     )
  )
)</f>
        <v>Valid</v>
      </c>
      <c r="J180" s="4">
        <v>46675</v>
      </c>
      <c r="K180" s="4" t="str">
        <f ca="1">IF(
  _xlfn.XLOOKUP($D180 &amp; "-" &amp; J$2, 'TrainingReq (Ach)'!G:G, 'TrainingReq (Ach)'!F:F, "2-Year") = "Forever",
  "Valid",
  IF(J180="", "Not Trained",
     IF(J180 &lt; TODAY() - 1, "Expired",
        IF(J180 &lt;= TODAY() + 90, "Expiring", "Valid")
     )
  )
)</f>
        <v>Valid</v>
      </c>
      <c r="L180" s="4">
        <v>46725</v>
      </c>
      <c r="M180" s="4" t="str">
        <f ca="1">IF(
  _xlfn.XLOOKUP($D180 &amp; "-" &amp; L$2, 'TrainingReq (Ach)'!I:I, 'TrainingReq (Ach)'!H:H, "2-Year") = "Forever",
  "Valid",
  IF(L180="", "Not Trained",
     IF(L180 &lt; TODAY() - 1, "Expired",
        IF(L180 &lt;= TODAY() + 90, "Expiring", "Valid")
     )
  )
)</f>
        <v>Valid</v>
      </c>
      <c r="N180" s="4">
        <v>46679</v>
      </c>
      <c r="O180" s="4" t="str">
        <f ca="1">IF(
  _xlfn.XLOOKUP($D180 &amp; "-" &amp; N$2, TrainingMan!$G:$G, TrainingMan!$F:$F, "2-Year") = "Forever",
  "Valid",
  IF(N180="", "Not Trained",
     IF(N180 &lt; TODAY() - 1, "Expired",
        IF(N180 &lt;= TODAY() + 90, "Expiring", "Valid")
     )
  )
)</f>
        <v>Valid</v>
      </c>
      <c r="P180" s="4">
        <v>46679</v>
      </c>
      <c r="Q180" s="4" t="str">
        <f ca="1">IF(
  _xlfn.XLOOKUP($D180 &amp; "-" &amp; P$2, TrainingMan!$G:$G, TrainingMan!$F:$F, "2-Year") = "Forever",
  "Valid",
  IF(P180="", "Not Trained",
     IF(P180 &lt; TODAY() - 1, "Expired",
        IF(P180 &lt;= TODAY() + 90, "Expiring", "Valid")
     )
  )
)</f>
        <v>Valid</v>
      </c>
      <c r="R180" s="4">
        <v>46679</v>
      </c>
      <c r="S180" s="4" t="str">
        <f ca="1">IF(
  _xlfn.XLOOKUP($D180 &amp; "-" &amp; R$2, TrainingMan!$G:$G, TrainingMan!$F:$F, "2-Year") = "Forever",
  "Valid",
  IF(R180="", "Not Trained",
     IF(R180 &lt; TODAY() - 1, "Expired",
        IF(R180 &lt;= TODAY() + 90, "Expiring", "Valid")
     )
  )
)</f>
        <v>Valid</v>
      </c>
      <c r="T180" s="4">
        <v>46680</v>
      </c>
      <c r="U180" s="4" t="str">
        <f ca="1">IF(
  _xlfn.XLOOKUP($D180 &amp; "-" &amp; T$2, TrainingMan!$G:$G, TrainingMan!$F:$F, "2-Year") = "Forever",
  "Valid",
  IF(T180="", "Not Trained",
     IF(T180 &lt; TODAY() - 1, "Expired",
        IF(T180 &lt;= TODAY() + 90, "Expiring", "Valid")
     )
  )
)</f>
        <v>Valid</v>
      </c>
      <c r="V180" s="4">
        <v>46676</v>
      </c>
      <c r="W180" s="4" t="str">
        <f ca="1">IF(
  _xlfn.XLOOKUP($D180 &amp; "-" &amp; V$2, TrainingMan!$G:$G, TrainingMan!$F:$F, "2-Year") = "Forever",
  "Valid",
  IF(V180="", "Not Trained",
     IF(V180 &lt; TODAY() - 1, "Expired",
        IF(V180 &lt;= TODAY() + 90, "Expiring", "Valid")
     )
  )
)</f>
        <v>Valid</v>
      </c>
      <c r="X180" s="4">
        <v>46739</v>
      </c>
      <c r="Y180" s="4" t="str">
        <f ca="1">IF(
  _xlfn.XLOOKUP($D180 &amp; "-" &amp; X$2, TrainingMan!$G:$G, TrainingMan!$F:$F, "2-Year") = "Forever",
  "Valid",
  IF(X180="", "Not Trained",
     IF(X180 &lt; TODAY() - 1, "Expired",
        IF(X180 &lt;= TODAY() + 90, "Expiring", "Valid")
     )
  )
)</f>
        <v>Valid</v>
      </c>
      <c r="Z180" s="4">
        <v>46806</v>
      </c>
      <c r="AA180" s="4" t="str">
        <f ca="1">IF(LEN(TRIM(Z180)) = 0, "Not Trained",
  IF(_xlfn.XLOOKUP($D180 &amp; "-" &amp; Z$2, TrainingMan!$G:$G, TrainingMan!$F:$F, "2-Year") = "Forever", "Valid",
    IF(Z180 &lt; TODAY() - 1, "Expired",
      IF(Z180 &lt;= TODAY() + 90, "Expiring", "Valid")
    )
  )
)</f>
        <v>Valid</v>
      </c>
      <c r="AB180" s="4"/>
      <c r="AC180" s="4"/>
      <c r="AD180" s="4"/>
      <c r="AE180" s="4"/>
      <c r="AF180" s="4"/>
      <c r="AG180" s="4"/>
      <c r="AH180" s="4"/>
      <c r="AI180" s="4"/>
      <c r="AJ180" s="4">
        <v>46043</v>
      </c>
      <c r="AN180" s="4"/>
      <c r="AQ180" s="4"/>
      <c r="AR180" s="4"/>
      <c r="AS180" s="4"/>
      <c r="AT180" s="4"/>
      <c r="AU180" s="4"/>
      <c r="BB180" s="4">
        <v>45985</v>
      </c>
      <c r="BC180" s="4"/>
      <c r="BD180" s="4">
        <v>46029</v>
      </c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>
        <f>COUNTIF('TrainingReq (Ach)'!B:B,Table13[[#This Row],[Job Title]])</f>
        <v>14</v>
      </c>
      <c r="BR180" cm="1">
        <f t="array" aca="1" ref="BR18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80" s="16">
        <f t="shared" ca="1" si="6"/>
        <v>0.9285714285714286</v>
      </c>
      <c r="BW180" s="4"/>
      <c r="CD180" s="6"/>
      <c r="CE180" s="4" t="str">
        <f ca="1">IF(
  _xlfn.XLOOKUP($D180 &amp; "-" &amp; CD$2, 'TrainingReq (Ach)'!$G:$G, 'TrainingReq (Ach)'!$F:$F, "2-Year") = "Forever",
  "Valid",
  IF(CD180="", "Not Trained",
     IF(CD180 &lt; TODAY() - 1, "Expired",
        IF(CD180 &lt;= TODAY() + 90, "Expiring", "Valid")
     )
  )
)</f>
        <v>Not Trained</v>
      </c>
      <c r="CG180" s="6"/>
      <c r="CH180" s="4" t="str">
        <f ca="1">IF(
  _xlfn.XLOOKUP($D179 &amp; "-" &amp; CG$2, 'TrainingReq (Ach)'!$G:$G, 'TrainingReq (Ach)'!$F:$F, "2-Year") = "Forever",
  "Valid",
  IF(CG179="", "Not Trained",
     IF(CG179 &lt; TODAY() - 1, "Expired",
        IF(CG179 &lt;= TODAY() + 90, "Expiring", "Valid")
     )
  )
)</f>
        <v>Not Trained</v>
      </c>
      <c r="CI180" t="str">
        <f t="shared" si="7"/>
        <v>Not eligible</v>
      </c>
      <c r="CJ180" t="str">
        <f t="shared" si="8"/>
        <v>Not eligible</v>
      </c>
    </row>
    <row r="181" spans="1:88" ht="15.75" x14ac:dyDescent="0.25">
      <c r="A181">
        <v>179</v>
      </c>
      <c r="B181">
        <v>584373</v>
      </c>
      <c r="C181" t="s">
        <v>721</v>
      </c>
      <c r="D181" t="s">
        <v>26</v>
      </c>
      <c r="G181" t="s">
        <v>57</v>
      </c>
      <c r="H181" s="4">
        <v>46961</v>
      </c>
      <c r="I181" s="4" t="str">
        <f ca="1">IF(
  _xlfn.XLOOKUP($D181 &amp; "-" &amp; H$2, 'TrainingReq (Ach)'!G:G, 'TrainingReq (Ach)'!F:F, "2-Year") = "Forever",
  "Valid",
  IF(H181="", "Not Trained",
     IF(H181 &lt; TODAY() - 1, "Expired",
        IF(H181 &lt;= TODAY() + 90, "Expiring", "Valid")
     )
  )
)</f>
        <v>Valid</v>
      </c>
      <c r="J181" s="4">
        <v>46961</v>
      </c>
      <c r="K181" s="4" t="str">
        <f ca="1">IF(
  _xlfn.XLOOKUP($D181 &amp; "-" &amp; J$2, 'TrainingReq (Ach)'!G:G, 'TrainingReq (Ach)'!F:F, "2-Year") = "Forever",
  "Valid",
  IF(J181="", "Not Trained",
     IF(J181 &lt; TODAY() - 1, "Expired",
        IF(J181 &lt;= TODAY() + 90, "Expiring", "Valid")
     )
  )
)</f>
        <v>Valid</v>
      </c>
      <c r="L181" s="4">
        <v>46309</v>
      </c>
      <c r="M181" s="4" t="str">
        <f ca="1">IF(
  _xlfn.XLOOKUP($D181 &amp; "-" &amp; L$2, TrainingMan!$G:$G, TrainingMan!$F:$F, "2-Year") = "Forever",
  "Valid",
  IF(L181="", "Not Trained",
     IF(L181 &lt; TODAY() - 1, "Expired",
        IF(L181 &lt;= TODAY() + 90, "Expiring", "Valid")
     )
  )
)</f>
        <v>Valid</v>
      </c>
      <c r="N181" s="4">
        <v>46310</v>
      </c>
      <c r="O181" s="4" t="str">
        <f ca="1">IF(
  _xlfn.XLOOKUP($D181 &amp; "-" &amp; N$2, TrainingMan!$G:$G, TrainingMan!$F:$F, "2-Year") = "Forever",
  "Valid",
  IF(N181="", "Not Trained",
     IF(N181 &lt; TODAY() - 1, "Expired",
        IF(N181 &lt;= TODAY() + 90, "Expiring", "Valid")
     )
  )
)</f>
        <v>Expiring</v>
      </c>
      <c r="P181" s="4">
        <v>46310</v>
      </c>
      <c r="Q181" s="4" t="str">
        <f ca="1">IF(
  _xlfn.XLOOKUP($D181 &amp; "-" &amp; P$2, TrainingMan!$G:$G, TrainingMan!$F:$F, "2-Year") = "Forever",
  "Valid",
  IF(P181="", "Not Trained",
     IF(P181 &lt; TODAY() - 1, "Expired",
        IF(P181 &lt;= TODAY() + 90, "Expiring", "Valid")
     )
  )
)</f>
        <v>Expiring</v>
      </c>
      <c r="R181" s="4">
        <v>46310</v>
      </c>
      <c r="S181" s="4" t="str">
        <f ca="1">IF(
  _xlfn.XLOOKUP($D181 &amp; "-" &amp; R$2, TrainingMan!$G:$G, TrainingMan!$F:$F, "2-Year") = "Forever",
  "Valid",
  IF(R181="", "Not Trained",
     IF(R181 &lt; TODAY() - 1, "Expired",
        IF(R181 &lt;= TODAY() + 90, "Expiring", "Valid")
     )
  )
)</f>
        <v>Expiring</v>
      </c>
      <c r="T181" s="4">
        <v>46311</v>
      </c>
      <c r="U181" s="4" t="str">
        <f ca="1">IF(
  _xlfn.XLOOKUP($D181 &amp; "-" &amp; T$2, TrainingMan!$G:$G, TrainingMan!$F:$F, "2-Year") = "Forever",
  "Valid",
  IF(T181="", "Not Trained",
     IF(T181 &lt; TODAY() - 1, "Expired",
        IF(T181 &lt;= TODAY() + 90, "Expiring", "Valid")
     )
  )
)</f>
        <v>Expiring</v>
      </c>
      <c r="V181" s="4">
        <v>46312</v>
      </c>
      <c r="W181" s="4" t="str">
        <f ca="1">IF(
  _xlfn.XLOOKUP($D181 &amp; "-" &amp; V$2, TrainingMan!$G:$G, TrainingMan!$F:$F, "2-Year") = "Forever",
  "Valid",
  IF(V181="", "Not Trained",
     IF(V181 &lt; TODAY() - 1, "Expired",
        IF(V181 &lt;= TODAY() + 90, "Expiring", "Valid")
     )
  )
)</f>
        <v>Valid</v>
      </c>
      <c r="X181" s="4">
        <v>46316</v>
      </c>
      <c r="Y181" s="4" t="str">
        <f ca="1">IF(
  _xlfn.XLOOKUP($D181 &amp; "-" &amp; X$2, TrainingMan!$G:$G, TrainingMan!$F:$F, "2-Year") = "Forever",
  "Valid",
  IF(X181="", "Not Trained",
     IF(X181 &lt; TODAY() - 1, "Expired",
        IF(X181 &lt;= TODAY() + 90, "Expiring", "Valid")
     )
  )
)</f>
        <v>Valid</v>
      </c>
      <c r="Z181" s="4">
        <v>46323</v>
      </c>
      <c r="AA181" s="4" t="str">
        <f ca="1">IF(LEN(TRIM(Z181)) = 0, "Not Trained",
  IF(_xlfn.XLOOKUP($D181 &amp; "-" &amp; Z$2, TrainingMan!$G:$G, TrainingMan!$F:$F, "2-Year") = "Forever", "Valid",
    IF(Z181 &lt; TODAY() - 1, "Expired",
      IF(Z181 &lt;= TODAY() + 90, "Expiring", "Valid")
    )
  )
)</f>
        <v>Valid</v>
      </c>
      <c r="AB181" s="4"/>
      <c r="AC181" s="4"/>
      <c r="AD181" s="4"/>
      <c r="AE181" s="4"/>
      <c r="AF181" s="4"/>
      <c r="AG181" s="4"/>
      <c r="AH181" s="4"/>
      <c r="AI181" s="4">
        <v>46146</v>
      </c>
      <c r="AJ181" s="4">
        <v>46949</v>
      </c>
      <c r="AN181" s="4"/>
      <c r="AQ181" s="4"/>
      <c r="AR181" s="4"/>
      <c r="AS181" s="4"/>
      <c r="AT181" s="4"/>
      <c r="AU181" s="4"/>
      <c r="BB181" s="4"/>
      <c r="BC181" s="4"/>
      <c r="BD181" s="4">
        <v>45180</v>
      </c>
      <c r="BE181" s="4"/>
      <c r="BF181" s="4">
        <v>45201</v>
      </c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>
        <f>COUNTIF('TrainingReq (Ach)'!B:B,Table13[[#This Row],[Job Title]])</f>
        <v>14</v>
      </c>
      <c r="BR181" cm="1">
        <f t="array" aca="1" ref="BR18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13</v>
      </c>
      <c r="BS181" s="16">
        <f t="shared" ca="1" si="6"/>
        <v>0.9285714285714286</v>
      </c>
      <c r="BW181" s="4"/>
      <c r="CD181" s="6"/>
      <c r="CE181" s="4" t="str">
        <f ca="1">IF(
  _xlfn.XLOOKUP($D181 &amp; "-" &amp; CD$2, 'TrainingReq (Ach)'!$G:$G, 'TrainingReq (Ach)'!$F:$F, "2-Year") = "Forever",
  "Valid",
  IF(CD181="", "Not Trained",
     IF(CD181 &lt; TODAY() - 1, "Expired",
        IF(CD181 &lt;= TODAY() + 90, "Expiring", "Valid")
     )
  )
)</f>
        <v>Not Trained</v>
      </c>
      <c r="CG181" s="6"/>
      <c r="CH181" s="4" t="str">
        <f ca="1">IF(
  _xlfn.XLOOKUP($D180 &amp; "-" &amp; CG$2, 'TrainingReq (Ach)'!$G:$G, 'TrainingReq (Ach)'!$F:$F, "2-Year") = "Forever",
  "Valid",
  IF(CG180="", "Not Trained",
     IF(CG180 &lt; TODAY() - 1, "Expired",
        IF(CG180 &lt;= TODAY() + 90, "Expiring", "Valid")
     )
  )
)</f>
        <v>Not Trained</v>
      </c>
      <c r="CI181" t="str">
        <f t="shared" si="7"/>
        <v>Not eligible</v>
      </c>
      <c r="CJ181" t="str">
        <f t="shared" si="8"/>
        <v>Not eligible</v>
      </c>
    </row>
    <row r="182" spans="1:88" x14ac:dyDescent="0.25">
      <c r="A182">
        <v>180</v>
      </c>
      <c r="B182">
        <v>533521</v>
      </c>
      <c r="C182" t="s">
        <v>722</v>
      </c>
      <c r="D182" t="s">
        <v>12</v>
      </c>
      <c r="E182" t="s">
        <v>243</v>
      </c>
      <c r="F182" t="s">
        <v>723</v>
      </c>
      <c r="G182" t="s">
        <v>58</v>
      </c>
      <c r="H182" s="4">
        <v>46549</v>
      </c>
      <c r="I182" s="4" t="str">
        <f ca="1">IF(
  _xlfn.XLOOKUP($D182 &amp; "-" &amp; H$2, 'TrainingReq (Ach)'!G:G, 'TrainingReq (Ach)'!F:F, "2-Year") = "Forever",
  "Valid",
  IF(H182="", "Not Trained",
     IF(H182 &lt; TODAY() - 1, "Expired",
        IF(H182 &lt;= TODAY() + 90, "Expiring", "Valid")
     )
  )
)</f>
        <v>Valid</v>
      </c>
      <c r="J182" s="4">
        <v>46549</v>
      </c>
      <c r="K182" s="4" t="str">
        <f ca="1">IF(
  _xlfn.XLOOKUP($D182 &amp; "-" &amp; J$2, 'TrainingReq (Ach)'!G:G, 'TrainingReq (Ach)'!F:F, "2-Year") = "Forever",
  "Valid",
  IF(J182="", "Not Trained",
     IF(J182 &lt; TODAY() - 1, "Expired",
        IF(J182 &lt;= TODAY() + 90, "Expiring", "Valid")
     )
  )
)</f>
        <v>Valid</v>
      </c>
      <c r="L182" s="4">
        <v>46625</v>
      </c>
      <c r="M182" s="4" t="str">
        <f ca="1">IF(
  _xlfn.XLOOKUP($D182 &amp; "-" &amp; L$2, TrainingMan!$G:$G, TrainingMan!$F:$F, "2-Year") = "Forever",
  "Valid",
  IF(L182="", "Not Trained",
     IF(L182 &lt; TODAY() - 1, "Expired",
        IF(L182 &lt;= TODAY() + 90, "Expiring", "Valid")
     )
  )
)</f>
        <v>Valid</v>
      </c>
      <c r="N182" s="4">
        <v>46816</v>
      </c>
      <c r="O182" s="4" t="str">
        <f ca="1">IF(
  _xlfn.XLOOKUP($D182 &amp; "-" &amp; N$2, TrainingMan!$G:$G, TrainingMan!$F:$F, "2-Year") = "Forever",
  "Valid",
  IF(N182="", "Not Trained",
     IF(N182 &lt; TODAY() - 1, "Expired",
        IF(N182 &lt;= TODAY() + 90, "Expiring", "Valid")
     )
  )
)</f>
        <v>Valid</v>
      </c>
      <c r="P182" s="4">
        <v>46816</v>
      </c>
      <c r="Q182" s="4" t="str">
        <f ca="1">IF(
  _xlfn.XLOOKUP($D182 &amp; "-" &amp; P$2, TrainingMan!$G:$G, TrainingMan!$F:$F, "2-Year") = "Forever",
  "Valid",
  IF(P182="", "Not Trained",
     IF(P182 &lt; TODAY() - 1, "Expired",
        IF(P182 &lt;= TODAY() + 90, "Expiring", "Valid")
     )
  )
)</f>
        <v>Valid</v>
      </c>
      <c r="R182" s="4">
        <v>46816</v>
      </c>
      <c r="S182" s="4" t="str">
        <f ca="1">IF(
  _xlfn.XLOOKUP($D182 &amp; "-" &amp; R$2, TrainingMan!$G:$G, TrainingMan!$F:$F, "2-Year") = "Forever",
  "Valid",
  IF(R182="", "Not Trained",
     IF(R182 &lt; TODAY() - 1, "Expired",
        IF(R182 &lt;= TODAY() + 90, "Expiring", "Valid")
     )
  )
)</f>
        <v>Valid</v>
      </c>
      <c r="T182" s="4">
        <v>46816</v>
      </c>
      <c r="U182" s="4" t="str">
        <f ca="1">IF(
  _xlfn.XLOOKUP($D182 &amp; "-" &amp; T$2, TrainingMan!$G:$G, TrainingMan!$F:$F, "2-Year") = "Forever",
  "Valid",
  IF(T182="", "Not Trained",
     IF(T182 &lt; TODAY() - 1, "Expired",
        IF(T182 &lt;= TODAY() + 90, "Expiring", "Valid")
     )
  )
)</f>
        <v>Valid</v>
      </c>
      <c r="V182" s="4">
        <v>46816</v>
      </c>
      <c r="W182" s="4" t="str">
        <f ca="1">IF(
  _xlfn.XLOOKUP($D182 &amp; "-" &amp; V$2, TrainingMan!$G:$G, TrainingMan!$F:$F, "2-Year") = "Forever",
  "Valid",
  IF(V182="", "Not Trained",
     IF(V182 &lt; TODAY() - 1, "Expired",
        IF(V182 &lt;= TODAY() + 90, "Expiring", "Valid")
     )
  )
)</f>
        <v>Valid</v>
      </c>
      <c r="X182" s="4">
        <v>46625</v>
      </c>
      <c r="Y182" s="4" t="str">
        <f ca="1">IF(
  _xlfn.XLOOKUP($D182 &amp; "-" &amp; X$2, TrainingMan!$G:$G, TrainingMan!$F:$F, "2-Year") = "Forever",
  "Valid",
  IF(X182="", "Not Trained",
     IF(X182 &lt; TODAY() - 1, "Expired",
        IF(X182 &lt;= TODAY() + 90, "Expiring", "Valid")
     )
  )
)</f>
        <v>Valid</v>
      </c>
      <c r="Z182" s="4">
        <v>45175</v>
      </c>
      <c r="AA182" s="4" t="str">
        <f ca="1">IF(LEN(TRIM(Z182)) = 0, "Not Trained",
  IF(_xlfn.XLOOKUP($D182 &amp; "-" &amp; Z$2, TrainingMan!$G:$G, TrainingMan!$F:$F, "2-Year") = "Forever", "Valid",
    IF(Z182 &lt; TODAY() - 1, "Expired",
      IF(Z182 &lt;= TODAY() + 90, "Expiring", "Valid")
    )
  )
)</f>
        <v>Valid</v>
      </c>
      <c r="AB182" s="4">
        <v>40843</v>
      </c>
      <c r="AC182" s="4">
        <v>42975</v>
      </c>
      <c r="AD182" s="4">
        <v>42749</v>
      </c>
      <c r="AE182" s="4">
        <v>45558</v>
      </c>
      <c r="AF182" s="4">
        <v>44735</v>
      </c>
      <c r="AG182" s="4">
        <v>43333</v>
      </c>
      <c r="AH182" s="4"/>
      <c r="AI182" s="4"/>
      <c r="AJ182" s="4"/>
      <c r="AN182" s="4"/>
      <c r="AQ182" s="4"/>
      <c r="AR182" s="4"/>
      <c r="AS182" s="4"/>
      <c r="AT182" s="4">
        <v>45359</v>
      </c>
      <c r="AU182" s="4"/>
      <c r="BB182" s="4">
        <v>45892</v>
      </c>
      <c r="BC182" s="4" t="s">
        <v>293</v>
      </c>
      <c r="BD182" s="4"/>
      <c r="BE182" s="4"/>
      <c r="BF182" s="4"/>
      <c r="BG182" s="4"/>
      <c r="BH182" s="4"/>
      <c r="BI182" s="4">
        <v>42387</v>
      </c>
      <c r="BJ182" s="4" t="s">
        <v>144</v>
      </c>
      <c r="BK182" t="s">
        <v>145</v>
      </c>
      <c r="BL182" s="4"/>
      <c r="BM182" s="4"/>
      <c r="BN182" s="4"/>
      <c r="BO182" s="4"/>
      <c r="BP182" s="4"/>
      <c r="BQ182">
        <f>COUNTIF('TrainingReq (Ach)'!B:B,Table13[[#This Row],[Job Title]])</f>
        <v>15</v>
      </c>
      <c r="BR182" cm="1">
        <f t="array" aca="1" ref="BR18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82" s="5">
        <f t="shared" ca="1" si="6"/>
        <v>0.93333333333333335</v>
      </c>
      <c r="BT182" t="s">
        <v>246</v>
      </c>
      <c r="BU182" t="s">
        <v>247</v>
      </c>
      <c r="BV182" t="s">
        <v>270</v>
      </c>
      <c r="BW182" s="4" t="s">
        <v>144</v>
      </c>
      <c r="BX182" t="s">
        <v>145</v>
      </c>
      <c r="BZ182" t="s">
        <v>724</v>
      </c>
      <c r="CC182" t="s">
        <v>725</v>
      </c>
      <c r="CD182" s="4">
        <v>46938</v>
      </c>
      <c r="CE182" s="4" t="str">
        <f ca="1">IF(
  _xlfn.XLOOKUP($D182 &amp; "-" &amp; CD$2, 'TrainingReq (Ach)'!$G:$G, 'TrainingReq (Ach)'!$F:$F, "2-Year") = "Forever",
  "Valid",
  IF(CD182="", "Not Trained",
     IF(CD182 &lt; TODAY() - 1, "Expired",
        IF(CD182 &lt;= TODAY() + 90, "Expiring", "Valid")
     )
  )
)</f>
        <v>Valid</v>
      </c>
      <c r="CF182" t="s">
        <v>250</v>
      </c>
      <c r="CG182" s="4">
        <v>54168</v>
      </c>
      <c r="CH182" s="4" t="str">
        <f ca="1">IF(
  _xlfn.XLOOKUP($D181 &amp; "-" &amp; CG$2, 'TrainingReq (Ach)'!$G:$G, 'TrainingReq (Ach)'!$F:$F, "2-Year") = "Forever",
  "Valid",
  IF(CG181="", "Not Trained",
     IF(CG181 &lt; TODAY() - 1, "Expired",
        IF(CG181 &lt;= TODAY() + 90, "Expiring", "Valid")
     )
  )
)</f>
        <v>Not Trained</v>
      </c>
      <c r="CI182" t="str">
        <f t="shared" si="7"/>
        <v>Eligible</v>
      </c>
      <c r="CJ182" t="str">
        <f t="shared" si="8"/>
        <v>Eligible</v>
      </c>
    </row>
    <row r="183" spans="1:88" x14ac:dyDescent="0.25">
      <c r="A183">
        <v>181</v>
      </c>
      <c r="B183">
        <v>533501</v>
      </c>
      <c r="C183" t="s">
        <v>726</v>
      </c>
      <c r="D183" t="s">
        <v>14</v>
      </c>
      <c r="E183" t="s">
        <v>243</v>
      </c>
      <c r="F183" t="s">
        <v>723</v>
      </c>
      <c r="G183" t="s">
        <v>58</v>
      </c>
      <c r="H183" s="4">
        <v>46623</v>
      </c>
      <c r="I183" s="4" t="str">
        <f ca="1">IF(
  _xlfn.XLOOKUP($D183 &amp; "-" &amp; H$2, 'TrainingReq (Ach)'!G:G, 'TrainingReq (Ach)'!F:F, "2-Year") = "Forever",
  "Valid",
  IF(H183="", "Not Trained",
     IF(H183 &lt; TODAY() - 1, "Expired",
        IF(H183 &lt;= TODAY() + 90, "Expiring", "Valid")
     )
  )
)</f>
        <v>Valid</v>
      </c>
      <c r="J183" s="4">
        <v>46623</v>
      </c>
      <c r="K183" s="4" t="str">
        <f ca="1">IF(
  _xlfn.XLOOKUP($D183 &amp; "-" &amp; J$2, 'TrainingReq (Ach)'!G:G, 'TrainingReq (Ach)'!F:F, "2-Year") = "Forever",
  "Valid",
  IF(J183="", "Not Trained",
     IF(J183 &lt; TODAY() - 1, "Expired",
        IF(J183 &lt;= TODAY() + 90, "Expiring", "Valid")
     )
  )
)</f>
        <v>Valid</v>
      </c>
      <c r="L183" s="4">
        <v>46598</v>
      </c>
      <c r="M183" s="4" t="str">
        <f ca="1">IF(
  _xlfn.XLOOKUP($D183 &amp; "-" &amp; L$2, TrainingMan!$G:$G, TrainingMan!$F:$F, "2-Year") = "Forever",
  "Valid",
  IF(L183="", "Not Trained",
     IF(L183 &lt; TODAY() - 1, "Expired",
        IF(L183 &lt;= TODAY() + 90, "Expiring", "Valid")
     )
  )
)</f>
        <v>Valid</v>
      </c>
      <c r="N183" s="4">
        <v>46598</v>
      </c>
      <c r="O183" s="4" t="str">
        <f ca="1">IF(
  _xlfn.XLOOKUP($D183 &amp; "-" &amp; N$2, TrainingMan!$G:$G, TrainingMan!$F:$F, "2-Year") = "Forever",
  "Valid",
  IF(N183="", "Not Trained",
     IF(N183 &lt; TODAY() - 1, "Expired",
        IF(N183 &lt;= TODAY() + 90, "Expiring", "Valid")
     )
  )
)</f>
        <v>Valid</v>
      </c>
      <c r="P183" s="4">
        <v>46598</v>
      </c>
      <c r="Q183" s="4" t="str">
        <f ca="1">IF(
  _xlfn.XLOOKUP($D183 &amp; "-" &amp; P$2, TrainingMan!$G:$G, TrainingMan!$F:$F, "2-Year") = "Forever",
  "Valid",
  IF(P183="", "Not Trained",
     IF(P183 &lt; TODAY() - 1, "Expired",
        IF(P183 &lt;= TODAY() + 90, "Expiring", "Valid")
     )
  )
)</f>
        <v>Valid</v>
      </c>
      <c r="R183" s="4">
        <v>46598</v>
      </c>
      <c r="S183" s="4" t="str">
        <f ca="1">IF(
  _xlfn.XLOOKUP($D183 &amp; "-" &amp; R$2, TrainingMan!$G:$G, TrainingMan!$F:$F, "2-Year") = "Forever",
  "Valid",
  IF(R183="", "Not Trained",
     IF(R183 &lt; TODAY() - 1, "Expired",
        IF(R183 &lt;= TODAY() + 90, "Expiring", "Valid")
     )
  )
)</f>
        <v>Valid</v>
      </c>
      <c r="T183" s="4">
        <v>46598</v>
      </c>
      <c r="U183" s="4" t="str">
        <f ca="1">IF(
  _xlfn.XLOOKUP($D183 &amp; "-" &amp; T$2, TrainingMan!$G:$G, TrainingMan!$F:$F, "2-Year") = "Forever",
  "Valid",
  IF(T183="", "Not Trained",
     IF(T183 &lt; TODAY() - 1, "Expired",
        IF(T183 &lt;= TODAY() + 90, "Expiring", "Valid")
     )
  )
)</f>
        <v>Valid</v>
      </c>
      <c r="V183" s="4">
        <v>46598</v>
      </c>
      <c r="W183" s="4" t="str">
        <f ca="1">IF(
  _xlfn.XLOOKUP($D183 &amp; "-" &amp; V$2, TrainingMan!$G:$G, TrainingMan!$F:$F, "2-Year") = "Forever",
  "Valid",
  IF(V183="", "Not Trained",
     IF(V183 &lt; TODAY() - 1, "Expired",
        IF(V183 &lt;= TODAY() + 90, "Expiring", "Valid")
     )
  )
)</f>
        <v>Valid</v>
      </c>
      <c r="X183" s="4">
        <v>46598</v>
      </c>
      <c r="Y183" s="4" t="str">
        <f ca="1">IF(
  _xlfn.XLOOKUP($D183 &amp; "-" &amp; X$2, TrainingMan!$G:$G, TrainingMan!$F:$F, "2-Year") = "Forever",
  "Valid",
  IF(X183="", "Not Trained",
     IF(X183 &lt; TODAY() - 1, "Expired",
        IF(X183 &lt;= TODAY() + 90, "Expiring", "Valid")
     )
  )
)</f>
        <v>Valid</v>
      </c>
      <c r="Z183" s="4">
        <v>45175</v>
      </c>
      <c r="AA183" s="4" t="str">
        <f ca="1">IF(LEN(TRIM(Z183)) = 0, "Not Trained",
  IF(_xlfn.XLOOKUP($D183 &amp; "-" &amp; Z$2, TrainingMan!$G:$G, TrainingMan!$F:$F, "2-Year") = "Forever", "Valid",
    IF(Z183 &lt; TODAY() - 1, "Expired",
      IF(Z183 &lt;= TODAY() + 90, "Expiring", "Valid")
    )
  )
)</f>
        <v>Valid</v>
      </c>
      <c r="AB183" s="4">
        <v>40851</v>
      </c>
      <c r="AC183" s="4">
        <v>43038</v>
      </c>
      <c r="AD183" s="4">
        <v>43504</v>
      </c>
      <c r="AE183" s="4">
        <v>45620</v>
      </c>
      <c r="AF183" s="4">
        <v>45331</v>
      </c>
      <c r="AG183" s="4">
        <v>44460</v>
      </c>
      <c r="AH183" s="4"/>
      <c r="AI183" s="4"/>
      <c r="AJ183" s="4"/>
      <c r="AN183" s="4"/>
      <c r="AQ183" s="4"/>
      <c r="AR183" s="4"/>
      <c r="AS183" s="4"/>
      <c r="AT183" s="4" t="s">
        <v>727</v>
      </c>
      <c r="AU183" s="4"/>
      <c r="BB183" s="4">
        <v>46096</v>
      </c>
      <c r="BC183" s="4" t="s">
        <v>358</v>
      </c>
      <c r="BD183" s="4" t="s">
        <v>236</v>
      </c>
      <c r="BE183" s="4"/>
      <c r="BF183" s="4"/>
      <c r="BG183" s="4"/>
      <c r="BH183" s="4"/>
      <c r="BI183" s="4">
        <v>43019</v>
      </c>
      <c r="BJ183" s="4" t="s">
        <v>151</v>
      </c>
      <c r="BK183" t="s">
        <v>145</v>
      </c>
      <c r="BL183" s="4" t="s">
        <v>728</v>
      </c>
      <c r="BM183" s="4"/>
      <c r="BN183" s="4"/>
      <c r="BO183" s="4"/>
      <c r="BP183" s="4"/>
      <c r="BQ183">
        <f>COUNTIF('TrainingReq (Ach)'!B:B,Table13[[#This Row],[Job Title]])</f>
        <v>15</v>
      </c>
      <c r="BR183" cm="1">
        <f t="array" aca="1" ref="BR18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83" s="5">
        <f t="shared" ca="1" si="6"/>
        <v>1</v>
      </c>
      <c r="BT183" t="s">
        <v>246</v>
      </c>
      <c r="BU183" t="s">
        <v>247</v>
      </c>
      <c r="BV183" t="s">
        <v>256</v>
      </c>
      <c r="BW183" s="4" t="s">
        <v>151</v>
      </c>
      <c r="BX183" t="s">
        <v>145</v>
      </c>
      <c r="BZ183" t="s">
        <v>729</v>
      </c>
      <c r="CC183" t="s">
        <v>730</v>
      </c>
      <c r="CD183" s="4">
        <v>47097</v>
      </c>
      <c r="CE183" s="4" t="str">
        <f ca="1">IF(
  _xlfn.XLOOKUP($D183 &amp; "-" &amp; CD$2, 'TrainingReq (Ach)'!$G:$G, 'TrainingReq (Ach)'!$F:$F, "2-Year") = "Forever",
  "Valid",
  IF(CD183="", "Not Trained",
     IF(CD183 &lt; TODAY() - 1, "Expired",
        IF(CD183 &lt;= TODAY() + 90, "Expiring", "Valid")
     )
  )
)</f>
        <v>Valid</v>
      </c>
      <c r="CF183" t="s">
        <v>250</v>
      </c>
      <c r="CG183" s="4">
        <v>53232</v>
      </c>
      <c r="CH183" s="4" t="str">
        <f ca="1">IF(
  _xlfn.XLOOKUP($D182 &amp; "-" &amp; CG$2, 'TrainingReq (Ach)'!$G:$G, 'TrainingReq (Ach)'!$F:$F, "2-Year") = "Forever",
  "Valid",
  IF(CG182="", "Not Trained",
     IF(CG182 &lt; TODAY() - 1, "Expired",
        IF(CG182 &lt;= TODAY() + 90, "Expiring", "Valid")
     )
  )
)</f>
        <v>Valid</v>
      </c>
      <c r="CI183" t="str">
        <f t="shared" si="7"/>
        <v>Eligible</v>
      </c>
      <c r="CJ183" t="str">
        <f t="shared" si="8"/>
        <v>Eligible</v>
      </c>
    </row>
    <row r="184" spans="1:88" x14ac:dyDescent="0.25">
      <c r="A184">
        <v>182</v>
      </c>
      <c r="B184">
        <v>582712</v>
      </c>
      <c r="C184" t="s">
        <v>731</v>
      </c>
      <c r="D184" t="s">
        <v>6</v>
      </c>
      <c r="E184" t="s">
        <v>243</v>
      </c>
      <c r="F184" t="s">
        <v>723</v>
      </c>
      <c r="G184" t="s">
        <v>58</v>
      </c>
      <c r="H184" s="4">
        <v>46724</v>
      </c>
      <c r="I184" s="4" t="str">
        <f ca="1">IF(
  _xlfn.XLOOKUP($D184 &amp; "-" &amp; H$2, 'TrainingReq (Ach)'!G:G, 'TrainingReq (Ach)'!F:F, "2-Year") = "Forever",
  "Valid",
  IF(H184="", "Not Trained",
     IF(H184 &lt; TODAY() - 1, "Expired",
        IF(H184 &lt;= TODAY() + 90, "Expiring", "Valid")
     )
  )
)</f>
        <v>Valid</v>
      </c>
      <c r="J184" s="4">
        <v>46724</v>
      </c>
      <c r="K184" s="4" t="str">
        <f ca="1">IF(
  _xlfn.XLOOKUP($D184 &amp; "-" &amp; J$2, 'TrainingReq (Ach)'!G:G, 'TrainingReq (Ach)'!F:F, "2-Year") = "Forever",
  "Valid",
  IF(J184="", "Not Trained",
     IF(J184 &lt; TODAY() - 1, "Expired",
        IF(J184 &lt;= TODAY() + 90, "Expiring", "Valid")
     )
  )
)</f>
        <v>Valid</v>
      </c>
      <c r="L184" s="4">
        <v>46328</v>
      </c>
      <c r="M184" s="4" t="str">
        <f ca="1">IF(
  _xlfn.XLOOKUP($D184 &amp; "-" &amp; L$2, TrainingMan!$G:$G, TrainingMan!$F:$F, "2-Year") = "Forever",
  "Valid",
  IF(L184="", "Not Trained",
     IF(L184 &lt; TODAY() - 1, "Expired",
        IF(L184 &lt;= TODAY() + 90, "Expiring", "Valid")
     )
  )
)</f>
        <v>Expiring</v>
      </c>
      <c r="N184" s="4">
        <v>46765</v>
      </c>
      <c r="O184" s="4" t="str">
        <f ca="1">IF(
  _xlfn.XLOOKUP($D184 &amp; "-" &amp; N$2, TrainingMan!$G:$G, TrainingMan!$F:$F, "2-Year") = "Forever",
  "Valid",
  IF(N184="", "Not Trained",
     IF(N184 &lt; TODAY() - 1, "Expired",
        IF(N184 &lt;= TODAY() + 90, "Expiring", "Valid")
     )
  )
)</f>
        <v>Valid</v>
      </c>
      <c r="P184" s="4">
        <v>46765</v>
      </c>
      <c r="Q184" s="4" t="str">
        <f ca="1">IF(
  _xlfn.XLOOKUP($D184 &amp; "-" &amp; P$2, TrainingMan!$G:$G, TrainingMan!$F:$F, "2-Year") = "Forever",
  "Valid",
  IF(P184="", "Not Trained",
     IF(P184 &lt; TODAY() - 1, "Expired",
        IF(P184 &lt;= TODAY() + 90, "Expiring", "Valid")
     )
  )
)</f>
        <v>Valid</v>
      </c>
      <c r="R184" s="4">
        <v>46765</v>
      </c>
      <c r="S184" s="4" t="str">
        <f ca="1">IF(
  _xlfn.XLOOKUP($D184 &amp; "-" &amp; R$2, TrainingMan!$G:$G, TrainingMan!$F:$F, "2-Year") = "Forever",
  "Valid",
  IF(R184="", "Not Trained",
     IF(R184 &lt; TODAY() - 1, "Expired",
        IF(R184 &lt;= TODAY() + 90, "Expiring", "Valid")
     )
  )
)</f>
        <v>Valid</v>
      </c>
      <c r="T184" s="4">
        <v>46765</v>
      </c>
      <c r="U184" s="4" t="str">
        <f ca="1">IF(
  _xlfn.XLOOKUP($D184 &amp; "-" &amp; T$2, TrainingMan!$G:$G, TrainingMan!$F:$F, "2-Year") = "Forever",
  "Valid",
  IF(T184="", "Not Trained",
     IF(T184 &lt; TODAY() - 1, "Expired",
        IF(T184 &lt;= TODAY() + 90, "Expiring", "Valid")
     )
  )
)</f>
        <v>Valid</v>
      </c>
      <c r="V184" s="4">
        <v>46794</v>
      </c>
      <c r="W184" s="4" t="str">
        <f ca="1">IF(
  _xlfn.XLOOKUP($D184 &amp; "-" &amp; V$2, TrainingMan!$G:$G, TrainingMan!$F:$F, "2-Year") = "Forever",
  "Valid",
  IF(V184="", "Not Trained",
     IF(V184 &lt; TODAY() - 1, "Expired",
        IF(V184 &lt;= TODAY() + 90, "Expiring", "Valid")
     )
  )
)</f>
        <v>Valid</v>
      </c>
      <c r="X184" s="4">
        <v>46325</v>
      </c>
      <c r="Y184" s="4" t="str">
        <f ca="1">IF(
  _xlfn.XLOOKUP($D184 &amp; "-" &amp; X$2, TrainingMan!$G:$G, TrainingMan!$F:$F, "2-Year") = "Forever",
  "Valid",
  IF(X184="", "Not Trained",
     IF(X184 &lt; TODAY() - 1, "Expired",
        IF(X184 &lt;= TODAY() + 90, "Expiring", "Valid")
     )
  )
)</f>
        <v>Expiring</v>
      </c>
      <c r="Z184" s="4">
        <v>45601</v>
      </c>
      <c r="AA184" s="4" t="str">
        <f ca="1">IF(LEN(TRIM(Z184)) = 0, "Not Trained",
  IF(_xlfn.XLOOKUP($D184 &amp; "-" &amp; Z$2, TrainingMan!$G:$G, TrainingMan!$F:$F, "2-Year") = "Forever", "Valid",
    IF(Z184 &lt; TODAY() - 1, "Expired",
      IF(Z184 &lt;= TODAY() + 90, "Expiring", "Valid")
    )
  )
)</f>
        <v>Valid</v>
      </c>
      <c r="AB184" s="4">
        <v>43504</v>
      </c>
      <c r="AC184" s="4">
        <v>45506</v>
      </c>
      <c r="AD184" s="4">
        <v>45277</v>
      </c>
      <c r="AE184" s="4">
        <v>45676</v>
      </c>
      <c r="AF184" s="4">
        <v>45178</v>
      </c>
      <c r="AG184" s="4">
        <v>45938</v>
      </c>
      <c r="AH184" s="4"/>
      <c r="AI184" s="4"/>
      <c r="AJ184" s="4"/>
      <c r="AN184" s="4" t="s">
        <v>483</v>
      </c>
      <c r="AQ184" s="4"/>
      <c r="AR184" s="4"/>
      <c r="AS184" s="4"/>
      <c r="AT184" s="4"/>
      <c r="AU184" s="4"/>
      <c r="BB184" s="4">
        <v>46046</v>
      </c>
      <c r="BC184" s="4" t="s">
        <v>264</v>
      </c>
      <c r="BD184" s="4" t="s">
        <v>236</v>
      </c>
      <c r="BE184" s="4"/>
      <c r="BF184" s="4">
        <v>41890</v>
      </c>
      <c r="BG184" s="4"/>
      <c r="BH184" s="4"/>
      <c r="BI184" s="4">
        <v>44125</v>
      </c>
      <c r="BJ184" s="4" t="s">
        <v>144</v>
      </c>
      <c r="BK184" s="4" t="s">
        <v>145</v>
      </c>
      <c r="BL184" s="4"/>
      <c r="BM184" s="4"/>
      <c r="BN184" s="4" t="s">
        <v>281</v>
      </c>
      <c r="BO184" s="4"/>
      <c r="BP184" s="4"/>
      <c r="BQ184">
        <f>COUNTIF('TrainingReq (Ach)'!B:B,Table13[[#This Row],[Job Title]])</f>
        <v>15</v>
      </c>
      <c r="BR184" cm="1">
        <f t="array" aca="1" ref="BR18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15</v>
      </c>
      <c r="BS184" s="5">
        <f t="shared" ca="1" si="6"/>
        <v>1</v>
      </c>
      <c r="BT184" t="s">
        <v>246</v>
      </c>
      <c r="BU184" t="s">
        <v>247</v>
      </c>
      <c r="BV184" t="s">
        <v>256</v>
      </c>
      <c r="BW184" s="4" t="s">
        <v>144</v>
      </c>
      <c r="BZ184" t="s">
        <v>732</v>
      </c>
      <c r="CA184">
        <v>1</v>
      </c>
      <c r="CC184" t="s">
        <v>733</v>
      </c>
      <c r="CD184" s="4">
        <v>47025</v>
      </c>
      <c r="CE184" s="4" t="str">
        <f ca="1">IF(
  _xlfn.XLOOKUP($D184 &amp; "-" &amp; CD$2, 'TrainingReq (Ach)'!$G:$G, 'TrainingReq (Ach)'!$F:$F, "2-Year") = "Forever",
  "Valid",
  IF(CD184="", "Not Trained",
     IF(CD184 &lt; TODAY() - 1, "Expired",
        IF(CD184 &lt;= TODAY() + 90, "Expiring", "Valid")
     )
  )
)</f>
        <v>Valid</v>
      </c>
      <c r="CF184" t="s">
        <v>250</v>
      </c>
      <c r="CG184" s="4">
        <v>55441</v>
      </c>
      <c r="CH184" s="4" t="str">
        <f ca="1">IF(
  _xlfn.XLOOKUP($D183 &amp; "-" &amp; CG$2, 'TrainingReq (Ach)'!$G:$G, 'TrainingReq (Ach)'!$F:$F, "2-Year") = "Forever",
  "Valid",
  IF(CG183="", "Not Trained",
     IF(CG183 &lt; TODAY() - 1, "Expired",
        IF(CG183 &lt;= TODAY() + 90, "Expiring", "Valid")
     )
  )
)</f>
        <v>Valid</v>
      </c>
      <c r="CI184" t="str">
        <f t="shared" si="7"/>
        <v>Eligible</v>
      </c>
      <c r="CJ184" t="str">
        <f t="shared" si="8"/>
        <v>Not eligible</v>
      </c>
    </row>
    <row r="185" spans="1:88" x14ac:dyDescent="0.25">
      <c r="A185">
        <v>183</v>
      </c>
      <c r="B185">
        <v>783124</v>
      </c>
      <c r="C185" t="s">
        <v>734</v>
      </c>
      <c r="D185" t="s">
        <v>24</v>
      </c>
      <c r="E185" t="s">
        <v>327</v>
      </c>
      <c r="F185" t="s">
        <v>723</v>
      </c>
      <c r="G185" t="s">
        <v>58</v>
      </c>
      <c r="H185" s="4">
        <v>46697</v>
      </c>
      <c r="I185" s="4" t="str">
        <f ca="1">IF(
  _xlfn.XLOOKUP($D185 &amp; "-" &amp; H$2, 'TrainingReq (Ach)'!G:G, 'TrainingReq (Ach)'!F:F, "2-Year") = "Forever",
  "Valid",
  IF(H185="", "Not Trained",
     IF(H185 &lt; TODAY() - 1, "Expired",
        IF(H185 &lt;= TODAY() + 90, "Expiring", "Valid")
     )
  )
)</f>
        <v>Valid</v>
      </c>
      <c r="J185" s="4">
        <v>46739</v>
      </c>
      <c r="K185" s="4" t="str">
        <f ca="1">IF(
  _xlfn.XLOOKUP($D185 &amp; "-" &amp; J$2, 'TrainingReq (Ach)'!G:G, 'TrainingReq (Ach)'!F:F, "2-Year") = "Forever",
  "Valid",
  IF(J185="", "Not Trained",
     IF(J185 &lt; TODAY() - 1, "Expired",
        IF(J185 &lt;= TODAY() + 90, "Expiring", "Valid")
     )
  )
)</f>
        <v>Valid</v>
      </c>
      <c r="L185" s="4">
        <f>Table13[[#This Row],[Mandatory for Supporting]]</f>
        <v>45334</v>
      </c>
      <c r="M185" s="4" t="str">
        <f ca="1">IF(
  _xlfn.XLOOKUP($D185 &amp; "-" &amp; L$2, TrainingMan!$G:$G, TrainingMan!$F:$F, "2-Year") = "Forever",
  "Valid",
  IF(L185="", "Not Trained",
     IF(L185 &lt; TODAY() - 1, "Expired",
        IF(L185 &lt;= TODAY() + 90, "Expiring", "Valid")
     )
  )
)</f>
        <v>Valid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>
        <v>46060</v>
      </c>
      <c r="AC185" s="4"/>
      <c r="AD185" s="4"/>
      <c r="AE185" s="4"/>
      <c r="AF185" s="4"/>
      <c r="AG185" s="4"/>
      <c r="AH185" s="4"/>
      <c r="AI185" s="4"/>
      <c r="AJ185" s="4"/>
      <c r="AN185" s="4"/>
      <c r="AQ185" s="4"/>
      <c r="AR185" s="4"/>
      <c r="AS185" s="4"/>
      <c r="AT185" s="4"/>
      <c r="AU185" s="4"/>
      <c r="BB185" s="4">
        <v>45866</v>
      </c>
      <c r="BC185" s="4"/>
      <c r="BD185" s="4" t="s">
        <v>456</v>
      </c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>
        <v>45334</v>
      </c>
      <c r="BQ185">
        <f>COUNTIF('TrainingReq (Ach)'!B:B,Table13[[#This Row],[Job Title]])</f>
        <v>3</v>
      </c>
      <c r="BR185" cm="1">
        <f t="array" aca="1" ref="BR18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85" s="5">
        <f t="shared" ca="1" si="6"/>
        <v>1</v>
      </c>
      <c r="BT185" t="s">
        <v>314</v>
      </c>
      <c r="BU185" t="s">
        <v>247</v>
      </c>
      <c r="BV185" t="s">
        <v>276</v>
      </c>
      <c r="BW185" s="4"/>
      <c r="CD185" s="4"/>
      <c r="CE185" s="4" t="str">
        <f ca="1">IF(
  _xlfn.XLOOKUP($D185 &amp; "-" &amp; CD$2, 'TrainingReq (Ach)'!$G:$G, 'TrainingReq (Ach)'!$F:$F, "2-Year") = "Forever",
  "Valid",
  IF(CD185="", "Not Trained",
     IF(CD185 &lt; TODAY() - 1, "Expired",
        IF(CD185 &lt;= TODAY() + 90, "Expiring", "Valid")
     )
  )
)</f>
        <v>Not Trained</v>
      </c>
      <c r="CF185" t="s">
        <v>250</v>
      </c>
      <c r="CG185" s="4"/>
      <c r="CH185" s="4" t="str">
        <f ca="1">IF(
  _xlfn.XLOOKUP($D184 &amp; "-" &amp; CG$2, 'TrainingReq (Ach)'!$G:$G, 'TrainingReq (Ach)'!$F:$F, "2-Year") = "Forever",
  "Valid",
  IF(CG184="", "Not Trained",
     IF(CG184 &lt; TODAY() - 1, "Expired",
        IF(CG184 &lt;= TODAY() + 90, "Expiring", "Valid")
     )
  )
)</f>
        <v>Valid</v>
      </c>
      <c r="CI185" t="str">
        <f t="shared" si="7"/>
        <v>Not eligible</v>
      </c>
      <c r="CJ185" t="str">
        <f t="shared" si="8"/>
        <v>Not eligible</v>
      </c>
    </row>
    <row r="186" spans="1:88" x14ac:dyDescent="0.25">
      <c r="A186">
        <v>184</v>
      </c>
      <c r="B186">
        <v>533597</v>
      </c>
      <c r="C186" t="s">
        <v>735</v>
      </c>
      <c r="D186" t="s">
        <v>22</v>
      </c>
      <c r="E186" t="s">
        <v>285</v>
      </c>
      <c r="F186" t="s">
        <v>723</v>
      </c>
      <c r="G186" t="s">
        <v>58</v>
      </c>
      <c r="H186" s="4">
        <v>46770</v>
      </c>
      <c r="I186" s="4" t="str">
        <f ca="1">IF(
  _xlfn.XLOOKUP($D186 &amp; "-" &amp; H$2, 'TrainingReq (Ach)'!G:G, 'TrainingReq (Ach)'!F:F, "2-Year") = "Forever",
  "Valid",
  IF(H186="", "Not Trained",
     IF(H186 &lt; TODAY() - 1, "Expired",
        IF(H186 &lt;= TODAY() + 90, "Expiring", "Valid")
     )
  )
)</f>
        <v>Valid</v>
      </c>
      <c r="J186" s="4">
        <v>46770</v>
      </c>
      <c r="K186" s="4" t="str">
        <f ca="1">IF(
  _xlfn.XLOOKUP($D186 &amp; "-" &amp; J$2, 'TrainingReq (Ach)'!G:G, 'TrainingReq (Ach)'!F:F, "2-Year") = "Forever",
  "Valid",
  IF(J186="", "Not Trained",
     IF(J186 &lt; TODAY() - 1, "Expired",
        IF(J186 &lt;= TODAY() + 90, "Expiring", "Valid")
     )
  )
)</f>
        <v>Valid</v>
      </c>
      <c r="L186" s="4">
        <v>46329</v>
      </c>
      <c r="M186" s="4" t="str">
        <f ca="1">IF(
  _xlfn.XLOOKUP($D186 &amp; "-" &amp; L$2, TrainingMan!$G:$G, TrainingMan!$F:$F, "2-Year") = "Forever",
  "Valid",
  IF(L186="", "Not Trained",
     IF(L186 &lt; TODAY() - 1, "Expired",
        IF(L186 &lt;= TODAY() + 90, "Expiring", "Valid")
     )
  )
)</f>
        <v>Valid</v>
      </c>
      <c r="N186" s="4">
        <v>46424</v>
      </c>
      <c r="O186" s="4" t="str">
        <f ca="1">IF(
  _xlfn.XLOOKUP($D186 &amp; "-" &amp; N$2, TrainingMan!$G:$G, TrainingMan!$F:$F, "2-Year") = "Forever",
  "Valid",
  IF(N186="", "Not Trained",
     IF(N186 &lt; TODAY() - 1, "Expired",
        IF(N186 &lt;= TODAY() + 90, "Expiring", "Valid")
     )
  )
)</f>
        <v>Valid</v>
      </c>
      <c r="P186" s="4">
        <v>46324</v>
      </c>
      <c r="Q186" s="4" t="str">
        <f ca="1">IF(
  _xlfn.XLOOKUP($D186 &amp; "-" &amp; P$2, TrainingMan!$G:$G, TrainingMan!$F:$F, "2-Year") = "Forever",
  "Valid",
  IF(P186="", "Not Trained",
     IF(P186 &lt; TODAY() - 1, "Expired",
        IF(P186 &lt;= TODAY() + 90, "Expiring", "Valid")
     )
  )
)</f>
        <v>Expiring</v>
      </c>
      <c r="R186" s="4">
        <v>46424</v>
      </c>
      <c r="S186" s="4" t="str">
        <f ca="1">IF(
  _xlfn.XLOOKUP($D186 &amp; "-" &amp; R$2, TrainingMan!$G:$G, TrainingMan!$F:$F, "2-Year") = "Forever",
  "Valid",
  IF(R186="", "Not Trained",
     IF(R186 &lt; TODAY() - 1, "Expired",
        IF(R186 &lt;= TODAY() + 90, "Expiring", "Valid")
     )
  )
)</f>
        <v>Valid</v>
      </c>
      <c r="T186" s="4">
        <v>46424</v>
      </c>
      <c r="U186" s="4" t="str">
        <f ca="1">IF(
  _xlfn.XLOOKUP($D186 &amp; "-" &amp; T$2, TrainingMan!$G:$G, TrainingMan!$F:$F, "2-Year") = "Forever",
  "Valid",
  IF(T186="", "Not Trained",
     IF(T186 &lt; TODAY() - 1, "Expired",
        IF(T186 &lt;= TODAY() + 90, "Expiring", "Valid")
     )
  )
)</f>
        <v>Valid</v>
      </c>
      <c r="V186" s="4">
        <v>46597</v>
      </c>
      <c r="W186" s="4" t="str">
        <f ca="1">IF(
  _xlfn.XLOOKUP($D186 &amp; "-" &amp; V$2, TrainingMan!$G:$G, TrainingMan!$F:$F, "2-Year") = "Forever",
  "Valid",
  IF(V186="", "Not Trained",
     IF(V186 &lt; TODAY() - 1, "Expired",
        IF(V186 &lt;= TODAY() + 90, "Expiring", "Valid")
     )
  )
)</f>
        <v>Valid</v>
      </c>
      <c r="X186" s="4">
        <v>46324</v>
      </c>
      <c r="Y186" s="4" t="str">
        <f ca="1">IF(
  _xlfn.XLOOKUP($D186 &amp; "-" &amp; X$2, TrainingMan!$G:$G, TrainingMan!$F:$F, "2-Year") = "Forever",
  "Valid",
  IF(X186="", "Not Trained",
     IF(X186 &lt; TODAY() - 1, "Expired",
        IF(X186 &lt;= TODAY() + 90, "Expiring", "Valid")
     )
  )
)</f>
        <v>Valid</v>
      </c>
      <c r="Z186" s="4">
        <v>44263</v>
      </c>
      <c r="AA186" s="4" t="str">
        <f ca="1">IF(LEN(TRIM(Z186)) = 0, "Not Trained",
  IF(_xlfn.XLOOKUP($D186 &amp; "-" &amp; Z$2, TrainingMan!$G:$G, TrainingMan!$F:$F, "2-Year") = "Forever", "Valid",
    IF(Z186 &lt; TODAY() - 1, "Expired",
      IF(Z186 &lt;= TODAY() + 90, "Expiring", "Valid")
    )
  )
)</f>
        <v>Valid</v>
      </c>
      <c r="AB186" s="4">
        <v>40732</v>
      </c>
      <c r="AC186" s="4">
        <v>41173</v>
      </c>
      <c r="AD186" s="4">
        <v>41326</v>
      </c>
      <c r="AE186" s="4">
        <v>42655</v>
      </c>
      <c r="AF186" s="4">
        <v>43195</v>
      </c>
      <c r="AG186" s="4">
        <v>42514</v>
      </c>
      <c r="AH186" s="4"/>
      <c r="AI186" s="4"/>
      <c r="AJ186" s="4"/>
      <c r="AN186" s="4"/>
      <c r="AP186" s="4">
        <v>45980</v>
      </c>
      <c r="AQ186" s="4">
        <v>45495</v>
      </c>
      <c r="AR186" s="4">
        <v>45381</v>
      </c>
      <c r="AS186" s="4">
        <v>45535</v>
      </c>
      <c r="AT186" s="4"/>
      <c r="AU186" s="4"/>
      <c r="BB186" s="4"/>
      <c r="BC186" s="4" t="s">
        <v>274</v>
      </c>
      <c r="BD186" s="4" t="s">
        <v>736</v>
      </c>
      <c r="BE186" s="4"/>
      <c r="BF186" s="4"/>
      <c r="BG186" s="4"/>
      <c r="BH186" s="4"/>
      <c r="BI186" s="4">
        <v>42750</v>
      </c>
      <c r="BJ186" s="4" t="s">
        <v>140</v>
      </c>
      <c r="BK186" t="s">
        <v>145</v>
      </c>
      <c r="BL186" t="s">
        <v>150</v>
      </c>
      <c r="BM186" s="4"/>
      <c r="BN186" s="4"/>
      <c r="BO186" s="4"/>
      <c r="BP186" s="4"/>
      <c r="BQ186">
        <f>COUNTIF('TrainingReq (Ach)'!B:B,Table13[[#This Row],[Job Title]])</f>
        <v>14</v>
      </c>
      <c r="BR186" cm="1">
        <f t="array" aca="1" ref="BR18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86" s="5">
        <f t="shared" ca="1" si="6"/>
        <v>1</v>
      </c>
      <c r="BT186" t="s">
        <v>246</v>
      </c>
      <c r="BU186" t="s">
        <v>238</v>
      </c>
      <c r="BV186" t="s">
        <v>256</v>
      </c>
      <c r="BW186" s="4" t="s">
        <v>140</v>
      </c>
      <c r="BX186" t="s">
        <v>145</v>
      </c>
      <c r="BY186" t="s">
        <v>150</v>
      </c>
      <c r="BZ186" t="s">
        <v>737</v>
      </c>
      <c r="CC186" t="s">
        <v>738</v>
      </c>
      <c r="CD186" s="4">
        <v>47212</v>
      </c>
      <c r="CE186" s="4" t="str">
        <f ca="1">IF(
  _xlfn.XLOOKUP($D186 &amp; "-" &amp; CD$2, 'TrainingReq (Ach)'!$G:$G, 'TrainingReq (Ach)'!$F:$F, "2-Year") = "Forever",
  "Valid",
  IF(CD186="", "Not Trained",
     IF(CD186 &lt; TODAY() - 1, "Expired",
        IF(CD186 &lt;= TODAY() + 90, "Expiring", "Valid")
     )
  )
)</f>
        <v>Valid</v>
      </c>
      <c r="CF186" t="s">
        <v>239</v>
      </c>
      <c r="CG186" s="4">
        <v>48761</v>
      </c>
      <c r="CH186" s="4" t="str">
        <f ca="1">IF(
  _xlfn.XLOOKUP($D185 &amp; "-" &amp; CG$2, 'TrainingReq (Ach)'!$G:$G, 'TrainingReq (Ach)'!$F:$F, "2-Year") = "Forever",
  "Valid",
  IF(CG185="", "Not Trained",
     IF(CG185 &lt; TODAY() - 1, "Expired",
        IF(CG185 &lt;= TODAY() + 90, "Expiring", "Valid")
     )
  )
)</f>
        <v>Not Trained</v>
      </c>
      <c r="CI186" t="str">
        <f t="shared" si="7"/>
        <v>Eligible</v>
      </c>
      <c r="CJ186" t="str">
        <f t="shared" si="8"/>
        <v>Eligible</v>
      </c>
    </row>
    <row r="187" spans="1:88" x14ac:dyDescent="0.25">
      <c r="A187">
        <v>185</v>
      </c>
      <c r="B187">
        <v>582699</v>
      </c>
      <c r="C187" t="s">
        <v>739</v>
      </c>
      <c r="D187" t="s">
        <v>8</v>
      </c>
      <c r="E187" t="s">
        <v>463</v>
      </c>
      <c r="F187" t="s">
        <v>723</v>
      </c>
      <c r="G187" t="s">
        <v>58</v>
      </c>
      <c r="H187" s="4">
        <v>46773</v>
      </c>
      <c r="I187" s="4" t="str">
        <f ca="1">IF(
  _xlfn.XLOOKUP($D187 &amp; "-" &amp; H$2, 'TrainingReq (Ach)'!G:G, 'TrainingReq (Ach)'!F:F, "2-Year") = "Forever",
  "Valid",
  IF(H187="", "Not Trained",
     IF(H187 &lt; TODAY() - 1, "Expired",
        IF(H187 &lt;= TODAY() + 90, "Expiring", "Valid")
     )
  )
)</f>
        <v>Valid</v>
      </c>
      <c r="J187" s="4">
        <v>46773</v>
      </c>
      <c r="K187" s="4" t="str">
        <f ca="1">IF(
  _xlfn.XLOOKUP($D187 &amp; "-" &amp; J$2, 'TrainingReq (Ach)'!G:G, 'TrainingReq (Ach)'!F:F, "2-Year") = "Forever",
  "Valid",
  IF(J187="", "Not Trained",
     IF(J187 &lt; TODAY() - 1, "Expired",
        IF(J187 &lt;= TODAY() + 90, "Expiring", "Valid")
     )
  )
)</f>
        <v>Valid</v>
      </c>
      <c r="L187" s="4">
        <v>46823</v>
      </c>
      <c r="M187" s="4" t="str">
        <f ca="1">IF(
  _xlfn.XLOOKUP($D187 &amp; "-" &amp; L$2, TrainingMan!$G:$G, TrainingMan!$F:$F, "2-Year") = "Forever",
  "Valid",
  IF(L187="", "Not Trained",
     IF(L187 &lt; TODAY() - 1, "Expired",
        IF(L187 &lt;= TODAY() + 90, "Expiring", "Valid")
     )
  )
)</f>
        <v>Valid</v>
      </c>
      <c r="N187" s="4">
        <v>46815</v>
      </c>
      <c r="O187" s="4" t="str">
        <f ca="1">IF(
  _xlfn.XLOOKUP($D187 &amp; "-" &amp; N$2, TrainingMan!$G:$G, TrainingMan!$F:$F, "2-Year") = "Forever",
  "Valid",
  IF(N187="", "Not Trained",
     IF(N187 &lt; TODAY() - 1, "Expired",
        IF(N187 &lt;= TODAY() + 90, "Expiring", "Valid")
     )
  )
)</f>
        <v>Valid</v>
      </c>
      <c r="P187" s="4">
        <v>46815</v>
      </c>
      <c r="Q187" s="4" t="str">
        <f ca="1">IF(
  _xlfn.XLOOKUP($D187 &amp; "-" &amp; P$2, TrainingMan!$G:$G, TrainingMan!$F:$F, "2-Year") = "Forever",
  "Valid",
  IF(P187="", "Not Trained",
     IF(P187 &lt; TODAY() - 1, "Expired",
        IF(P187 &lt;= TODAY() + 90, "Expiring", "Valid")
     )
  )
)</f>
        <v>Valid</v>
      </c>
      <c r="R187" s="4">
        <v>46815</v>
      </c>
      <c r="S187" s="4" t="str">
        <f ca="1">IF(
  _xlfn.XLOOKUP($D187 &amp; "-" &amp; R$2, TrainingMan!$G:$G, TrainingMan!$F:$F, "2-Year") = "Forever",
  "Valid",
  IF(R187="", "Not Trained",
     IF(R187 &lt; TODAY() - 1, "Expired",
        IF(R187 &lt;= TODAY() + 90, "Expiring", "Valid")
     )
  )
)</f>
        <v>Valid</v>
      </c>
      <c r="T187" s="4">
        <v>46815</v>
      </c>
      <c r="U187" s="4" t="str">
        <f ca="1">IF(
  _xlfn.XLOOKUP($D187 &amp; "-" &amp; T$2, TrainingMan!$G:$G, TrainingMan!$F:$F, "2-Year") = "Forever",
  "Valid",
  IF(T187="", "Not Trained",
     IF(T187 &lt; TODAY() - 1, "Expired",
        IF(T187 &lt;= TODAY() + 90, "Expiring", "Valid")
     )
  )
)</f>
        <v>Valid</v>
      </c>
      <c r="V187" s="4">
        <v>46815</v>
      </c>
      <c r="W187" s="4" t="str">
        <f ca="1">IF(
  _xlfn.XLOOKUP($D187 &amp; "-" &amp; V$2, TrainingMan!$G:$G, TrainingMan!$F:$F, "2-Year") = "Forever",
  "Valid",
  IF(V187="", "Not Trained",
     IF(V187 &lt; TODAY() - 1, "Expired",
        IF(V187 &lt;= TODAY() + 90, "Expiring", "Valid")
     )
  )
)</f>
        <v>Valid</v>
      </c>
      <c r="X187" s="4">
        <v>46815</v>
      </c>
      <c r="Y187" s="4" t="str">
        <f ca="1">IF(
  _xlfn.XLOOKUP($D187 &amp; "-" &amp; X$2, TrainingMan!$G:$G, TrainingMan!$F:$F, "2-Year") = "Forever",
  "Valid",
  IF(X187="", "Not Trained",
     IF(X187 &lt; TODAY() - 1, "Expired",
        IF(X187 &lt;= TODAY() + 90, "Expiring", "Valid")
     )
  )
)</f>
        <v>Valid</v>
      </c>
      <c r="Z187" s="4">
        <v>45354</v>
      </c>
      <c r="AA187" s="4" t="str">
        <f ca="1">IF(LEN(TRIM(Z187)) = 0, "Not Trained",
  IF(_xlfn.XLOOKUP($D187 &amp; "-" &amp; Z$2, TrainingMan!$G:$G, TrainingMan!$F:$F, "2-Year") = "Forever", "Valid",
    IF(Z187 &lt; TODAY() - 1, "Expired",
      IF(Z187 &lt;= TODAY() + 90, "Expiring", "Valid")
    )
  )
)</f>
        <v>Valid</v>
      </c>
      <c r="AB187" s="4">
        <v>43504</v>
      </c>
      <c r="AC187" s="4">
        <v>44053</v>
      </c>
      <c r="AD187" s="4">
        <v>44976</v>
      </c>
      <c r="AE187" s="4">
        <v>45506</v>
      </c>
      <c r="AF187" s="4">
        <v>45375</v>
      </c>
      <c r="AG187" s="4">
        <v>44943</v>
      </c>
      <c r="AH187" s="4"/>
      <c r="AI187" s="4"/>
      <c r="AJ187" s="4"/>
      <c r="AN187" s="4" t="s">
        <v>483</v>
      </c>
      <c r="AQ187" s="4"/>
      <c r="AR187" s="4"/>
      <c r="AS187" s="4"/>
      <c r="AT187" s="4"/>
      <c r="AU187" s="4"/>
      <c r="BB187" s="4">
        <v>46039</v>
      </c>
      <c r="BC187" s="4" t="s">
        <v>293</v>
      </c>
      <c r="BD187" s="4" t="s">
        <v>393</v>
      </c>
      <c r="BE187" s="4"/>
      <c r="BF187" s="4">
        <v>41890</v>
      </c>
      <c r="BG187" s="4"/>
      <c r="BH187" s="4"/>
      <c r="BI187" s="4">
        <v>43796</v>
      </c>
      <c r="BJ187" s="4" t="s">
        <v>144</v>
      </c>
      <c r="BK187" s="4" t="s">
        <v>145</v>
      </c>
      <c r="BL187" s="4"/>
      <c r="BM187" s="4"/>
      <c r="BN187" s="4" t="s">
        <v>740</v>
      </c>
      <c r="BO187" s="4"/>
      <c r="BP187" s="4"/>
      <c r="BQ187">
        <f>COUNTIF('TrainingReq (Ach)'!B:B,Table13[[#This Row],[Job Title]])</f>
        <v>17</v>
      </c>
      <c r="BR187" cm="1">
        <f t="array" aca="1" ref="BR18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17</v>
      </c>
      <c r="BS187" s="5">
        <f t="shared" ca="1" si="6"/>
        <v>1</v>
      </c>
      <c r="BT187" t="s">
        <v>246</v>
      </c>
      <c r="BU187" t="s">
        <v>247</v>
      </c>
      <c r="BV187" t="s">
        <v>256</v>
      </c>
      <c r="BW187" s="4" t="s">
        <v>144</v>
      </c>
      <c r="BZ187" t="s">
        <v>741</v>
      </c>
      <c r="CA187">
        <v>1</v>
      </c>
      <c r="CB187" s="26" t="s">
        <v>742</v>
      </c>
      <c r="CC187" t="s">
        <v>743</v>
      </c>
      <c r="CD187" s="4">
        <v>47244</v>
      </c>
      <c r="CE187" s="4" t="str">
        <f ca="1">IF(
  _xlfn.XLOOKUP($D187 &amp; "-" &amp; CD$2, 'TrainingReq (Ach)'!$G:$G, 'TrainingReq (Ach)'!$F:$F, "2-Year") = "Forever",
  "Valid",
  IF(CD187="", "Not Trained",
     IF(CD187 &lt; TODAY() - 1, "Expired",
        IF(CD187 &lt;= TODAY() + 90, "Expiring", "Valid")
     )
  )
)</f>
        <v>Valid</v>
      </c>
      <c r="CF187" t="s">
        <v>744</v>
      </c>
      <c r="CG187" s="4">
        <v>55761</v>
      </c>
      <c r="CH187" s="4" t="str">
        <f ca="1">IF(
  _xlfn.XLOOKUP($D186 &amp; "-" &amp; CG$2, 'TrainingReq (Ach)'!$G:$G, 'TrainingReq (Ach)'!$F:$F, "2-Year") = "Forever",
  "Valid",
  IF(CG186="", "Not Trained",
     IF(CG186 &lt; TODAY() - 1, "Expired",
        IF(CG186 &lt;= TODAY() + 90, "Expiring", "Valid")
     )
  )
)</f>
        <v>Valid</v>
      </c>
      <c r="CI187" t="str">
        <f t="shared" si="7"/>
        <v>Eligible</v>
      </c>
      <c r="CJ187" t="str">
        <f t="shared" si="8"/>
        <v>Not eligible</v>
      </c>
    </row>
    <row r="188" spans="1:88" x14ac:dyDescent="0.25">
      <c r="A188">
        <v>186</v>
      </c>
      <c r="B188">
        <v>580742</v>
      </c>
      <c r="C188" t="s">
        <v>745</v>
      </c>
      <c r="D188" t="s">
        <v>22</v>
      </c>
      <c r="G188" t="s">
        <v>59</v>
      </c>
      <c r="H188" s="4">
        <v>46521</v>
      </c>
      <c r="I188" s="4" t="str">
        <f ca="1">IF(
  _xlfn.XLOOKUP($D188 &amp; "-" &amp; H$2, 'TrainingReq (Ach)'!G:G, 'TrainingReq (Ach)'!F:F, "2-Year") = "Forever",
  "Valid",
  IF(H188="", "Not Trained",
     IF(H188 &lt; TODAY() - 1, "Expired",
        IF(H188 &lt;= TODAY() + 90, "Expiring", "Valid")
     )
  )
)</f>
        <v>Valid</v>
      </c>
      <c r="J188" s="4">
        <v>46521</v>
      </c>
      <c r="K188" s="4" t="str">
        <f ca="1">IF(
  _xlfn.XLOOKUP($D188 &amp; "-" &amp; J$2, 'TrainingReq (Ach)'!G:G, 'TrainingReq (Ach)'!F:F, "2-Year") = "Forever",
  "Valid",
  IF(J188="", "Not Trained",
     IF(J188 &lt; TODAY() - 1, "Expired",
        IF(J188 &lt;= TODAY() + 90, "Expiring", "Valid")
     )
  )
)</f>
        <v>Valid</v>
      </c>
      <c r="L188" s="4">
        <v>43762</v>
      </c>
      <c r="M188" s="4" t="str">
        <f ca="1">IF(
  _xlfn.XLOOKUP($D188 &amp; "-" &amp; L$2, TrainingMan!$G:$G, TrainingMan!$F:$F, "2-Year") = "Forever",
  "Valid",
  IF(L188="", "Not Trained",
     IF(L188 &lt; TODAY() - 1, "Expired",
        IF(L188 &lt;= TODAY() + 90, "Expiring", "Valid")
     )
  )
)</f>
        <v>Valid</v>
      </c>
      <c r="N188" s="4">
        <v>46547</v>
      </c>
      <c r="O188" s="4" t="str">
        <f ca="1">IF(
  _xlfn.XLOOKUP($D188 &amp; "-" &amp; N$2, TrainingMan!$G:$G, TrainingMan!$F:$F, "2-Year") = "Forever",
  "Valid",
  IF(N188="", "Not Trained",
     IF(N188 &lt; TODAY() - 1, "Expired",
        IF(N188 &lt;= TODAY() + 90, "Expiring", "Valid")
     )
  )
)</f>
        <v>Valid</v>
      </c>
      <c r="P188" s="4">
        <v>46547</v>
      </c>
      <c r="Q188" s="4" t="str">
        <f ca="1">IF(
  _xlfn.XLOOKUP($D188 &amp; "-" &amp; P$2, TrainingMan!$G:$G, TrainingMan!$F:$F, "2-Year") = "Forever",
  "Valid",
  IF(P188="", "Not Trained",
     IF(P188 &lt; TODAY() - 1, "Expired",
        IF(P188 &lt;= TODAY() + 90, "Expiring", "Valid")
     )
  )
)</f>
        <v>Valid</v>
      </c>
      <c r="R188" s="4">
        <v>46547</v>
      </c>
      <c r="S188" s="4" t="str">
        <f ca="1">IF(
  _xlfn.XLOOKUP($D188 &amp; "-" &amp; R$2, TrainingMan!$G:$G, TrainingMan!$F:$F, "2-Year") = "Forever",
  "Valid",
  IF(R188="", "Not Trained",
     IF(R188 &lt; TODAY() - 1, "Expired",
        IF(R188 &lt;= TODAY() + 90, "Expiring", "Valid")
     )
  )
)</f>
        <v>Valid</v>
      </c>
      <c r="T188" s="4">
        <v>46547</v>
      </c>
      <c r="U188" s="4" t="str">
        <f ca="1">IF(
  _xlfn.XLOOKUP($D188 &amp; "-" &amp; T$2, TrainingMan!$G:$G, TrainingMan!$F:$F, "2-Year") = "Forever",
  "Valid",
  IF(T188="", "Not Trained",
     IF(T188 &lt; TODAY() - 1, "Expired",
        IF(T188 &lt;= TODAY() + 90, "Expiring", "Valid")
     )
  )
)</f>
        <v>Valid</v>
      </c>
      <c r="V188" s="4">
        <v>42415</v>
      </c>
      <c r="W188" s="4" t="str">
        <f ca="1">IF(
  _xlfn.XLOOKUP($D188 &amp; "-" &amp; V$2, TrainingMan!$G:$G, TrainingMan!$F:$F, "2-Year") = "Forever",
  "Valid",
  IF(V188="", "Not Trained",
     IF(V188 &lt; TODAY() - 1, "Expired",
        IF(V188 &lt;= TODAY() + 90, "Expiring", "Valid")
     )
  )
)</f>
        <v>Valid</v>
      </c>
      <c r="X188" s="4">
        <v>42452</v>
      </c>
      <c r="Y188" s="4" t="str">
        <f ca="1">IF(
  _xlfn.XLOOKUP($D188 &amp; "-" &amp; X$2, TrainingMan!$G:$G, TrainingMan!$F:$F, "2-Year") = "Forever",
  "Valid",
  IF(X188="", "Not Trained",
     IF(X188 &lt; TODAY() - 1, "Expired",
        IF(X188 &lt;= TODAY() + 90, "Expiring", "Valid")
     )
  )
)</f>
        <v>Valid</v>
      </c>
      <c r="Z188" s="4">
        <v>42019</v>
      </c>
      <c r="AA188" s="4" t="str">
        <f ca="1">IF(LEN(TRIM(Z188)) = 0, "Not Trained",
  IF(_xlfn.XLOOKUP($D188 &amp; "-" &amp; Z$2, TrainingMan!$G:$G, TrainingMan!$F:$F, "2-Year") = "Forever", "Valid",
    IF(Z188 &lt; TODAY() - 1, "Expired",
      IF(Z188 &lt;= TODAY() + 90, "Expiring", "Valid")
    )
  )
)</f>
        <v>Valid</v>
      </c>
      <c r="AB188" s="4"/>
      <c r="AC188" s="4"/>
      <c r="AD188" s="4"/>
      <c r="AE188" s="4"/>
      <c r="AF188" s="4"/>
      <c r="AG188" s="4"/>
      <c r="AH188" s="4">
        <v>42513</v>
      </c>
      <c r="AI188" s="4">
        <v>42086</v>
      </c>
      <c r="AJ188" s="4"/>
      <c r="AN188" s="4"/>
      <c r="AP188" s="4">
        <v>45863</v>
      </c>
      <c r="AQ188" s="4">
        <v>44370</v>
      </c>
      <c r="AR188" s="4">
        <v>44068</v>
      </c>
      <c r="AS188" s="4">
        <v>43431</v>
      </c>
      <c r="AT188" s="4"/>
      <c r="AU188" s="4"/>
      <c r="BB188" s="4"/>
      <c r="BC188" s="4"/>
      <c r="BD188" s="4">
        <v>41646</v>
      </c>
      <c r="BE188" s="4"/>
      <c r="BF188" s="4"/>
      <c r="BG188" s="4">
        <v>41687</v>
      </c>
      <c r="BH188" s="4"/>
      <c r="BI188" s="4"/>
      <c r="BJ188" s="4"/>
      <c r="BK188" s="4"/>
      <c r="BL188" s="4"/>
      <c r="BM188" s="4"/>
      <c r="BN188" s="4"/>
      <c r="BO188" s="4"/>
      <c r="BP188" s="4"/>
      <c r="BQ188">
        <f>COUNTIF('TrainingReq (Ach)'!B:B,Table13[[#This Row],[Job Title]])</f>
        <v>14</v>
      </c>
      <c r="BR188" cm="1">
        <f t="array" aca="1" ref="BR18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14</v>
      </c>
      <c r="BS188" s="5">
        <f t="shared" ca="1" si="6"/>
        <v>1</v>
      </c>
      <c r="BW188" s="4"/>
      <c r="CD188" s="4"/>
      <c r="CE188" s="4" t="str">
        <f ca="1">IF(
  _xlfn.XLOOKUP($D188 &amp; "-" &amp; CD$2, 'TrainingReq (Ach)'!$G:$G, 'TrainingReq (Ach)'!$F:$F, "2-Year") = "Forever",
  "Valid",
  IF(CD188="", "Not Trained",
     IF(CD188 &lt; TODAY() - 1, "Expired",
        IF(CD188 &lt;= TODAY() + 90, "Expiring", "Valid")
     )
  )
)</f>
        <v>Not Trained</v>
      </c>
      <c r="CG188" s="4"/>
      <c r="CH188" s="4" t="str">
        <f ca="1">IF(
  _xlfn.XLOOKUP($D187 &amp; "-" &amp; CG$2, 'TrainingReq (Ach)'!$G:$G, 'TrainingReq (Ach)'!$F:$F, "2-Year") = "Forever",
  "Valid",
  IF(CG187="", "Not Trained",
     IF(CG187 &lt; TODAY() - 1, "Expired",
        IF(CG187 &lt;= TODAY() + 90, "Expiring", "Valid")
     )
  )
)</f>
        <v>Valid</v>
      </c>
      <c r="CI188" t="str">
        <f t="shared" si="7"/>
        <v>Not eligible</v>
      </c>
      <c r="CJ188" t="str">
        <f t="shared" si="8"/>
        <v>Not eligible</v>
      </c>
    </row>
    <row r="189" spans="1:88" x14ac:dyDescent="0.25">
      <c r="A189">
        <v>187</v>
      </c>
      <c r="B189">
        <v>783423</v>
      </c>
      <c r="C189" t="s">
        <v>746</v>
      </c>
      <c r="D189" t="s">
        <v>23</v>
      </c>
      <c r="E189" t="s">
        <v>7</v>
      </c>
      <c r="F189" t="s">
        <v>747</v>
      </c>
      <c r="G189" t="s">
        <v>53</v>
      </c>
      <c r="H189" s="4">
        <v>46595</v>
      </c>
      <c r="I189" s="4" t="str">
        <f ca="1">IF(
  _xlfn.XLOOKUP($D189 &amp; "-" &amp; H$2, 'TrainingReq (Ach)'!G:G, 'TrainingReq (Ach)'!F:F, "2-Year") = "Forever",
  "Valid",
  IF(H189="", "Not Trained",
     IF(H189 &lt; TODAY() - 1, "Expired",
        IF(H189 &lt;= TODAY() + 90, "Expiring", "Valid")
     )
  )
)</f>
        <v>Valid</v>
      </c>
      <c r="J189" s="4">
        <v>46595</v>
      </c>
      <c r="K189" s="4" t="str">
        <f ca="1">IF(
  _xlfn.XLOOKUP($D189 &amp; "-" &amp; J$2, 'TrainingReq (Ach)'!G:G, 'TrainingReq (Ach)'!F:F, "2-Year") = "Forever",
  "Valid",
  IF(J189="", "Not Trained",
     IF(J189 &lt; TODAY() - 1, "Expired",
        IF(J189 &lt;= TODAY() + 90, "Expiring", "Valid")
     )
  )
)</f>
        <v>Valid</v>
      </c>
      <c r="L189" s="4">
        <v>46595</v>
      </c>
      <c r="M189" s="4" t="str">
        <f ca="1">IF(
  _xlfn.XLOOKUP($D189 &amp; "-" &amp; L$2, TrainingMan!$G:$G, TrainingMan!$F:$F, "2-Year") = "Forever",
  "Valid",
  IF(L189="", "Not Trained",
     IF(L189 &lt; TODAY() - 1, "Expired",
        IF(L189 &lt;= TODAY() + 90, "Expiring", "Valid")
     )
  )
)</f>
        <v>Valid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>
        <v>45950</v>
      </c>
      <c r="AC189" s="4"/>
      <c r="AD189" s="4"/>
      <c r="AE189" s="4"/>
      <c r="AF189" s="4"/>
      <c r="AG189" s="4"/>
      <c r="AH189" s="4"/>
      <c r="AI189" s="4"/>
      <c r="AJ189" s="4"/>
      <c r="AN189" s="4"/>
      <c r="AQ189" s="4"/>
      <c r="AR189" s="4"/>
      <c r="AS189" s="4"/>
      <c r="AT189" s="4"/>
      <c r="AU189" s="4"/>
      <c r="BB189" s="4"/>
      <c r="BC189" s="4"/>
      <c r="BD189" s="4">
        <v>45819</v>
      </c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>
        <f>COUNTIF('TrainingReq (Ach)'!B:B,Table13[[#This Row],[Job Title]])</f>
        <v>3</v>
      </c>
      <c r="BR189" cm="1">
        <f t="array" aca="1" ref="BR18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89" s="5">
        <f t="shared" ca="1" si="6"/>
        <v>1</v>
      </c>
      <c r="BW189" s="4"/>
      <c r="CD189" s="4"/>
      <c r="CE189" s="4" t="str">
        <f ca="1">IF(
  _xlfn.XLOOKUP($D189 &amp; "-" &amp; CD$2, 'TrainingReq (Ach)'!$G:$G, 'TrainingReq (Ach)'!$F:$F, "2-Year") = "Forever",
  "Valid",
  IF(CD189="", "Not Trained",
     IF(CD189 &lt; TODAY() - 1, "Expired",
        IF(CD189 &lt;= TODAY() + 90, "Expiring", "Valid")
     )
  )
)</f>
        <v>Not Trained</v>
      </c>
      <c r="CG189" s="4"/>
      <c r="CH189" s="4" t="str">
        <f ca="1">IF(
  _xlfn.XLOOKUP($D188 &amp; "-" &amp; CG$2, 'TrainingReq (Ach)'!$G:$G, 'TrainingReq (Ach)'!$F:$F, "2-Year") = "Forever",
  "Valid",
  IF(CG188="", "Not Trained",
     IF(CG188 &lt; TODAY() - 1, "Expired",
        IF(CG188 &lt;= TODAY() + 90, "Expiring", "Valid")
     )
  )
)</f>
        <v>Not Trained</v>
      </c>
      <c r="CI189" t="str">
        <f t="shared" si="7"/>
        <v>Not eligible</v>
      </c>
      <c r="CJ189" t="str">
        <f t="shared" si="8"/>
        <v>Not eligible</v>
      </c>
    </row>
    <row r="190" spans="1:88" x14ac:dyDescent="0.25">
      <c r="A190">
        <v>188</v>
      </c>
      <c r="B190">
        <v>783424</v>
      </c>
      <c r="C190" t="s">
        <v>748</v>
      </c>
      <c r="D190" t="s">
        <v>23</v>
      </c>
      <c r="E190" t="s">
        <v>7</v>
      </c>
      <c r="F190" t="s">
        <v>747</v>
      </c>
      <c r="G190" t="s">
        <v>53</v>
      </c>
      <c r="H190" s="4">
        <v>46595</v>
      </c>
      <c r="I190" s="4" t="str">
        <f ca="1">IF(
  _xlfn.XLOOKUP($D190 &amp; "-" &amp; H$2, 'TrainingReq (Ach)'!G:G, 'TrainingReq (Ach)'!F:F, "2-Year") = "Forever",
  "Valid",
  IF(H190="", "Not Trained",
     IF(H190 &lt; TODAY() - 1, "Expired",
        IF(H190 &lt;= TODAY() + 90, "Expiring", "Valid")
     )
  )
)</f>
        <v>Valid</v>
      </c>
      <c r="J190" s="4">
        <v>46595</v>
      </c>
      <c r="K190" s="4" t="str">
        <f ca="1">IF(
  _xlfn.XLOOKUP($D190 &amp; "-" &amp; J$2, 'TrainingReq (Ach)'!G:G, 'TrainingReq (Ach)'!F:F, "2-Year") = "Forever",
  "Valid",
  IF(J190="", "Not Trained",
     IF(J190 &lt; TODAY() - 1, "Expired",
        IF(J190 &lt;= TODAY() + 90, "Expiring", "Valid")
     )
  )
)</f>
        <v>Valid</v>
      </c>
      <c r="L190" s="4">
        <v>46595</v>
      </c>
      <c r="M190" s="4" t="str">
        <f ca="1">IF(
  _xlfn.XLOOKUP($D190 &amp; "-" &amp; L$2, TrainingMan!$G:$G, TrainingMan!$F:$F, "2-Year") = "Forever",
  "Valid",
  IF(L190="", "Not Trained",
     IF(L190 &lt; TODAY() - 1, "Expired",
        IF(L190 &lt;= TODAY() + 90, "Expiring", "Valid")
     )
  )
)</f>
        <v>Valid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>
        <v>45950</v>
      </c>
      <c r="AC190" s="4"/>
      <c r="AD190" s="4"/>
      <c r="AE190" s="4"/>
      <c r="AF190" s="4"/>
      <c r="AG190" s="4"/>
      <c r="AH190" s="4"/>
      <c r="AI190" s="4"/>
      <c r="AJ190" s="4"/>
      <c r="AN190" s="4"/>
      <c r="AQ190" s="4"/>
      <c r="AR190" s="4"/>
      <c r="AS190" s="4"/>
      <c r="AT190" s="4"/>
      <c r="AU190" s="4"/>
      <c r="BB190" s="4"/>
      <c r="BC190" s="4"/>
      <c r="BD190" s="4">
        <v>45819</v>
      </c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>
        <f>COUNTIF('TrainingReq (Ach)'!B:B,Table13[[#This Row],[Job Title]])</f>
        <v>3</v>
      </c>
      <c r="BR190" cm="1">
        <f t="array" aca="1" ref="BR19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0" s="32">
        <f t="shared" ca="1" si="6"/>
        <v>1</v>
      </c>
      <c r="BW190" s="4"/>
      <c r="CD190" s="4"/>
      <c r="CE190" s="4" t="str">
        <f ca="1">IF(
  _xlfn.XLOOKUP($D190 &amp; "-" &amp; CD$2, 'TrainingReq (Ach)'!$G:$G, 'TrainingReq (Ach)'!$F:$F, "2-Year") = "Forever",
  "Valid",
  IF(CD190="", "Not Trained",
     IF(CD190 &lt; TODAY() - 1, "Expired",
        IF(CD190 &lt;= TODAY() + 90, "Expiring", "Valid")
     )
  )
)</f>
        <v>Not Trained</v>
      </c>
      <c r="CG190" s="4"/>
      <c r="CH190" s="4" t="str">
        <f ca="1">IF(
  _xlfn.XLOOKUP($D189 &amp; "-" &amp; CG$2, 'TrainingReq (Ach)'!$G:$G, 'TrainingReq (Ach)'!$F:$F, "2-Year") = "Forever",
  "Valid",
  IF(CG189="", "Not Trained",
     IF(CG189 &lt; TODAY() - 1, "Expired",
        IF(CG189 &lt;= TODAY() + 90, "Expiring", "Valid")
     )
  )
)</f>
        <v>Not Trained</v>
      </c>
      <c r="CI190" t="str">
        <f t="shared" si="7"/>
        <v>Not eligible</v>
      </c>
      <c r="CJ190" t="str">
        <f t="shared" si="8"/>
        <v>Not eligible</v>
      </c>
    </row>
    <row r="191" spans="1:88" x14ac:dyDescent="0.25">
      <c r="A191">
        <v>189</v>
      </c>
      <c r="B191">
        <v>783425</v>
      </c>
      <c r="C191" t="s">
        <v>749</v>
      </c>
      <c r="D191" t="s">
        <v>23</v>
      </c>
      <c r="E191" t="s">
        <v>7</v>
      </c>
      <c r="F191" t="s">
        <v>747</v>
      </c>
      <c r="G191" t="s">
        <v>53</v>
      </c>
      <c r="H191" s="4">
        <v>46595</v>
      </c>
      <c r="I191" s="4" t="str">
        <f ca="1">IF(
  _xlfn.XLOOKUP($D191 &amp; "-" &amp; H$2, 'TrainingReq (Ach)'!G:G, 'TrainingReq (Ach)'!F:F, "2-Year") = "Forever",
  "Valid",
  IF(H191="", "Not Trained",
     IF(H191 &lt; TODAY() - 1, "Expired",
        IF(H191 &lt;= TODAY() + 90, "Expiring", "Valid")
     )
  )
)</f>
        <v>Valid</v>
      </c>
      <c r="J191" s="4">
        <v>46595</v>
      </c>
      <c r="K191" s="4" t="str">
        <f ca="1">IF(
  _xlfn.XLOOKUP($D191 &amp; "-" &amp; J$2, 'TrainingReq (Ach)'!G:G, 'TrainingReq (Ach)'!F:F, "2-Year") = "Forever",
  "Valid",
  IF(J191="", "Not Trained",
     IF(J191 &lt; TODAY() - 1, "Expired",
        IF(J191 &lt;= TODAY() + 90, "Expiring", "Valid")
     )
  )
)</f>
        <v>Valid</v>
      </c>
      <c r="L191" s="4">
        <v>46595</v>
      </c>
      <c r="M191" s="4" t="str">
        <f ca="1">IF(
  _xlfn.XLOOKUP($D191 &amp; "-" &amp; L$2, TrainingMan!$G:$G, TrainingMan!$F:$F, "2-Year") = "Forever",
  "Valid",
  IF(L191="", "Not Trained",
     IF(L191 &lt; TODAY() - 1, "Expired",
        IF(L191 &lt;= TODAY() + 90, "Expiring", "Valid")
     )
  )
)</f>
        <v>Valid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>
        <v>45950</v>
      </c>
      <c r="AC191" s="4"/>
      <c r="AD191" s="4"/>
      <c r="AE191" s="4"/>
      <c r="AF191" s="4"/>
      <c r="AG191" s="4"/>
      <c r="AH191" s="4"/>
      <c r="AI191" s="4"/>
      <c r="AJ191" s="4"/>
      <c r="AN191" s="4"/>
      <c r="AQ191" s="4"/>
      <c r="AR191" s="4"/>
      <c r="AS191" s="4"/>
      <c r="AT191" s="4"/>
      <c r="AU191" s="4"/>
      <c r="BB191" s="4">
        <v>46127</v>
      </c>
      <c r="BC191" s="4"/>
      <c r="BD191" s="4">
        <v>45819</v>
      </c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>
        <f>COUNTIF('TrainingReq (Ach)'!B:B,Table13[[#This Row],[Job Title]])</f>
        <v>3</v>
      </c>
      <c r="BR191" cm="1">
        <f t="array" aca="1" ref="BR19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1" s="32">
        <f t="shared" ca="1" si="6"/>
        <v>1</v>
      </c>
      <c r="BW191" s="4"/>
      <c r="CD191" s="4"/>
      <c r="CE191" s="4" t="str">
        <f ca="1">IF(
  _xlfn.XLOOKUP($D191 &amp; "-" &amp; CD$2, 'TrainingReq (Ach)'!$G:$G, 'TrainingReq (Ach)'!$F:$F, "2-Year") = "Forever",
  "Valid",
  IF(CD191="", "Not Trained",
     IF(CD191 &lt; TODAY() - 1, "Expired",
        IF(CD191 &lt;= TODAY() + 90, "Expiring", "Valid")
     )
  )
)</f>
        <v>Not Trained</v>
      </c>
      <c r="CG191" s="4"/>
      <c r="CH191" s="4" t="str">
        <f ca="1">IF(
  _xlfn.XLOOKUP($D190 &amp; "-" &amp; CG$2, 'TrainingReq (Ach)'!$G:$G, 'TrainingReq (Ach)'!$F:$F, "2-Year") = "Forever",
  "Valid",
  IF(CG190="", "Not Trained",
     IF(CG190 &lt; TODAY() - 1, "Expired",
        IF(CG190 &lt;= TODAY() + 90, "Expiring", "Valid")
     )
  )
)</f>
        <v>Not Trained</v>
      </c>
      <c r="CI191" t="str">
        <f t="shared" si="7"/>
        <v>Not eligible</v>
      </c>
      <c r="CJ191" t="str">
        <f t="shared" si="8"/>
        <v>Not eligible</v>
      </c>
    </row>
    <row r="192" spans="1:88" x14ac:dyDescent="0.25">
      <c r="A192">
        <v>190</v>
      </c>
      <c r="B192">
        <v>783462</v>
      </c>
      <c r="C192" t="s">
        <v>750</v>
      </c>
      <c r="D192" t="s">
        <v>23</v>
      </c>
      <c r="E192" t="s">
        <v>7</v>
      </c>
      <c r="F192" t="s">
        <v>747</v>
      </c>
      <c r="G192" t="s">
        <v>53</v>
      </c>
      <c r="H192" s="4">
        <v>46595</v>
      </c>
      <c r="I192" s="4" t="str">
        <f ca="1">IF(
  _xlfn.XLOOKUP($D192 &amp; "-" &amp; H$2, 'TrainingReq (Ach)'!G:G, 'TrainingReq (Ach)'!F:F, "2-Year") = "Forever",
  "Valid",
  IF(H192="", "Not Trained",
     IF(H192 &lt; TODAY() - 1, "Expired",
        IF(H192 &lt;= TODAY() + 90, "Expiring", "Valid")
     )
  )
)</f>
        <v>Valid</v>
      </c>
      <c r="J192" s="4">
        <v>46595</v>
      </c>
      <c r="K192" s="4" t="str">
        <f ca="1">IF(
  _xlfn.XLOOKUP($D192 &amp; "-" &amp; J$2, 'TrainingReq (Ach)'!G:G, 'TrainingReq (Ach)'!F:F, "2-Year") = "Forever",
  "Valid",
  IF(J192="", "Not Trained",
     IF(J192 &lt; TODAY() - 1, "Expired",
        IF(J192 &lt;= TODAY() + 90, "Expiring", "Valid")
     )
  )
)</f>
        <v>Valid</v>
      </c>
      <c r="L192" s="4">
        <v>46595</v>
      </c>
      <c r="M192" s="4" t="str">
        <f ca="1">IF(
  _xlfn.XLOOKUP($D192 &amp; "-" &amp; L$2, TrainingMan!$G:$G, TrainingMan!$F:$F, "2-Year") = "Forever",
  "Valid",
  IF(L192="", "Not Trained",
     IF(L192 &lt; TODAY() - 1, "Expired",
        IF(L192 &lt;= TODAY() + 90, "Expiring", "Valid")
     )
  )
)</f>
        <v>Valid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N192" s="4"/>
      <c r="AQ192" s="4"/>
      <c r="AR192" s="4"/>
      <c r="AS192" s="4"/>
      <c r="AT192" s="4"/>
      <c r="AU192" s="4"/>
      <c r="BB192" s="4"/>
      <c r="BC192" s="4"/>
      <c r="BD192" s="4">
        <v>45855</v>
      </c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>
        <f>COUNTIF('TrainingReq (Ach)'!B:B,Table13[[#This Row],[Job Title]])</f>
        <v>3</v>
      </c>
      <c r="BR192" cm="1">
        <f t="array" aca="1" ref="BR19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2" s="32">
        <f t="shared" ca="1" si="6"/>
        <v>1</v>
      </c>
      <c r="BW192" s="4"/>
      <c r="CD192" s="6"/>
      <c r="CE192" s="4" t="str">
        <f ca="1">IF(
  _xlfn.XLOOKUP($D192 &amp; "-" &amp; CD$2, 'TrainingReq (Ach)'!$G:$G, 'TrainingReq (Ach)'!$F:$F, "2-Year") = "Forever",
  "Valid",
  IF(CD192="", "Not Trained",
     IF(CD192 &lt; TODAY() - 1, "Expired",
        IF(CD192 &lt;= TODAY() + 90, "Expiring", "Valid")
     )
  )
)</f>
        <v>Not Trained</v>
      </c>
      <c r="CG192" s="6"/>
      <c r="CH192" s="4" t="str">
        <f ca="1">IF(
  _xlfn.XLOOKUP($D191 &amp; "-" &amp; CG$2, 'TrainingReq (Ach)'!$G:$G, 'TrainingReq (Ach)'!$F:$F, "2-Year") = "Forever",
  "Valid",
  IF(CG191="", "Not Trained",
     IF(CG191 &lt; TODAY() - 1, "Expired",
        IF(CG191 &lt;= TODAY() + 90, "Expiring", "Valid")
     )
  )
)</f>
        <v>Not Trained</v>
      </c>
      <c r="CI192" t="str">
        <f t="shared" si="7"/>
        <v>Not eligible</v>
      </c>
      <c r="CJ192" t="str">
        <f t="shared" si="8"/>
        <v>Not eligible</v>
      </c>
    </row>
    <row r="193" spans="1:88" x14ac:dyDescent="0.25">
      <c r="A193">
        <v>191</v>
      </c>
      <c r="B193">
        <v>783463</v>
      </c>
      <c r="C193" t="s">
        <v>751</v>
      </c>
      <c r="D193" t="s">
        <v>23</v>
      </c>
      <c r="E193" t="s">
        <v>7</v>
      </c>
      <c r="F193" t="s">
        <v>747</v>
      </c>
      <c r="G193" t="s">
        <v>53</v>
      </c>
      <c r="H193" s="4">
        <v>46595</v>
      </c>
      <c r="I193" s="4" t="str">
        <f ca="1">IF(
  _xlfn.XLOOKUP($D193 &amp; "-" &amp; H$2, 'TrainingReq (Ach)'!G:G, 'TrainingReq (Ach)'!F:F, "2-Year") = "Forever",
  "Valid",
  IF(H193="", "Not Trained",
     IF(H193 &lt; TODAY() - 1, "Expired",
        IF(H193 &lt;= TODAY() + 90, "Expiring", "Valid")
     )
  )
)</f>
        <v>Valid</v>
      </c>
      <c r="J193" s="4">
        <v>46595</v>
      </c>
      <c r="K193" s="4" t="str">
        <f ca="1">IF(
  _xlfn.XLOOKUP($D193 &amp; "-" &amp; J$2, 'TrainingReq (Ach)'!G:G, 'TrainingReq (Ach)'!F:F, "2-Year") = "Forever",
  "Valid",
  IF(J193="", "Not Trained",
     IF(J193 &lt; TODAY() - 1, "Expired",
        IF(J193 &lt;= TODAY() + 90, "Expiring", "Valid")
     )
  )
)</f>
        <v>Valid</v>
      </c>
      <c r="L193" s="4">
        <v>46595</v>
      </c>
      <c r="M193" s="4" t="str">
        <f ca="1">IF(
  _xlfn.XLOOKUP($D193 &amp; "-" &amp; L$2, TrainingMan!$G:$G, TrainingMan!$F:$F, "2-Year") = "Forever",
  "Valid",
  IF(L193="", "Not Trained",
     IF(L193 &lt; TODAY() - 1, "Expired",
        IF(L193 &lt;= TODAY() + 90, "Expiring", "Valid")
     )
  )
)</f>
        <v>Valid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N193" s="4"/>
      <c r="AQ193" s="4"/>
      <c r="AR193" s="4"/>
      <c r="AS193" s="4"/>
      <c r="AT193" s="4"/>
      <c r="AU193" s="4"/>
      <c r="BB193" s="4"/>
      <c r="BC193" s="4"/>
      <c r="BD193" s="4">
        <v>45855</v>
      </c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>
        <f>COUNTIF('TrainingReq (Ach)'!B:B,Table13[[#This Row],[Job Title]])</f>
        <v>3</v>
      </c>
      <c r="BR193" cm="1">
        <f t="array" aca="1" ref="BR19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3" s="32">
        <f t="shared" ca="1" si="6"/>
        <v>1</v>
      </c>
      <c r="BW193" s="4"/>
      <c r="CD193" s="6"/>
      <c r="CE193" s="4" t="str">
        <f ca="1">IF(
  _xlfn.XLOOKUP($D193 &amp; "-" &amp; CD$2, 'TrainingReq (Ach)'!$G:$G, 'TrainingReq (Ach)'!$F:$F, "2-Year") = "Forever",
  "Valid",
  IF(CD193="", "Not Trained",
     IF(CD193 &lt; TODAY() - 1, "Expired",
        IF(CD193 &lt;= TODAY() + 90, "Expiring", "Valid")
     )
  )
)</f>
        <v>Not Trained</v>
      </c>
      <c r="CG193" s="6"/>
      <c r="CH193" s="4" t="str">
        <f ca="1">IF(
  _xlfn.XLOOKUP($D192 &amp; "-" &amp; CG$2, 'TrainingReq (Ach)'!$G:$G, 'TrainingReq (Ach)'!$F:$F, "2-Year") = "Forever",
  "Valid",
  IF(CG192="", "Not Trained",
     IF(CG192 &lt; TODAY() - 1, "Expired",
        IF(CG192 &lt;= TODAY() + 90, "Expiring", "Valid")
     )
  )
)</f>
        <v>Not Trained</v>
      </c>
      <c r="CI193" t="str">
        <f t="shared" si="7"/>
        <v>Not eligible</v>
      </c>
      <c r="CJ193" t="str">
        <f t="shared" si="8"/>
        <v>Not eligible</v>
      </c>
    </row>
    <row r="194" spans="1:88" x14ac:dyDescent="0.25">
      <c r="A194">
        <v>192</v>
      </c>
      <c r="B194">
        <v>783464</v>
      </c>
      <c r="C194" t="s">
        <v>752</v>
      </c>
      <c r="D194" t="s">
        <v>23</v>
      </c>
      <c r="E194" t="s">
        <v>7</v>
      </c>
      <c r="F194" t="s">
        <v>747</v>
      </c>
      <c r="G194" t="s">
        <v>53</v>
      </c>
      <c r="H194" s="4">
        <v>46595</v>
      </c>
      <c r="I194" s="4" t="str">
        <f ca="1">IF(
  _xlfn.XLOOKUP($D194 &amp; "-" &amp; H$2, 'TrainingReq (Ach)'!G:G, 'TrainingReq (Ach)'!F:F, "2-Year") = "Forever",
  "Valid",
  IF(H194="", "Not Trained",
     IF(H194 &lt; TODAY() - 1, "Expired",
        IF(H194 &lt;= TODAY() + 90, "Expiring", "Valid")
     )
  )
)</f>
        <v>Valid</v>
      </c>
      <c r="J194" s="4">
        <v>46595</v>
      </c>
      <c r="K194" s="4" t="str">
        <f ca="1">IF(
  _xlfn.XLOOKUP($D194 &amp; "-" &amp; J$2, 'TrainingReq (Ach)'!G:G, 'TrainingReq (Ach)'!F:F, "2-Year") = "Forever",
  "Valid",
  IF(J194="", "Not Trained",
     IF(J194 &lt; TODAY() - 1, "Expired",
        IF(J194 &lt;= TODAY() + 90, "Expiring", "Valid")
     )
  )
)</f>
        <v>Valid</v>
      </c>
      <c r="L194" s="4">
        <v>46595</v>
      </c>
      <c r="M194" s="4" t="str">
        <f ca="1">IF(
  _xlfn.XLOOKUP($D194 &amp; "-" &amp; L$2, TrainingMan!$G:$G, TrainingMan!$F:$F, "2-Year") = "Forever",
  "Valid",
  IF(L194="", "Not Trained",
     IF(L194 &lt; TODAY() - 1, "Expired",
        IF(L194 &lt;= TODAY() + 90, "Expiring", "Valid")
     )
  )
)</f>
        <v>Valid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N194" s="4"/>
      <c r="AQ194" s="4"/>
      <c r="AR194" s="4"/>
      <c r="AS194" s="4"/>
      <c r="AT194" s="4"/>
      <c r="AU194" s="4"/>
      <c r="BB194" s="4"/>
      <c r="BC194" s="4"/>
      <c r="BD194" s="4">
        <v>45855</v>
      </c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>
        <f>COUNTIF('TrainingReq (Ach)'!B:B,Table13[[#This Row],[Job Title]])</f>
        <v>3</v>
      </c>
      <c r="BR194" cm="1">
        <f t="array" aca="1" ref="BR19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4" s="32">
        <f t="shared" ca="1" si="6"/>
        <v>1</v>
      </c>
      <c r="BW194" s="4"/>
      <c r="CD194" s="6"/>
      <c r="CE194" s="4" t="str">
        <f ca="1">IF(
  _xlfn.XLOOKUP($D194 &amp; "-" &amp; CD$2, 'TrainingReq (Ach)'!$G:$G, 'TrainingReq (Ach)'!$F:$F, "2-Year") = "Forever",
  "Valid",
  IF(CD194="", "Not Trained",
     IF(CD194 &lt; TODAY() - 1, "Expired",
        IF(CD194 &lt;= TODAY() + 90, "Expiring", "Valid")
     )
  )
)</f>
        <v>Not Trained</v>
      </c>
      <c r="CG194" s="6"/>
      <c r="CH194" s="4" t="str">
        <f ca="1">IF(
  _xlfn.XLOOKUP($D193 &amp; "-" &amp; CG$2, 'TrainingReq (Ach)'!$G:$G, 'TrainingReq (Ach)'!$F:$F, "2-Year") = "Forever",
  "Valid",
  IF(CG193="", "Not Trained",
     IF(CG193 &lt; TODAY() - 1, "Expired",
        IF(CG193 &lt;= TODAY() + 90, "Expiring", "Valid")
     )
  )
)</f>
        <v>Not Trained</v>
      </c>
      <c r="CI194" t="str">
        <f t="shared" si="7"/>
        <v>Not eligible</v>
      </c>
      <c r="CJ194" t="str">
        <f t="shared" si="8"/>
        <v>Not eligible</v>
      </c>
    </row>
    <row r="195" spans="1:88" x14ac:dyDescent="0.25">
      <c r="A195">
        <v>193</v>
      </c>
      <c r="B195">
        <v>783435</v>
      </c>
      <c r="C195" t="s">
        <v>753</v>
      </c>
      <c r="D195" t="s">
        <v>11</v>
      </c>
      <c r="E195" t="s">
        <v>11</v>
      </c>
      <c r="G195" t="s">
        <v>59</v>
      </c>
      <c r="H195" s="4">
        <v>46595</v>
      </c>
      <c r="I195" s="4" t="str">
        <f ca="1">IF(
  _xlfn.XLOOKUP($D195 &amp; "-" &amp; H$2, 'TrainingReq (Ach)'!G:G, 'TrainingReq (Ach)'!F:F, "2-Year") = "Forever",
  "Valid",
  IF(H195="", "Not Trained",
     IF(H195 &lt; TODAY() - 1, "Expired",
        IF(H195 &lt;= TODAY() + 90, "Expiring", "Valid")
     )
  )
)</f>
        <v>Valid</v>
      </c>
      <c r="J195" s="4">
        <v>46595</v>
      </c>
      <c r="K195" s="4" t="str">
        <f ca="1">IF(
  _xlfn.XLOOKUP($D195 &amp; "-" &amp; J$2, 'TrainingReq (Ach)'!G:G, 'TrainingReq (Ach)'!F:F, "2-Year") = "Forever",
  "Valid",
  IF(J195="", "Not Trained",
     IF(J195 &lt; TODAY() - 1, "Expired",
        IF(J195 &lt;= TODAY() + 90, "Expiring", "Valid")
     )
  )
)</f>
        <v>Valid</v>
      </c>
      <c r="L195" s="4">
        <v>46595</v>
      </c>
      <c r="M195" s="4" t="str">
        <f ca="1">IF(
  _xlfn.XLOOKUP($D195 &amp; "-" &amp; L$2, TrainingMan!$G:$G, TrainingMan!$F:$F, "2-Year") = "Forever",
  "Valid",
  IF(L195="", "Not Trained",
     IF(L195 &lt; TODAY() - 1, "Expired",
        IF(L195 &lt;= TODAY() + 90, "Expiring", "Valid")
     )
  )
)</f>
        <v>Valid</v>
      </c>
      <c r="N195" s="4">
        <v>46794</v>
      </c>
      <c r="O195" s="4"/>
      <c r="P195" s="4">
        <v>46794</v>
      </c>
      <c r="Q195" s="4"/>
      <c r="R195" s="4">
        <v>46794</v>
      </c>
      <c r="S195" s="4"/>
      <c r="T195" s="4">
        <v>46795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N195" s="4"/>
      <c r="AQ195" s="4"/>
      <c r="AR195" s="4"/>
      <c r="AS195" s="4"/>
      <c r="AT195" s="4"/>
      <c r="AU195" s="4"/>
      <c r="BB195" s="4"/>
      <c r="BC195" s="4"/>
      <c r="BD195" s="4">
        <v>45819</v>
      </c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>
        <f>COUNTIF('TrainingReq (Ach)'!B:B,Table13[[#This Row],[Job Title]])</f>
        <v>3</v>
      </c>
      <c r="BR195" cm="1">
        <f t="array" aca="1" ref="BR19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195" s="32">
        <f t="shared" ref="BS195:BS209" ca="1" si="9">BR195/BQ195</f>
        <v>1</v>
      </c>
      <c r="BW195" s="4"/>
      <c r="CD195" s="4"/>
      <c r="CE195" s="4" t="str">
        <f ca="1">IF(
  _xlfn.XLOOKUP($D195 &amp; "-" &amp; CD$2, 'TrainingReq (Ach)'!$G:$G, 'TrainingReq (Ach)'!$F:$F, "2-Year") = "Forever",
  "Valid",
  IF(CD195="", "Not Trained",
     IF(CD195 &lt; TODAY() - 1, "Expired",
        IF(CD195 &lt;= TODAY() + 90, "Expiring", "Valid")
     )
  )
)</f>
        <v>Not Trained</v>
      </c>
      <c r="CG195" s="4"/>
      <c r="CH195" s="4" t="str">
        <f ca="1">IF(
  _xlfn.XLOOKUP($D194 &amp; "-" &amp; CG$2, 'TrainingReq (Ach)'!$G:$G, 'TrainingReq (Ach)'!$F:$F, "2-Year") = "Forever",
  "Valid",
  IF(CG194="", "Not Trained",
     IF(CG194 &lt; TODAY() - 1, "Expired",
        IF(CG194 &lt;= TODAY() + 90, "Expiring", "Valid")
     )
  )
)</f>
        <v>Not Trained</v>
      </c>
      <c r="CI195" t="str">
        <f t="shared" ref="CI195:CI209" si="10">IF(BW195&lt;&gt;"","Eligible","Not eligible")</f>
        <v>Not eligible</v>
      </c>
      <c r="CJ195" t="str">
        <f t="shared" ref="CJ195:CJ209" si="11">IF(BX195&lt;&gt;"","Eligible","Not eligible")</f>
        <v>Not eligible</v>
      </c>
    </row>
    <row r="196" spans="1:88" x14ac:dyDescent="0.25">
      <c r="A196">
        <v>194</v>
      </c>
      <c r="B196">
        <v>584477</v>
      </c>
      <c r="C196" t="s">
        <v>120</v>
      </c>
      <c r="D196" t="s">
        <v>18</v>
      </c>
      <c r="G196" t="s">
        <v>53</v>
      </c>
      <c r="H196" s="4">
        <v>46817</v>
      </c>
      <c r="I196" s="4" t="str">
        <f ca="1">IF(
  _xlfn.XLOOKUP($D196 &amp; "-" &amp; H$2, 'TrainingReq (Ach)'!G:G, 'TrainingReq (Ach)'!F:F, "2-Year") = "Forever",
  "Valid",
  IF(H196="", "Not Trained",
     IF(H196 &lt; TODAY() - 1, "Expired",
        IF(H196 &lt;= TODAY() + 90, "Expiring", "Valid")
     )
  )
)</f>
        <v>Valid</v>
      </c>
      <c r="J196" s="4">
        <v>46820</v>
      </c>
      <c r="K196" s="4" t="str">
        <f ca="1">IF(
  _xlfn.XLOOKUP($D196 &amp; "-" &amp; J$2, 'TrainingReq (Ach)'!G:G, 'TrainingReq (Ach)'!F:F, "2-Year") = "Forever",
  "Valid",
  IF(J196="", "Not Trained",
     IF(J196 &lt; TODAY() - 1, "Expired",
        IF(J196 &lt;= TODAY() + 90, "Expiring", "Valid")
     )
  )
)</f>
        <v>Valid</v>
      </c>
      <c r="L196" s="4">
        <v>46822</v>
      </c>
      <c r="M196" s="4" t="str">
        <f ca="1">IF(
  _xlfn.XLOOKUP($D196 &amp; "-" &amp; L$2, TrainingMan!$G:$G, TrainingMan!$F:$F, "2-Year") = "Forever",
  "Valid",
  IF(L196="", "Not Trained",
     IF(L196 &lt; TODAY() - 1, "Expired",
        IF(L196 &lt;= TODAY() + 90, "Expiring", "Valid")
     )
  )
)</f>
        <v>Valid</v>
      </c>
      <c r="N196" s="4">
        <v>46851</v>
      </c>
      <c r="O196" s="4" t="str">
        <f ca="1">IF(
  _xlfn.XLOOKUP($D196 &amp; "-" &amp; N$2, TrainingMan!$G:$G, TrainingMan!$F:$F, "2-Year") = "Forever",
  "Valid",
  IF(N196="", "Not Trained",
     IF(N196 &lt; TODAY() - 1, "Expired",
        IF(N196 &lt;= TODAY() + 90, "Expiring", "Valid")
     )
  )
)</f>
        <v>Valid</v>
      </c>
      <c r="P196" s="4">
        <v>46851</v>
      </c>
      <c r="Q196" s="4" t="str">
        <f ca="1">IF(
  _xlfn.XLOOKUP($D196 &amp; "-" &amp; P$2, TrainingMan!$G:$G, TrainingMan!$F:$F, "2-Year") = "Forever",
  "Valid",
  IF(P196="", "Not Trained",
     IF(P196 &lt; TODAY() - 1, "Expired",
        IF(P196 &lt;= TODAY() + 90, "Expiring", "Valid")
     )
  )
)</f>
        <v>Valid</v>
      </c>
      <c r="R196" s="4">
        <v>46851</v>
      </c>
      <c r="S196" s="4" t="str">
        <f ca="1">IF(
  _xlfn.XLOOKUP($D196 &amp; "-" &amp; R$2, TrainingMan!$G:$G, TrainingMan!$F:$F, "2-Year") = "Forever",
  "Valid",
  IF(R196="", "Not Trained",
     IF(R196 &lt; TODAY() - 1, "Expired",
        IF(R196 &lt;= TODAY() + 90, "Expiring", "Valid")
     )
  )
)</f>
        <v>Valid</v>
      </c>
      <c r="T196" s="4">
        <v>46852</v>
      </c>
      <c r="U196" s="4" t="str">
        <f ca="1">IF(
  _xlfn.XLOOKUP($D196 &amp; "-" &amp; T$2, TrainingMan!$G:$G, TrainingMan!$F:$F, "2-Year") = "Forever",
  "Valid",
  IF(T196="", "Not Trained",
     IF(T196 &lt; TODAY() - 1, "Expired",
        IF(T196 &lt;= TODAY() + 90, "Expiring", "Valid")
     )
  )
)</f>
        <v>Valid</v>
      </c>
      <c r="V196" s="4">
        <v>46866</v>
      </c>
      <c r="W196" s="4" t="str">
        <f ca="1">IF(
  _xlfn.XLOOKUP($D196 &amp; "-" &amp; V$2, TrainingMan!$G:$G, TrainingMan!$F:$F, "2-Year") = "Forever",
  "Valid",
  IF(V196="", "Not Trained",
     IF(V196 &lt; TODAY() - 1, "Expired",
        IF(V196 &lt;= TODAY() + 90, "Expiring", "Valid")
     )
  )
)</f>
        <v>Valid</v>
      </c>
      <c r="X196" s="4">
        <v>46824</v>
      </c>
      <c r="Y196" s="4" t="str">
        <f ca="1">IF(
  _xlfn.XLOOKUP($D196 &amp; "-" &amp; X$2, TrainingMan!$G:$G, TrainingMan!$F:$F, "2-Year") = "Forever",
  "Valid",
  IF(X196="", "Not Trained",
     IF(X196 &lt; TODAY() - 1, "Expired",
        IF(X196 &lt;= TODAY() + 90, "Expiring", "Valid")
     )
  )
)</f>
        <v>Valid</v>
      </c>
      <c r="Z196" s="4">
        <v>46872</v>
      </c>
      <c r="AA196" s="4" t="str">
        <f ca="1">IF(LEN(TRIM(Z196)) = 0, "Not Trained",
  IF(_xlfn.XLOOKUP($D196 &amp; "-" &amp; Z$2, TrainingMan!$G:$G, TrainingMan!$F:$F, "2-Year") = "Forever", "Valid",
    IF(Z196 &lt; TODAY() - 1, "Expired",
      IF(Z196 &lt;= TODAY() + 90, "Expiring", "Valid")
    )
  )
)</f>
        <v>Valid</v>
      </c>
      <c r="AB196" s="4"/>
      <c r="AC196" s="4"/>
      <c r="AD196" s="4"/>
      <c r="AE196" s="4"/>
      <c r="AF196" s="4"/>
      <c r="AG196" s="4"/>
      <c r="AH196" s="4"/>
      <c r="AI196" s="4"/>
      <c r="AJ196" s="4"/>
      <c r="AN196" s="4"/>
      <c r="AQ196" s="4"/>
      <c r="AR196" s="4"/>
      <c r="AS196" s="4"/>
      <c r="AT196" s="4"/>
      <c r="AU196" s="4"/>
      <c r="BB196" s="4">
        <v>46071</v>
      </c>
      <c r="BC196" s="4"/>
      <c r="BD196" s="4">
        <v>46029</v>
      </c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>
        <f>COUNTIF('TrainingReq (Ach)'!B:B,Table13[[#This Row],[Job Title]])</f>
        <v>15</v>
      </c>
      <c r="BR196" cm="1">
        <f t="array" aca="1" ref="BR19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96" s="32">
        <f t="shared" ca="1" si="9"/>
        <v>0.8</v>
      </c>
      <c r="BW196" s="4"/>
      <c r="CD196" s="6"/>
      <c r="CE196" s="4" t="str">
        <f ca="1">IF(
  _xlfn.XLOOKUP($D196 &amp; "-" &amp; CC$2, '[1]TrainingReq (Ach)'!$G:$G, '[1]TrainingReq (Ach)'!$F:$F, "2-Year") = "Forever",
  "Valid",
  IF(CC196="", "Not Trained",
     IF(CC196 &lt; TODAY() - 1, "Expired",
        IF(CC196 &lt;= TODAY() + 90, "Expiring", "Valid")
     )
  )
)</f>
        <v>Not Trained</v>
      </c>
      <c r="CG196" s="6"/>
      <c r="CH196" s="4" t="str">
        <f ca="1">IF(
  _xlfn.XLOOKUP($D196 &amp; "-" &amp; CF$2, '[1]TrainingReq (Ach)'!$G:$G, '[1]TrainingReq (Ach)'!$F:$F, "2-Year") = "Forever",
  "Valid",
  IF(CF196="", "Not Trained",
     IF(CF196 &lt; TODAY() - 1, "Expired",
        IF(CF196 &lt;= TODAY() + 90, "Expiring", "Valid")
     )
  )
)</f>
        <v>Not Trained</v>
      </c>
      <c r="CI196" t="str">
        <f t="shared" si="10"/>
        <v>Not eligible</v>
      </c>
      <c r="CJ196" t="str">
        <f t="shared" si="11"/>
        <v>Not eligible</v>
      </c>
    </row>
    <row r="197" spans="1:88" x14ac:dyDescent="0.25">
      <c r="A197">
        <v>195</v>
      </c>
      <c r="B197">
        <v>584541</v>
      </c>
      <c r="C197" t="s">
        <v>114</v>
      </c>
      <c r="D197" t="s">
        <v>15</v>
      </c>
      <c r="G197" t="s">
        <v>53</v>
      </c>
      <c r="H197" s="4">
        <v>46817</v>
      </c>
      <c r="I197" s="4" t="str">
        <f ca="1">IF(
  _xlfn.XLOOKUP($D197 &amp; "-" &amp; H$2, 'TrainingReq (Ach)'!G:G, 'TrainingReq (Ach)'!F:F, "2-Year") = "Forever",
  "Valid",
  IF(H197="", "Not Trained",
     IF(H197 &lt; TODAY() - 1, "Expired",
        IF(H197 &lt;= TODAY() + 90, "Expiring", "Valid")
     )
  )
)</f>
        <v>Valid</v>
      </c>
      <c r="J197" s="4">
        <v>46820</v>
      </c>
      <c r="K197" s="4" t="str">
        <f ca="1">IF(
  _xlfn.XLOOKUP($D197 &amp; "-" &amp; J$2, 'TrainingReq (Ach)'!G:G, 'TrainingReq (Ach)'!F:F, "2-Year") = "Forever",
  "Valid",
  IF(J197="", "Not Trained",
     IF(J197 &lt; TODAY() - 1, "Expired",
        IF(J197 &lt;= TODAY() + 90, "Expiring", "Valid")
     )
  )
)</f>
        <v>Valid</v>
      </c>
      <c r="L197" s="4">
        <v>46822</v>
      </c>
      <c r="M197" s="4" t="str">
        <f ca="1">IF(
  _xlfn.XLOOKUP($D197 &amp; "-" &amp; L$2, TrainingMan!$G:$G, TrainingMan!$F:$F, "2-Year") = "Forever",
  "Valid",
  IF(L197="", "Not Trained",
     IF(L197 &lt; TODAY() - 1, "Expired",
        IF(L197 &lt;= TODAY() + 90, "Expiring", "Valid")
     )
  )
)</f>
        <v>Valid</v>
      </c>
      <c r="N197" s="4">
        <v>46851</v>
      </c>
      <c r="O197" s="4" t="str">
        <f ca="1">IF(
  _xlfn.XLOOKUP($D197 &amp; "-" &amp; N$2, TrainingMan!$G:$G, TrainingMan!$F:$F, "2-Year") = "Forever",
  "Valid",
  IF(N197="", "Not Trained",
     IF(N197 &lt; TODAY() - 1, "Expired",
        IF(N197 &lt;= TODAY() + 90, "Expiring", "Valid")
     )
  )
)</f>
        <v>Valid</v>
      </c>
      <c r="P197" s="4">
        <v>46851</v>
      </c>
      <c r="Q197" s="4" t="str">
        <f ca="1">IF(
  _xlfn.XLOOKUP($D197 &amp; "-" &amp; P$2, TrainingMan!$G:$G, TrainingMan!$F:$F, "2-Year") = "Forever",
  "Valid",
  IF(P197="", "Not Trained",
     IF(P197 &lt; TODAY() - 1, "Expired",
        IF(P197 &lt;= TODAY() + 90, "Expiring", "Valid")
     )
  )
)</f>
        <v>Valid</v>
      </c>
      <c r="R197" s="4">
        <v>46851</v>
      </c>
      <c r="S197" s="4" t="str">
        <f ca="1">IF(
  _xlfn.XLOOKUP($D197 &amp; "-" &amp; R$2, TrainingMan!$G:$G, TrainingMan!$F:$F, "2-Year") = "Forever",
  "Valid",
  IF(R197="", "Not Trained",
     IF(R197 &lt; TODAY() - 1, "Expired",
        IF(R197 &lt;= TODAY() + 90, "Expiring", "Valid")
     )
  )
)</f>
        <v>Valid</v>
      </c>
      <c r="T197" s="4">
        <v>46852</v>
      </c>
      <c r="U197" s="4" t="str">
        <f ca="1">IF(
  _xlfn.XLOOKUP($D197 &amp; "-" &amp; T$2, TrainingMan!$G:$G, TrainingMan!$F:$F, "2-Year") = "Forever",
  "Valid",
  IF(T197="", "Not Trained",
     IF(T197 &lt; TODAY() - 1, "Expired",
        IF(T197 &lt;= TODAY() + 90, "Expiring", "Valid")
     )
  )
)</f>
        <v>Valid</v>
      </c>
      <c r="V197" s="4">
        <v>46866</v>
      </c>
      <c r="W197" s="4" t="str">
        <f ca="1">IF(
  _xlfn.XLOOKUP($D197 &amp; "-" &amp; V$2, TrainingMan!$G:$G, TrainingMan!$F:$F, "2-Year") = "Forever",
  "Valid",
  IF(V197="", "Not Trained",
     IF(V197 &lt; TODAY() - 1, "Expired",
        IF(V197 &lt;= TODAY() + 90, "Expiring", "Valid")
     )
  )
)</f>
        <v>Valid</v>
      </c>
      <c r="X197" s="4">
        <v>46824</v>
      </c>
      <c r="Y197" s="4" t="str">
        <f ca="1">IF(
  _xlfn.XLOOKUP($D197 &amp; "-" &amp; X$2, TrainingMan!$G:$G, TrainingMan!$F:$F, "2-Year") = "Forever",
  "Valid",
  IF(X197="", "Not Trained",
     IF(X197 &lt; TODAY() - 1, "Expired",
        IF(X197 &lt;= TODAY() + 90, "Expiring", "Valid")
     )
  )
)</f>
        <v>Valid</v>
      </c>
      <c r="Z197" s="4">
        <v>46872</v>
      </c>
      <c r="AA197" s="4" t="str">
        <f ca="1">IF(LEN(TRIM(Z197)) = 0, "Not Trained",
  IF(_xlfn.XLOOKUP($D197 &amp; "-" &amp; Z$2, TrainingMan!$G:$G, TrainingMan!$F:$F, "2-Year") = "Forever", "Valid",
    IF(Z197 &lt; TODAY() - 1, "Expired",
      IF(Z197 &lt;= TODAY() + 90, "Expiring", "Valid")
    )
  )
)</f>
        <v>Valid</v>
      </c>
      <c r="AB197" s="4">
        <v>46132</v>
      </c>
      <c r="AC197" s="4"/>
      <c r="AD197" s="4"/>
      <c r="AE197" s="4"/>
      <c r="AF197" s="4"/>
      <c r="AG197" s="4"/>
      <c r="AH197" s="4"/>
      <c r="AI197" s="4"/>
      <c r="AJ197" s="4"/>
      <c r="AN197" s="4"/>
      <c r="AQ197" s="4"/>
      <c r="AR197" s="4"/>
      <c r="AS197" s="4"/>
      <c r="AT197" s="4"/>
      <c r="AU197" s="4"/>
      <c r="BB197" s="4">
        <v>46195</v>
      </c>
      <c r="BC197" s="4"/>
      <c r="BD197" s="4">
        <v>46128</v>
      </c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>
        <f>COUNTIF('TrainingReq (Ach)'!B:B,Table13[[#This Row],[Job Title]])</f>
        <v>13</v>
      </c>
      <c r="BR197" cm="1">
        <f t="array" aca="1" ref="BR19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97" s="32">
        <f t="shared" ca="1" si="9"/>
        <v>0.92307692307692313</v>
      </c>
      <c r="BW197" s="4"/>
      <c r="CD197" s="6"/>
      <c r="CE197" s="4" t="str">
        <f ca="1">IF(
  _xlfn.XLOOKUP($D197 &amp; "-" &amp; CC$2, '[1]TrainingReq (Ach)'!$G:$G, '[1]TrainingReq (Ach)'!$F:$F, "2-Year") = "Forever",
  "Valid",
  IF(CC197="", "Not Trained",
     IF(CC197 &lt; TODAY() - 1, "Expired",
        IF(CC197 &lt;= TODAY() + 90, "Expiring", "Valid")
     )
  )
)</f>
        <v>Not Trained</v>
      </c>
      <c r="CG197" s="6"/>
      <c r="CH197" s="4" t="str">
        <f ca="1">IF(
  _xlfn.XLOOKUP($D197 &amp; "-" &amp; CF$2, '[1]TrainingReq (Ach)'!$G:$G, '[1]TrainingReq (Ach)'!$F:$F, "2-Year") = "Forever",
  "Valid",
  IF(CF197="", "Not Trained",
     IF(CF197 &lt; TODAY() - 1, "Expired",
        IF(CF197 &lt;= TODAY() + 90, "Expiring", "Valid")
     )
  )
)</f>
        <v>Not Trained</v>
      </c>
      <c r="CI197" t="str">
        <f t="shared" si="10"/>
        <v>Not eligible</v>
      </c>
      <c r="CJ197" t="str">
        <f t="shared" si="11"/>
        <v>Not eligible</v>
      </c>
    </row>
    <row r="198" spans="1:88" x14ac:dyDescent="0.25">
      <c r="A198">
        <v>196</v>
      </c>
      <c r="B198">
        <v>584556</v>
      </c>
      <c r="C198" t="s">
        <v>112</v>
      </c>
      <c r="D198" t="s">
        <v>15</v>
      </c>
      <c r="G198" t="s">
        <v>53</v>
      </c>
      <c r="H198" s="4">
        <v>46851</v>
      </c>
      <c r="I198" s="4" t="str">
        <f ca="1">IF(
  _xlfn.XLOOKUP($D198 &amp; "-" &amp; H$2, 'TrainingReq (Ach)'!G:G, 'TrainingReq (Ach)'!F:F, "2-Year") = "Forever",
  "Valid",
  IF(H198="", "Not Trained",
     IF(H198 &lt; TODAY() - 1, "Expired",
        IF(H198 &lt;= TODAY() + 90, "Expiring", "Valid")
     )
  )
)</f>
        <v>Valid</v>
      </c>
      <c r="J198" s="4">
        <v>46866</v>
      </c>
      <c r="K198" s="4" t="str">
        <f ca="1">IF(
  _xlfn.XLOOKUP($D198 &amp; "-" &amp; J$2, 'TrainingReq (Ach)'!G:G, 'TrainingReq (Ach)'!F:F, "2-Year") = "Forever",
  "Valid",
  IF(J198="", "Not Trained",
     IF(J198 &lt; TODAY() - 1, "Expired",
        IF(J198 &lt;= TODAY() + 90, "Expiring", "Valid")
     )
  )
)</f>
        <v>Valid</v>
      </c>
      <c r="L198" s="4">
        <v>46872</v>
      </c>
      <c r="M198" s="4" t="str">
        <f ca="1">IF(
  _xlfn.XLOOKUP($D198 &amp; "-" &amp; L$2, TrainingMan!$G:$G, TrainingMan!$F:$F, "2-Year") = "Forever",
  "Valid",
  IF(L198="", "Not Trained",
     IF(L198 &lt; TODAY() - 1, "Expired",
        IF(L198 &lt;= TODAY() + 90, "Expiring", "Valid")
     )
  )
)</f>
        <v>Valid</v>
      </c>
      <c r="N198" s="4">
        <v>46891</v>
      </c>
      <c r="O198" s="4" t="str">
        <f ca="1">IF(
  _xlfn.XLOOKUP($D198 &amp; "-" &amp; N$2, TrainingMan!$G:$G, TrainingMan!$F:$F, "2-Year") = "Forever",
  "Valid",
  IF(N198="", "Not Trained",
     IF(N198 &lt; TODAY() - 1, "Expired",
        IF(N198 &lt;= TODAY() + 90, "Expiring", "Valid")
     )
  )
)</f>
        <v>Valid</v>
      </c>
      <c r="P198" s="4">
        <v>46891</v>
      </c>
      <c r="Q198" s="4" t="str">
        <f ca="1">IF(
  _xlfn.XLOOKUP($D198 &amp; "-" &amp; P$2, TrainingMan!$G:$G, TrainingMan!$F:$F, "2-Year") = "Forever",
  "Valid",
  IF(P198="", "Not Trained",
     IF(P198 &lt; TODAY() - 1, "Expired",
        IF(P198 &lt;= TODAY() + 90, "Expiring", "Valid")
     )
  )
)</f>
        <v>Valid</v>
      </c>
      <c r="R198" s="4">
        <v>46891</v>
      </c>
      <c r="S198" s="4" t="str">
        <f ca="1">IF(
  _xlfn.XLOOKUP($D198 &amp; "-" &amp; R$2, TrainingMan!$G:$G, TrainingMan!$F:$F, "2-Year") = "Forever",
  "Valid",
  IF(R198="", "Not Trained",
     IF(R198 &lt; TODAY() - 1, "Expired",
        IF(R198 &lt;= TODAY() + 90, "Expiring", "Valid")
     )
  )
)</f>
        <v>Valid</v>
      </c>
      <c r="T198" s="4">
        <v>46892</v>
      </c>
      <c r="U198" s="4" t="str">
        <f ca="1">IF(
  _xlfn.XLOOKUP($D198 &amp; "-" &amp; T$2, TrainingMan!$G:$G, TrainingMan!$F:$F, "2-Year") = "Forever",
  "Valid",
  IF(T198="", "Not Trained",
     IF(T198 &lt; TODAY() - 1, "Expired",
        IF(T198 &lt;= TODAY() + 90, "Expiring", "Valid")
     )
  )
)</f>
        <v>Valid</v>
      </c>
      <c r="V198" s="4">
        <v>46885</v>
      </c>
      <c r="W198" s="4" t="str">
        <f ca="1">IF(
  _xlfn.XLOOKUP($D198 &amp; "-" &amp; V$2, TrainingMan!$G:$G, TrainingMan!$F:$F, "2-Year") = "Forever",
  "Valid",
  IF(V198="", "Not Trained",
     IF(V198 &lt; TODAY() - 1, "Expired",
        IF(V198 &lt;= TODAY() + 90, "Expiring", "Valid")
     )
  )
)</f>
        <v>Valid</v>
      </c>
      <c r="X198" s="4">
        <v>46943</v>
      </c>
      <c r="Y198" s="4" t="str">
        <f ca="1">IF(
  _xlfn.XLOOKUP($D198 &amp; "-" &amp; X$2, TrainingMan!$G:$G, TrainingMan!$F:$F, "2-Year") = "Forever",
  "Valid",
  IF(X198="", "Not Trained",
     IF(X198 &lt; TODAY() - 1, "Expired",
        IF(X198 &lt;= TODAY() + 90, "Expiring", "Valid")
     )
  )
)</f>
        <v>Valid</v>
      </c>
      <c r="Z198" s="4">
        <v>46915</v>
      </c>
      <c r="AA198" s="4" t="str">
        <f ca="1">IF(LEN(TRIM(Z198)) = 0, "Not Trained",
  IF(_xlfn.XLOOKUP($D198 &amp; "-" &amp; Z$2, TrainingMan!$G:$G, TrainingMan!$F:$F, "2-Year") = "Forever", "Valid",
    IF(Z198 &lt; TODAY() - 1, "Expired",
      IF(Z198 &lt;= TODAY() + 90, "Expiring", "Valid")
    )
  )
)</f>
        <v>Valid</v>
      </c>
      <c r="AB198" s="4">
        <v>46132</v>
      </c>
      <c r="AC198" s="4"/>
      <c r="AD198" s="4"/>
      <c r="AE198" s="4"/>
      <c r="AF198" s="4"/>
      <c r="AG198" s="4"/>
      <c r="AH198" s="4"/>
      <c r="AI198" s="4"/>
      <c r="AJ198" s="4"/>
      <c r="AN198" s="4"/>
      <c r="AQ198" s="4"/>
      <c r="AR198" s="4"/>
      <c r="AS198" s="4"/>
      <c r="AT198" s="4"/>
      <c r="AU198" s="4"/>
      <c r="BB198" s="4">
        <v>46190</v>
      </c>
      <c r="BC198" s="4"/>
      <c r="BD198" s="4">
        <v>46128</v>
      </c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>
        <f>COUNTIF('TrainingReq (Ach)'!B:B,Table13[[#This Row],[Job Title]])</f>
        <v>13</v>
      </c>
      <c r="BR198" cm="1">
        <f t="array" aca="1" ref="BR19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98" s="32">
        <f t="shared" ca="1" si="9"/>
        <v>0.92307692307692313</v>
      </c>
      <c r="BW198" s="4"/>
      <c r="CD198" s="6"/>
      <c r="CE198" s="4" t="str">
        <f ca="1">IF(
  _xlfn.XLOOKUP($D198 &amp; "-" &amp; CC$2, '[1]TrainingReq (Ach)'!$G:$G, '[1]TrainingReq (Ach)'!$F:$F, "2-Year") = "Forever",
  "Valid",
  IF(CC198="", "Not Trained",
     IF(CC198 &lt; TODAY() - 1, "Expired",
        IF(CC198 &lt;= TODAY() + 90, "Expiring", "Valid")
     )
  )
)</f>
        <v>Not Trained</v>
      </c>
      <c r="CG198" s="6"/>
      <c r="CH198" s="4" t="str">
        <f ca="1">IF(
  _xlfn.XLOOKUP($D198 &amp; "-" &amp; CF$2, '[1]TrainingReq (Ach)'!$G:$G, '[1]TrainingReq (Ach)'!$F:$F, "2-Year") = "Forever",
  "Valid",
  IF(CF198="", "Not Trained",
     IF(CF198 &lt; TODAY() - 1, "Expired",
        IF(CF198 &lt;= TODAY() + 90, "Expiring", "Valid")
     )
  )
)</f>
        <v>Not Trained</v>
      </c>
      <c r="CI198" t="str">
        <f t="shared" si="10"/>
        <v>Not eligible</v>
      </c>
      <c r="CJ198" t="str">
        <f t="shared" si="11"/>
        <v>Not eligible</v>
      </c>
    </row>
    <row r="199" spans="1:88" x14ac:dyDescent="0.25">
      <c r="A199">
        <v>197</v>
      </c>
      <c r="B199">
        <v>584557</v>
      </c>
      <c r="C199" t="s">
        <v>117</v>
      </c>
      <c r="D199" t="s">
        <v>15</v>
      </c>
      <c r="G199" t="s">
        <v>53</v>
      </c>
      <c r="H199" s="4">
        <v>46851</v>
      </c>
      <c r="I199" s="4" t="str">
        <f ca="1">IF(
  _xlfn.XLOOKUP($D199 &amp; "-" &amp; H$2, 'TrainingReq (Ach)'!G:G, 'TrainingReq (Ach)'!F:F, "2-Year") = "Forever",
  "Valid",
  IF(H199="", "Not Trained",
     IF(H199 &lt; TODAY() - 1, "Expired",
        IF(H199 &lt;= TODAY() + 90, "Expiring", "Valid")
     )
  )
)</f>
        <v>Valid</v>
      </c>
      <c r="J199" s="4">
        <v>46880</v>
      </c>
      <c r="K199" s="4" t="str">
        <f ca="1">IF(
  _xlfn.XLOOKUP($D199 &amp; "-" &amp; J$2, 'TrainingReq (Ach)'!G:G, 'TrainingReq (Ach)'!F:F, "2-Year") = "Forever",
  "Valid",
  IF(J199="", "Not Trained",
     IF(J199 &lt; TODAY() - 1, "Expired",
        IF(J199 &lt;= TODAY() + 90, "Expiring", "Valid")
     )
  )
)</f>
        <v>Valid</v>
      </c>
      <c r="L199" s="4">
        <v>46872</v>
      </c>
      <c r="M199" s="4" t="str">
        <f ca="1">IF(
  _xlfn.XLOOKUP($D199 &amp; "-" &amp; L$2, TrainingMan!$G:$G, TrainingMan!$F:$F, "2-Year") = "Forever",
  "Valid",
  IF(L199="", "Not Trained",
     IF(L199 &lt; TODAY() - 1, "Expired",
        IF(L199 &lt;= TODAY() + 90, "Expiring", "Valid")
     )
  )
)</f>
        <v>Valid</v>
      </c>
      <c r="N199" s="4">
        <v>46932</v>
      </c>
      <c r="O199" s="4" t="str">
        <f ca="1">IF(
  _xlfn.XLOOKUP($D199 &amp; "-" &amp; N$2, TrainingMan!$G:$G, TrainingMan!$F:$F, "2-Year") = "Forever",
  "Valid",
  IF(N199="", "Not Trained",
     IF(N199 &lt; TODAY() - 1, "Expired",
        IF(N199 &lt;= TODAY() + 90, "Expiring", "Valid")
     )
  )
)</f>
        <v>Valid</v>
      </c>
      <c r="P199" s="4">
        <v>46932</v>
      </c>
      <c r="Q199" s="4" t="str">
        <f ca="1">IF(
  _xlfn.XLOOKUP($D199 &amp; "-" &amp; P$2, TrainingMan!$G:$G, TrainingMan!$F:$F, "2-Year") = "Forever",
  "Valid",
  IF(P199="", "Not Trained",
     IF(P199 &lt; TODAY() - 1, "Expired",
        IF(P199 &lt;= TODAY() + 90, "Expiring", "Valid")
     )
  )
)</f>
        <v>Valid</v>
      </c>
      <c r="R199" s="4">
        <v>46932</v>
      </c>
      <c r="S199" s="4" t="str">
        <f ca="1">IF(
  _xlfn.XLOOKUP($D199 &amp; "-" &amp; R$2, TrainingMan!$G:$G, TrainingMan!$F:$F, "2-Year") = "Forever",
  "Valid",
  IF(R199="", "Not Trained",
     IF(R199 &lt; TODAY() - 1, "Expired",
        IF(R199 &lt;= TODAY() + 90, "Expiring", "Valid")
     )
  )
)</f>
        <v>Valid</v>
      </c>
      <c r="T199" s="4">
        <v>46933</v>
      </c>
      <c r="U199" s="4" t="str">
        <f ca="1">IF(
  _xlfn.XLOOKUP($D199 &amp; "-" &amp; T$2, TrainingMan!$G:$G, TrainingMan!$F:$F, "2-Year") = "Forever",
  "Valid",
  IF(T199="", "Not Trained",
     IF(T199 &lt; TODAY() - 1, "Expired",
        IF(T199 &lt;= TODAY() + 90, "Expiring", "Valid")
     )
  )
)</f>
        <v>Valid</v>
      </c>
      <c r="V199" s="4">
        <v>46885</v>
      </c>
      <c r="W199" s="4" t="str">
        <f ca="1">IF(
  _xlfn.XLOOKUP($D199 &amp; "-" &amp; V$2, TrainingMan!$G:$G, TrainingMan!$F:$F, "2-Year") = "Forever",
  "Valid",
  IF(V199="", "Not Trained",
     IF(V199 &lt; TODAY() - 1, "Expired",
        IF(V199 &lt;= TODAY() + 90, "Expiring", "Valid")
     )
  )
)</f>
        <v>Valid</v>
      </c>
      <c r="X199" s="4">
        <v>46866</v>
      </c>
      <c r="Y199" s="4" t="str">
        <f ca="1">IF(
  _xlfn.XLOOKUP($D199 &amp; "-" &amp; X$2, TrainingMan!$G:$G, TrainingMan!$F:$F, "2-Year") = "Forever",
  "Valid",
  IF(X199="", "Not Trained",
     IF(X199 &lt; TODAY() - 1, "Expired",
        IF(X199 &lt;= TODAY() + 90, "Expiring", "Valid")
     )
  )
)</f>
        <v>Valid</v>
      </c>
      <c r="Z199" s="4">
        <v>46961</v>
      </c>
      <c r="AA199" s="4" t="str">
        <f ca="1">IF(LEN(TRIM(Z199)) = 0, "Not Trained",
  IF(_xlfn.XLOOKUP($D199 &amp; "-" &amp; Z$2, TrainingMan!$G:$G, TrainingMan!$F:$F, "2-Year") = "Forever", "Valid",
    IF(Z199 &lt; TODAY() - 1, "Expired",
      IF(Z199 &lt;= TODAY() + 90, "Expiring", "Valid")
    )
  )
)</f>
        <v>Valid</v>
      </c>
      <c r="AB199" s="4"/>
      <c r="AC199" s="4"/>
      <c r="AD199" s="4"/>
      <c r="AE199" s="4"/>
      <c r="AF199" s="4"/>
      <c r="AG199" s="4"/>
      <c r="AH199" s="4"/>
      <c r="AI199" s="4"/>
      <c r="AJ199" s="4"/>
      <c r="AN199" s="4"/>
      <c r="AQ199" s="4"/>
      <c r="AR199" s="4"/>
      <c r="AS199" s="4"/>
      <c r="AT199" s="4"/>
      <c r="AU199" s="4"/>
      <c r="BB199" s="4">
        <v>46160</v>
      </c>
      <c r="BC199" s="4"/>
      <c r="BD199" s="4">
        <v>46128</v>
      </c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>
        <f>COUNTIF('TrainingReq (Ach)'!B:B,Table13[[#This Row],[Job Title]])</f>
        <v>13</v>
      </c>
      <c r="BR199" cm="1">
        <f t="array" aca="1" ref="BR19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199" s="32">
        <f t="shared" ca="1" si="9"/>
        <v>0.92307692307692313</v>
      </c>
      <c r="BW199" s="4"/>
      <c r="CD199" s="6"/>
      <c r="CE199" s="4" t="str">
        <f ca="1">IF(
  _xlfn.XLOOKUP($D199 &amp; "-" &amp; CC$2, '[1]TrainingReq (Ach)'!$G:$G, '[1]TrainingReq (Ach)'!$F:$F, "2-Year") = "Forever",
  "Valid",
  IF(CC199="", "Not Trained",
     IF(CC199 &lt; TODAY() - 1, "Expired",
        IF(CC199 &lt;= TODAY() + 90, "Expiring", "Valid")
     )
  )
)</f>
        <v>Not Trained</v>
      </c>
      <c r="CG199" s="6"/>
      <c r="CH199" s="4" t="str">
        <f ca="1">IF(
  _xlfn.XLOOKUP($D199 &amp; "-" &amp; CF$2, '[1]TrainingReq (Ach)'!$G:$G, '[1]TrainingReq (Ach)'!$F:$F, "2-Year") = "Forever",
  "Valid",
  IF(CF199="", "Not Trained",
     IF(CF199 &lt; TODAY() - 1, "Expired",
        IF(CF199 &lt;= TODAY() + 90, "Expiring", "Valid")
     )
  )
)</f>
        <v>Not Trained</v>
      </c>
      <c r="CI199" t="str">
        <f t="shared" si="10"/>
        <v>Not eligible</v>
      </c>
      <c r="CJ199" t="str">
        <f t="shared" si="11"/>
        <v>Not eligible</v>
      </c>
    </row>
    <row r="200" spans="1:88" x14ac:dyDescent="0.25">
      <c r="A200">
        <v>198</v>
      </c>
      <c r="B200">
        <v>584569</v>
      </c>
      <c r="C200" t="s">
        <v>122</v>
      </c>
      <c r="D200" t="s">
        <v>15</v>
      </c>
      <c r="G200" t="s">
        <v>53</v>
      </c>
      <c r="H200" s="4">
        <v>46885</v>
      </c>
      <c r="I200" s="4" t="str">
        <f ca="1">IF(
  _xlfn.XLOOKUP($D200 &amp; "-" &amp; H$2, 'TrainingReq (Ach)'!G:G, 'TrainingReq (Ach)'!F:F, "2-Year") = "Forever",
  "Valid",
  IF(H200="", "Not Trained",
     IF(H200 &lt; TODAY() - 1, "Expired",
        IF(H200 &lt;= TODAY() + 90, "Expiring", "Valid")
     )
  )
)</f>
        <v>Valid</v>
      </c>
      <c r="J200" s="4">
        <v>46880</v>
      </c>
      <c r="K200" s="4" t="str">
        <f ca="1">IF(
  _xlfn.XLOOKUP($D200 &amp; "-" &amp; J$2, 'TrainingReq (Ach)'!G:G, 'TrainingReq (Ach)'!F:F, "2-Year") = "Forever",
  "Valid",
  IF(J200="", "Not Trained",
     IF(J200 &lt; TODAY() - 1, "Expired",
        IF(J200 &lt;= TODAY() + 90, "Expiring", "Valid")
     )
  )
)</f>
        <v>Valid</v>
      </c>
      <c r="L200" s="4">
        <v>46898</v>
      </c>
      <c r="M200" s="4" t="str">
        <f ca="1">IF(
  _xlfn.XLOOKUP($D200 &amp; "-" &amp; L$2, TrainingMan!$G:$G, TrainingMan!$F:$F, "2-Year") = "Forever",
  "Valid",
  IF(L200="", "Not Trained",
     IF(L200 &lt; TODAY() - 1, "Expired",
        IF(L200 &lt;= TODAY() + 90, "Expiring", "Valid")
     )
  )
)</f>
        <v>Valid</v>
      </c>
      <c r="N200" s="4">
        <v>46891</v>
      </c>
      <c r="O200" s="4" t="str">
        <f ca="1">IF(
  _xlfn.XLOOKUP($D200 &amp; "-" &amp; N$2, TrainingMan!$G:$G, TrainingMan!$F:$F, "2-Year") = "Forever",
  "Valid",
  IF(N200="", "Not Trained",
     IF(N200 &lt; TODAY() - 1, "Expired",
        IF(N200 &lt;= TODAY() + 90, "Expiring", "Valid")
     )
  )
)</f>
        <v>Valid</v>
      </c>
      <c r="P200" s="4">
        <v>46891</v>
      </c>
      <c r="Q200" s="4" t="str">
        <f ca="1">IF(
  _xlfn.XLOOKUP($D200 &amp; "-" &amp; P$2, TrainingMan!$G:$G, TrainingMan!$F:$F, "2-Year") = "Forever",
  "Valid",
  IF(P200="", "Not Trained",
     IF(P200 &lt; TODAY() - 1, "Expired",
        IF(P200 &lt;= TODAY() + 90, "Expiring", "Valid")
     )
  )
)</f>
        <v>Valid</v>
      </c>
      <c r="R200" s="4">
        <v>46891</v>
      </c>
      <c r="S200" s="4" t="str">
        <f ca="1">IF(
  _xlfn.XLOOKUP($D200 &amp; "-" &amp; R$2, TrainingMan!$G:$G, TrainingMan!$F:$F, "2-Year") = "Forever",
  "Valid",
  IF(R200="", "Not Trained",
     IF(R200 &lt; TODAY() - 1, "Expired",
        IF(R200 &lt;= TODAY() + 90, "Expiring", "Valid")
     )
  )
)</f>
        <v>Valid</v>
      </c>
      <c r="T200" s="4">
        <v>46892</v>
      </c>
      <c r="U200" s="4" t="str">
        <f ca="1">IF(
  _xlfn.XLOOKUP($D200 &amp; "-" &amp; T$2, TrainingMan!$G:$G, TrainingMan!$F:$F, "2-Year") = "Forever",
  "Valid",
  IF(T200="", "Not Trained",
     IF(T200 &lt; TODAY() - 1, "Expired",
        IF(T200 &lt;= TODAY() + 90, "Expiring", "Valid")
     )
  )
)</f>
        <v>Valid</v>
      </c>
      <c r="V200" s="4">
        <v>46918</v>
      </c>
      <c r="W200" s="4" t="str">
        <f ca="1">IF(
  _xlfn.XLOOKUP($D200 &amp; "-" &amp; V$2, TrainingMan!$G:$G, TrainingMan!$F:$F, "2-Year") = "Forever",
  "Valid",
  IF(V200="", "Not Trained",
     IF(V200 &lt; TODAY() - 1, "Expired",
        IF(V200 &lt;= TODAY() + 90, "Expiring", "Valid")
     )
  )
)</f>
        <v>Valid</v>
      </c>
      <c r="X200" s="4">
        <v>46943</v>
      </c>
      <c r="Y200" s="4" t="str">
        <f ca="1">IF(
  _xlfn.XLOOKUP($D200 &amp; "-" &amp; X$2, TrainingMan!$G:$G, TrainingMan!$F:$F, "2-Year") = "Forever",
  "Valid",
  IF(X200="", "Not Trained",
     IF(X200 &lt; TODAY() - 1, "Expired",
        IF(X200 &lt;= TODAY() + 90, "Expiring", "Valid")
     )
  )
)</f>
        <v>Valid</v>
      </c>
      <c r="Z200" s="4">
        <v>46961</v>
      </c>
      <c r="AA200" s="4" t="str">
        <f ca="1">IF(LEN(TRIM(Z200)) = 0, "Not Trained",
  IF(_xlfn.XLOOKUP($D200 &amp; "-" &amp; Z$2, TrainingMan!$G:$G, TrainingMan!$F:$F, "2-Year") = "Forever", "Valid",
    IF(Z200 &lt; TODAY() - 1, "Expired",
      IF(Z200 &lt;= TODAY() + 90, "Expiring", "Valid")
    )
  )
)</f>
        <v>Valid</v>
      </c>
      <c r="AB200" s="4"/>
      <c r="AC200" s="4"/>
      <c r="AD200" s="4"/>
      <c r="AE200" s="4"/>
      <c r="AF200" s="4"/>
      <c r="AG200" s="4"/>
      <c r="AH200" s="4"/>
      <c r="AI200" s="4"/>
      <c r="AJ200" s="4"/>
      <c r="AN200" s="4"/>
      <c r="AQ200" s="4"/>
      <c r="AR200" s="4"/>
      <c r="AS200" s="4"/>
      <c r="AT200" s="4"/>
      <c r="AU200" s="4"/>
      <c r="BB200" s="4">
        <v>46146</v>
      </c>
      <c r="BC200" s="4"/>
      <c r="BD200" s="4">
        <v>46232</v>
      </c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>
        <f>COUNTIF('TrainingReq (Ach)'!B:B,Table13[[#This Row],[Job Title]])</f>
        <v>13</v>
      </c>
      <c r="BR200" cm="1">
        <f t="array" aca="1" ref="BR200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200" s="32">
        <f t="shared" ca="1" si="9"/>
        <v>0.92307692307692313</v>
      </c>
      <c r="BW200" s="4"/>
      <c r="CD200" s="6"/>
      <c r="CE200" s="4" t="str">
        <f ca="1">IF(
  _xlfn.XLOOKUP($D200 &amp; "-" &amp; CC$2, '[1]TrainingReq (Ach)'!$G:$G, '[1]TrainingReq (Ach)'!$F:$F, "2-Year") = "Forever",
  "Valid",
  IF(CC200="", "Not Trained",
     IF(CC200 &lt; TODAY() - 1, "Expired",
        IF(CC200 &lt;= TODAY() + 90, "Expiring", "Valid")
     )
  )
)</f>
        <v>Not Trained</v>
      </c>
      <c r="CG200" s="6"/>
      <c r="CH200" s="4" t="str">
        <f ca="1">IF(
  _xlfn.XLOOKUP($D200 &amp; "-" &amp; CF$2, '[1]TrainingReq (Ach)'!$G:$G, '[1]TrainingReq (Ach)'!$F:$F, "2-Year") = "Forever",
  "Valid",
  IF(CF200="", "Not Trained",
     IF(CF200 &lt; TODAY() - 1, "Expired",
        IF(CF200 &lt;= TODAY() + 90, "Expiring", "Valid")
     )
  )
)</f>
        <v>Not Trained</v>
      </c>
      <c r="CI200" t="str">
        <f t="shared" si="10"/>
        <v>Not eligible</v>
      </c>
      <c r="CJ200" t="str">
        <f t="shared" si="11"/>
        <v>Not eligible</v>
      </c>
    </row>
    <row r="201" spans="1:88" x14ac:dyDescent="0.25">
      <c r="A201">
        <v>199</v>
      </c>
      <c r="B201">
        <v>783659</v>
      </c>
      <c r="C201" t="s">
        <v>754</v>
      </c>
      <c r="D201" t="s">
        <v>23</v>
      </c>
      <c r="G201" t="s">
        <v>53</v>
      </c>
      <c r="H201" s="4">
        <v>46872</v>
      </c>
      <c r="I201" s="4" t="str">
        <f ca="1">IF(
  _xlfn.XLOOKUP($D201 &amp; "-" &amp; H$2, 'TrainingReq (Ach)'!G:G, 'TrainingReq (Ach)'!F:F, "2-Year") = "Forever",
  "Valid",
  IF(H201="", "Not Trained",
     IF(H201 &lt; TODAY() - 1, "Expired",
        IF(H201 &lt;= TODAY() + 90, "Expiring", "Valid")
     )
  )
)</f>
        <v>Valid</v>
      </c>
      <c r="J201" s="4">
        <v>46872</v>
      </c>
      <c r="K201" s="4" t="str">
        <f ca="1">IF(
  _xlfn.XLOOKUP($D201 &amp; "-" &amp; J$2, 'TrainingReq (Ach)'!G:G, 'TrainingReq (Ach)'!F:F, "2-Year") = "Forever",
  "Valid",
  IF(J201="", "Not Trained",
     IF(J201 &lt; TODAY() - 1, "Expired",
        IF(J201 &lt;= TODAY() + 90, "Expiring", "Valid")
     )
  )
)</f>
        <v>Valid</v>
      </c>
      <c r="L201" s="4">
        <v>46872</v>
      </c>
      <c r="M201" s="4" t="str">
        <f ca="1">IF(
  _xlfn.XLOOKUP($D201 &amp; "-" &amp; L$2, TrainingMan!$G:$G, TrainingMan!$F:$F, "2-Year") = "Forever",
  "Valid",
  IF(L201="", "Not Trained",
     IF(L201 &lt; TODAY() - 1, "Expired",
        IF(L201 &lt;= TODAY() + 90, "Expiring", "Valid")
     )
  )
)</f>
        <v>Valid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N201" s="4"/>
      <c r="AQ201" s="4"/>
      <c r="AR201" s="4"/>
      <c r="AS201" s="4"/>
      <c r="AT201" s="4"/>
      <c r="AU201" s="4"/>
      <c r="BB201" s="4"/>
      <c r="BC201" s="4"/>
      <c r="BD201" s="4">
        <v>46232</v>
      </c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>
        <v>46872</v>
      </c>
      <c r="BQ201">
        <f>COUNTIF('TrainingReq (Ach)'!B:B,Table13[[#This Row],[Job Title]])</f>
        <v>3</v>
      </c>
      <c r="BR201" cm="1">
        <f t="array" aca="1" ref="BR201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201" s="32">
        <f t="shared" ca="1" si="9"/>
        <v>1</v>
      </c>
      <c r="BW201" s="4"/>
      <c r="CD201" s="6"/>
      <c r="CE201" s="4" t="str">
        <f ca="1">IF(
  _xlfn.XLOOKUP($D201 &amp; "-" &amp; CC$2, '[1]TrainingReq (Ach)'!$G:$G, '[1]TrainingReq (Ach)'!$F:$F, "2-Year") = "Forever",
  "Valid",
  IF(CC201="", "Not Trained",
     IF(CC201 &lt; TODAY() - 1, "Expired",
        IF(CC201 &lt;= TODAY() + 90, "Expiring", "Valid")
     )
  )
)</f>
        <v>Not Trained</v>
      </c>
      <c r="CG201" s="6"/>
      <c r="CH201" s="4" t="str">
        <f ca="1">IF(
  _xlfn.XLOOKUP($D201 &amp; "-" &amp; CF$2, '[1]TrainingReq (Ach)'!$G:$G, '[1]TrainingReq (Ach)'!$F:$F, "2-Year") = "Forever",
  "Valid",
  IF(CF201="", "Not Trained",
     IF(CF201 &lt; TODAY() - 1, "Expired",
        IF(CF201 &lt;= TODAY() + 90, "Expiring", "Valid")
     )
  )
)</f>
        <v>Not Trained</v>
      </c>
      <c r="CI201" t="str">
        <f t="shared" si="10"/>
        <v>Not eligible</v>
      </c>
      <c r="CJ201" t="str">
        <f t="shared" si="11"/>
        <v>Not eligible</v>
      </c>
    </row>
    <row r="202" spans="1:88" x14ac:dyDescent="0.25">
      <c r="A202">
        <v>200</v>
      </c>
      <c r="B202">
        <v>783660</v>
      </c>
      <c r="C202" t="s">
        <v>755</v>
      </c>
      <c r="D202" t="s">
        <v>23</v>
      </c>
      <c r="G202" t="s">
        <v>53</v>
      </c>
      <c r="H202" s="4">
        <v>46872</v>
      </c>
      <c r="I202" s="4" t="str">
        <f ca="1">IF(
  _xlfn.XLOOKUP($D202 &amp; "-" &amp; H$2, 'TrainingReq (Ach)'!G:G, 'TrainingReq (Ach)'!F:F, "2-Year") = "Forever",
  "Valid",
  IF(H202="", "Not Trained",
     IF(H202 &lt; TODAY() - 1, "Expired",
        IF(H202 &lt;= TODAY() + 90, "Expiring", "Valid")
     )
  )
)</f>
        <v>Valid</v>
      </c>
      <c r="J202" s="4">
        <v>46872</v>
      </c>
      <c r="K202" s="4" t="str">
        <f ca="1">IF(
  _xlfn.XLOOKUP($D202 &amp; "-" &amp; J$2, 'TrainingReq (Ach)'!G:G, 'TrainingReq (Ach)'!F:F, "2-Year") = "Forever",
  "Valid",
  IF(J202="", "Not Trained",
     IF(J202 &lt; TODAY() - 1, "Expired",
        IF(J202 &lt;= TODAY() + 90, "Expiring", "Valid")
     )
  )
)</f>
        <v>Valid</v>
      </c>
      <c r="L202" s="4">
        <v>46872</v>
      </c>
      <c r="M202" s="4" t="str">
        <f ca="1">IF(
  _xlfn.XLOOKUP($D202 &amp; "-" &amp; L$2, TrainingMan!$G:$G, TrainingMan!$F:$F, "2-Year") = "Forever",
  "Valid",
  IF(L202="", "Not Trained",
     IF(L202 &lt; TODAY() - 1, "Expired",
        IF(L202 &lt;= TODAY() + 90, "Expiring", "Valid")
     )
  )
)</f>
        <v>Valid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N202" s="4"/>
      <c r="AQ202" s="4"/>
      <c r="AR202" s="4"/>
      <c r="AS202" s="4"/>
      <c r="AT202" s="4"/>
      <c r="AU202" s="4"/>
      <c r="BB202" s="4"/>
      <c r="BC202" s="4"/>
      <c r="BD202" s="4">
        <v>46232</v>
      </c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>
        <v>46872</v>
      </c>
      <c r="BQ202">
        <f>COUNTIF('TrainingReq (Ach)'!B:B,Table13[[#This Row],[Job Title]])</f>
        <v>3</v>
      </c>
      <c r="BR202" cm="1">
        <f t="array" aca="1" ref="BR202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3</v>
      </c>
      <c r="BS202" s="32">
        <f t="shared" ca="1" si="9"/>
        <v>1</v>
      </c>
      <c r="BW202" s="4"/>
      <c r="CD202" s="6"/>
      <c r="CE202" s="4" t="str">
        <f ca="1">IF(
  _xlfn.XLOOKUP($D202 &amp; "-" &amp; CC$2, '[1]TrainingReq (Ach)'!$G:$G, '[1]TrainingReq (Ach)'!$F:$F, "2-Year") = "Forever",
  "Valid",
  IF(CC202="", "Not Trained",
     IF(CC202 &lt; TODAY() - 1, "Expired",
        IF(CC202 &lt;= TODAY() + 90, "Expiring", "Valid")
     )
  )
)</f>
        <v>Not Trained</v>
      </c>
      <c r="CG202" s="6"/>
      <c r="CH202" s="4" t="str">
        <f ca="1">IF(
  _xlfn.XLOOKUP($D202 &amp; "-" &amp; CF$2, '[1]TrainingReq (Ach)'!$G:$G, '[1]TrainingReq (Ach)'!$F:$F, "2-Year") = "Forever",
  "Valid",
  IF(CF202="", "Not Trained",
     IF(CF202 &lt; TODAY() - 1, "Expired",
        IF(CF202 &lt;= TODAY() + 90, "Expiring", "Valid")
     )
  )
)</f>
        <v>Not Trained</v>
      </c>
      <c r="CI202" t="str">
        <f t="shared" si="10"/>
        <v>Not eligible</v>
      </c>
      <c r="CJ202" t="str">
        <f t="shared" si="11"/>
        <v>Not eligible</v>
      </c>
    </row>
    <row r="203" spans="1:88" x14ac:dyDescent="0.25">
      <c r="A203">
        <v>201</v>
      </c>
      <c r="B203">
        <v>584600</v>
      </c>
      <c r="C203" t="s">
        <v>124</v>
      </c>
      <c r="D203" t="s">
        <v>15</v>
      </c>
      <c r="G203" t="s">
        <v>53</v>
      </c>
      <c r="H203" s="4">
        <v>46922</v>
      </c>
      <c r="I203" s="4" t="str">
        <f ca="1">IF(
  _xlfn.XLOOKUP($D203 &amp; "-" &amp; H$2, 'TrainingReq (Ach)'!G:G, 'TrainingReq (Ach)'!F:F, "2-Year") = "Forever",
  "Valid",
  IF(H203="", "Not Trained",
     IF(H203 &lt; TODAY() - 1, "Expired",
        IF(H203 &lt;= TODAY() + 90, "Expiring", "Valid")
     )
  )
)</f>
        <v>Valid</v>
      </c>
      <c r="J203" s="4">
        <v>46918</v>
      </c>
      <c r="K203" s="4" t="str">
        <f ca="1">IF(
  _xlfn.XLOOKUP($D203 &amp; "-" &amp; J$2, 'TrainingReq (Ach)'!G:G, 'TrainingReq (Ach)'!F:F, "2-Year") = "Forever",
  "Valid",
  IF(J203="", "Not Trained",
     IF(J203 &lt; TODAY() - 1, "Expired",
        IF(J203 &lt;= TODAY() + 90, "Expiring", "Valid")
     )
  )
)</f>
        <v>Valid</v>
      </c>
      <c r="L203" s="4">
        <v>46940</v>
      </c>
      <c r="M203" s="4" t="str">
        <f ca="1">IF(
  _xlfn.XLOOKUP($D203 &amp; "-" &amp; L$2, TrainingMan!$G:$G, TrainingMan!$F:$F, "2-Year") = "Forever",
  "Valid",
  IF(L203="", "Not Trained",
     IF(L203 &lt; TODAY() - 1, "Expired",
        IF(L203 &lt;= TODAY() + 90, "Expiring", "Valid")
     )
  )
)</f>
        <v>Valid</v>
      </c>
      <c r="N203" s="4">
        <v>46605</v>
      </c>
      <c r="O203" s="4" t="str">
        <f ca="1">IF(
  _xlfn.XLOOKUP($D203 &amp; "-" &amp; N$2, TrainingMan!$G:$G, TrainingMan!$F:$F, "2-Year") = "Forever",
  "Valid",
  IF(N203="", "Not Trained",
     IF(N203 &lt; TODAY() - 1, "Expired",
        IF(N203 &lt;= TODAY() + 90, "Expiring", "Valid")
     )
  )
)</f>
        <v>Valid</v>
      </c>
      <c r="P203" s="4">
        <v>46605</v>
      </c>
      <c r="Q203" s="4" t="str">
        <f ca="1">IF(
  _xlfn.XLOOKUP($D203 &amp; "-" &amp; P$2, TrainingMan!$G:$G, TrainingMan!$F:$F, "2-Year") = "Forever",
  "Valid",
  IF(P203="", "Not Trained",
     IF(P203 &lt; TODAY() - 1, "Expired",
        IF(P203 &lt;= TODAY() + 90, "Expiring", "Valid")
     )
  )
)</f>
        <v>Valid</v>
      </c>
      <c r="R203" s="4">
        <v>46605</v>
      </c>
      <c r="S203" s="4" t="str">
        <f ca="1">IF(
  _xlfn.XLOOKUP($D203 &amp; "-" &amp; R$2, TrainingMan!$G:$G, TrainingMan!$F:$F, "2-Year") = "Forever",
  "Valid",
  IF(R203="", "Not Trained",
     IF(R203 &lt; TODAY() - 1, "Expired",
        IF(R203 &lt;= TODAY() + 90, "Expiring", "Valid")
     )
  )
)</f>
        <v>Valid</v>
      </c>
      <c r="T203" s="4">
        <v>46606</v>
      </c>
      <c r="U203" s="4" t="str">
        <f ca="1">IF(
  _xlfn.XLOOKUP($D203 &amp; "-" &amp; T$2, TrainingMan!$G:$G, TrainingMan!$F:$F, "2-Year") = "Forever",
  "Valid",
  IF(T203="", "Not Trained",
     IF(T203 &lt; TODAY() - 1, "Expired",
        IF(T203 &lt;= TODAY() + 90, "Expiring", "Valid")
     )
  )
)</f>
        <v>Valid</v>
      </c>
      <c r="V203" s="4">
        <v>46676</v>
      </c>
      <c r="W203" s="4" t="str">
        <f ca="1">IF(
  _xlfn.XLOOKUP($D203 &amp; "-" &amp; V$2, TrainingMan!$G:$G, TrainingMan!$F:$F, "2-Year") = "Forever",
  "Valid",
  IF(V203="", "Not Trained",
     IF(V203 &lt; TODAY() - 1, "Expired",
        IF(V203 &lt;= TODAY() + 90, "Expiring", "Valid")
     )
  )
)</f>
        <v>Valid</v>
      </c>
      <c r="X203" s="4">
        <v>46613</v>
      </c>
      <c r="Y203" s="4" t="str">
        <f ca="1">IF(
  _xlfn.XLOOKUP($D203 &amp; "-" &amp; X$2, TrainingMan!$G:$G, TrainingMan!$F:$F, "2-Year") = "Forever",
  "Valid",
  IF(X203="", "Not Trained",
     IF(X203 &lt; TODAY() - 1, "Expired",
        IF(X203 &lt;= TODAY() + 90, "Expiring", "Valid")
     )
  )
)</f>
        <v>Valid</v>
      </c>
      <c r="Z203" s="4">
        <v>46963</v>
      </c>
      <c r="AA203" s="4" t="str">
        <f ca="1">IF(LEN(TRIM(Z203)) = 0, "Not Trained",
  IF(_xlfn.XLOOKUP($D203 &amp; "-" &amp; Z$2, TrainingMan!$G:$G, TrainingMan!$F:$F, "2-Year") = "Forever", "Valid",
    IF(Z203 &lt; TODAY() - 1, "Expired",
      IF(Z203 &lt;= TODAY() + 90, "Expiring", "Valid")
    )
  )
)</f>
        <v>Valid</v>
      </c>
      <c r="AB203" s="4">
        <v>45845</v>
      </c>
      <c r="AC203" s="4"/>
      <c r="AD203" s="4"/>
      <c r="AE203" s="4"/>
      <c r="AF203" s="4"/>
      <c r="AG203" s="4"/>
      <c r="AH203" s="4"/>
      <c r="AI203" s="4"/>
      <c r="AJ203" s="4"/>
      <c r="AN203" s="4"/>
      <c r="AQ203" s="4"/>
      <c r="AR203" s="4"/>
      <c r="AS203" s="4"/>
      <c r="AT203" s="4"/>
      <c r="AU203" s="4"/>
      <c r="BB203" s="4">
        <v>46195</v>
      </c>
      <c r="BC203" s="4"/>
      <c r="BD203" s="4">
        <v>45855</v>
      </c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>
        <f>COUNTIF('TrainingReq (Ach)'!B:B,Table13[[#This Row],[Job Title]])</f>
        <v>13</v>
      </c>
      <c r="BR203" cm="1">
        <f t="array" aca="1" ref="BR203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12</v>
      </c>
      <c r="BS203" s="32">
        <f t="shared" ca="1" si="9"/>
        <v>0.92307692307692313</v>
      </c>
      <c r="BW203" s="4"/>
      <c r="CD203" s="6"/>
      <c r="CE203" s="4" t="str">
        <f ca="1">IF(
  _xlfn.XLOOKUP($D203 &amp; "-" &amp; CC$2, '[1]TrainingReq (Ach)'!$G:$G, '[1]TrainingReq (Ach)'!$F:$F, "2-Year") = "Forever",
  "Valid",
  IF(CC203="", "Not Trained",
     IF(CC203 &lt; TODAY() - 1, "Expired",
        IF(CC203 &lt;= TODAY() + 90, "Expiring", "Valid")
     )
  )
)</f>
        <v>Not Trained</v>
      </c>
      <c r="CG203" s="6"/>
      <c r="CH203" s="4" t="str">
        <f ca="1">IF(
  _xlfn.XLOOKUP($D203 &amp; "-" &amp; CF$2, '[1]TrainingReq (Ach)'!$G:$G, '[1]TrainingReq (Ach)'!$F:$F, "2-Year") = "Forever",
  "Valid",
  IF(CF203="", "Not Trained",
     IF(CF203 &lt; TODAY() - 1, "Expired",
        IF(CF203 &lt;= TODAY() + 90, "Expiring", "Valid")
     )
  )
)</f>
        <v>Not Trained</v>
      </c>
      <c r="CI203" t="str">
        <f t="shared" si="10"/>
        <v>Not eligible</v>
      </c>
      <c r="CJ203" t="str">
        <f t="shared" si="11"/>
        <v>Not eligible</v>
      </c>
    </row>
    <row r="204" spans="1:88" x14ac:dyDescent="0.25">
      <c r="A204">
        <v>202</v>
      </c>
      <c r="B204">
        <v>584603</v>
      </c>
      <c r="C204" t="s">
        <v>127</v>
      </c>
      <c r="D204" t="s">
        <v>15</v>
      </c>
      <c r="G204" t="s">
        <v>53</v>
      </c>
      <c r="H204" s="4">
        <v>46943</v>
      </c>
      <c r="I204" s="4" t="str">
        <f ca="1">IF(
  _xlfn.XLOOKUP($D204 &amp; "-" &amp; H$2, 'TrainingReq (Ach)'!G:G, 'TrainingReq (Ach)'!F:F, "2-Year") = "Forever",
  "Valid",
  IF(H204="", "Not Trained",
     IF(H204 &lt; TODAY() - 1, "Expired",
        IF(H204 &lt;= TODAY() + 90, "Expiring", "Valid")
     )
  )
)</f>
        <v>Valid</v>
      </c>
      <c r="J204" s="4"/>
      <c r="K204" s="4" t="str">
        <f ca="1">IF(
  _xlfn.XLOOKUP($D204 &amp; "-" &amp; J$2, 'TrainingReq (Ach)'!G:G, 'TrainingReq (Ach)'!F:F, "2-Year") = "Forever",
  "Valid",
  IF(J204="", "Not Trained",
     IF(J204 &lt; TODAY() - 1, "Expired",
        IF(J204 &lt;= TODAY() + 90, "Expiring", "Valid")
     )
  )
)</f>
        <v>Not Trained</v>
      </c>
      <c r="L204" s="4"/>
      <c r="M204" s="4" t="str">
        <f ca="1">IF(
  _xlfn.XLOOKUP($D204 &amp; "-" &amp; L$2, TrainingMan!$G:$G, TrainingMan!$F:$F, "2-Year") = "Forever",
  "Valid",
  IF(L204="", "Not Trained",
     IF(L204 &lt; TODAY() - 1, "Expired",
        IF(L204 &lt;= TODAY() + 90, "Expiring", "Valid")
     )
  )
)</f>
        <v>Not Trained</v>
      </c>
      <c r="N204" s="4">
        <v>46939</v>
      </c>
      <c r="O204" s="4" t="str">
        <f ca="1">IF(
  _xlfn.XLOOKUP($D204 &amp; "-" &amp; N$2, TrainingMan!$G:$G, TrainingMan!$F:$F, "2-Year") = "Forever",
  "Valid",
  IF(N204="", "Not Trained",
     IF(N204 &lt; TODAY() - 1, "Expired",
        IF(N204 &lt;= TODAY() + 90, "Expiring", "Valid")
     )
  )
)</f>
        <v>Valid</v>
      </c>
      <c r="P204" s="4">
        <v>46939</v>
      </c>
      <c r="Q204" s="4" t="str">
        <f ca="1">IF(
  _xlfn.XLOOKUP($D204 &amp; "-" &amp; P$2, TrainingMan!$G:$G, TrainingMan!$F:$F, "2-Year") = "Forever",
  "Valid",
  IF(P204="", "Not Trained",
     IF(P204 &lt; TODAY() - 1, "Expired",
        IF(P204 &lt;= TODAY() + 90, "Expiring", "Valid")
     )
  )
)</f>
        <v>Valid</v>
      </c>
      <c r="R204" s="4">
        <v>46939</v>
      </c>
      <c r="S204" s="4" t="str">
        <f ca="1">IF(
  _xlfn.XLOOKUP($D204 &amp; "-" &amp; R$2, TrainingMan!$G:$G, TrainingMan!$F:$F, "2-Year") = "Forever",
  "Valid",
  IF(R204="", "Not Trained",
     IF(R204 &lt; TODAY() - 1, "Expired",
        IF(R204 &lt;= TODAY() + 90, "Expiring", "Valid")
     )
  )
)</f>
        <v>Valid</v>
      </c>
      <c r="T204" s="4">
        <v>46940</v>
      </c>
      <c r="U204" s="4" t="str">
        <f ca="1">IF(
  _xlfn.XLOOKUP($D204 &amp; "-" &amp; T$2, TrainingMan!$G:$G, TrainingMan!$F:$F, "2-Year") = "Forever",
  "Valid",
  IF(T204="", "Not Trained",
     IF(T204 &lt; TODAY() - 1, "Expired",
        IF(T204 &lt;= TODAY() + 90, "Expiring", "Valid")
     )
  )
)</f>
        <v>Valid</v>
      </c>
      <c r="V204" s="4">
        <v>46957</v>
      </c>
      <c r="W204" s="4" t="str">
        <f ca="1">IF(
  _xlfn.XLOOKUP($D204 &amp; "-" &amp; V$2, TrainingMan!$G:$G, TrainingMan!$F:$F, "2-Year") = "Forever",
  "Valid",
  IF(V204="", "Not Trained",
     IF(V204 &lt; TODAY() - 1, "Expired",
        IF(V204 &lt;= TODAY() + 90, "Expiring", "Valid")
     )
  )
)</f>
        <v>Valid</v>
      </c>
      <c r="X204" s="4"/>
      <c r="Y204" s="4" t="str">
        <f ca="1">IF(
  _xlfn.XLOOKUP($D204 &amp; "-" &amp; X$2, TrainingMan!$G:$G, TrainingMan!$F:$F, "2-Year") = "Forever",
  "Valid",
  IF(X204="", "Not Trained",
     IF(X204 &lt; TODAY() - 1, "Expired",
        IF(X204 &lt;= TODAY() + 90, "Expiring", "Valid")
     )
  )
)</f>
        <v>Not Trained</v>
      </c>
      <c r="Z204" s="4"/>
      <c r="AA204" s="4" t="str">
        <f ca="1">IF(LEN(TRIM(Z204)) = 0, "Not Trained",
  IF(_xlfn.XLOOKUP($D204 &amp; "-" &amp; Z$2, TrainingMan!$G:$G, TrainingMan!$F:$F, "2-Year") = "Forever", "Valid",
    IF(Z204 &lt; TODAY() - 1, "Expired",
      IF(Z204 &lt;= TODAY() + 90, "Expiring", "Valid")
    )
  )
)</f>
        <v>Not Trained</v>
      </c>
      <c r="AB204" s="4"/>
      <c r="AC204" s="4"/>
      <c r="AD204" s="4"/>
      <c r="AE204" s="4"/>
      <c r="AF204" s="4"/>
      <c r="AG204" s="4"/>
      <c r="AH204" s="4"/>
      <c r="AI204" s="4"/>
      <c r="AJ204" s="4"/>
      <c r="AN204" s="4"/>
      <c r="AQ204" s="4"/>
      <c r="AR204" s="4"/>
      <c r="AS204" s="4"/>
      <c r="AT204" s="4"/>
      <c r="AU204" s="4"/>
      <c r="BB204" s="4">
        <v>46218</v>
      </c>
      <c r="BC204" s="4"/>
      <c r="BD204" s="4">
        <v>46232</v>
      </c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>
        <f>COUNTIF('TrainingReq (Ach)'!B:B,Table13[[#This Row],[Job Title]])</f>
        <v>13</v>
      </c>
      <c r="BR204" cm="1">
        <f t="array" aca="1" ref="BR204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8</v>
      </c>
      <c r="BS204" s="32">
        <f t="shared" ca="1" si="9"/>
        <v>0.61538461538461542</v>
      </c>
      <c r="BW204" s="4"/>
      <c r="CD204" s="6"/>
      <c r="CE204" s="4" t="str">
        <f ca="1">IF(
  _xlfn.XLOOKUP($D204 &amp; "-" &amp; CC$2, '[1]TrainingReq (Ach)'!$G:$G, '[1]TrainingReq (Ach)'!$F:$F, "2-Year") = "Forever",
  "Valid",
  IF(CC204="", "Not Trained",
     IF(CC204 &lt; TODAY() - 1, "Expired",
        IF(CC204 &lt;= TODAY() + 90, "Expiring", "Valid")
     )
  )
)</f>
        <v>Not Trained</v>
      </c>
      <c r="CG204" s="6"/>
      <c r="CH204" s="4" t="str">
        <f ca="1">IF(
  _xlfn.XLOOKUP($D204 &amp; "-" &amp; CF$2, '[1]TrainingReq (Ach)'!$G:$G, '[1]TrainingReq (Ach)'!$F:$F, "2-Year") = "Forever",
  "Valid",
  IF(CF204="", "Not Trained",
     IF(CF204 &lt; TODAY() - 1, "Expired",
        IF(CF204 &lt;= TODAY() + 90, "Expiring", "Valid")
     )
  )
)</f>
        <v>Not Trained</v>
      </c>
      <c r="CI204" t="str">
        <f t="shared" si="10"/>
        <v>Not eligible</v>
      </c>
      <c r="CJ204" t="str">
        <f t="shared" si="11"/>
        <v>Not eligible</v>
      </c>
    </row>
    <row r="205" spans="1:88" x14ac:dyDescent="0.25">
      <c r="A205">
        <v>203</v>
      </c>
      <c r="B205">
        <v>584604</v>
      </c>
      <c r="C205" t="s">
        <v>129</v>
      </c>
      <c r="D205" t="s">
        <v>15</v>
      </c>
      <c r="G205" t="s">
        <v>53</v>
      </c>
      <c r="H205" s="4">
        <v>46943</v>
      </c>
      <c r="I205" s="4" t="str">
        <f ca="1">IF(
  _xlfn.XLOOKUP($D205 &amp; "-" &amp; H$2, 'TrainingReq (Ach)'!G:G, 'TrainingReq (Ach)'!F:F, "2-Year") = "Forever",
  "Valid",
  IF(H205="", "Not Trained",
     IF(H205 &lt; TODAY() - 1, "Expired",
        IF(H205 &lt;= TODAY() + 90, "Expiring", "Valid")
     )
  )
)</f>
        <v>Valid</v>
      </c>
      <c r="J205" s="4"/>
      <c r="K205" s="4" t="str">
        <f ca="1">IF(
  _xlfn.XLOOKUP($D205 &amp; "-" &amp; J$2, 'TrainingReq (Ach)'!G:G, 'TrainingReq (Ach)'!F:F, "2-Year") = "Forever",
  "Valid",
  IF(J205="", "Not Trained",
     IF(J205 &lt; TODAY() - 1, "Expired",
        IF(J205 &lt;= TODAY() + 90, "Expiring", "Valid")
     )
  )
)</f>
        <v>Not Trained</v>
      </c>
      <c r="L205" s="4"/>
      <c r="M205" s="4" t="str">
        <f ca="1">IF(
  _xlfn.XLOOKUP($D205 &amp; "-" &amp; L$2, TrainingMan!$G:$G, TrainingMan!$F:$F, "2-Year") = "Forever",
  "Valid",
  IF(L205="", "Not Trained",
     IF(L205 &lt; TODAY() - 1, "Expired",
        IF(L205 &lt;= TODAY() + 90, "Expiring", "Valid")
     )
  )
)</f>
        <v>Not Trained</v>
      </c>
      <c r="N205" s="4">
        <v>46939</v>
      </c>
      <c r="O205" s="4" t="str">
        <f ca="1">IF(
  _xlfn.XLOOKUP($D205 &amp; "-" &amp; N$2, TrainingMan!$G:$G, TrainingMan!$F:$F, "2-Year") = "Forever",
  "Valid",
  IF(N205="", "Not Trained",
     IF(N205 &lt; TODAY() - 1, "Expired",
        IF(N205 &lt;= TODAY() + 90, "Expiring", "Valid")
     )
  )
)</f>
        <v>Valid</v>
      </c>
      <c r="P205" s="4">
        <v>46939</v>
      </c>
      <c r="Q205" s="4" t="str">
        <f ca="1">IF(
  _xlfn.XLOOKUP($D205 &amp; "-" &amp; P$2, TrainingMan!$G:$G, TrainingMan!$F:$F, "2-Year") = "Forever",
  "Valid",
  IF(P205="", "Not Trained",
     IF(P205 &lt; TODAY() - 1, "Expired",
        IF(P205 &lt;= TODAY() + 90, "Expiring", "Valid")
     )
  )
)</f>
        <v>Valid</v>
      </c>
      <c r="R205" s="4">
        <v>46939</v>
      </c>
      <c r="S205" s="4" t="str">
        <f ca="1">IF(
  _xlfn.XLOOKUP($D205 &amp; "-" &amp; R$2, TrainingMan!$G:$G, TrainingMan!$F:$F, "2-Year") = "Forever",
  "Valid",
  IF(R205="", "Not Trained",
     IF(R205 &lt; TODAY() - 1, "Expired",
        IF(R205 &lt;= TODAY() + 90, "Expiring", "Valid")
     )
  )
)</f>
        <v>Valid</v>
      </c>
      <c r="T205" s="4">
        <v>46940</v>
      </c>
      <c r="U205" s="4" t="str">
        <f ca="1">IF(
  _xlfn.XLOOKUP($D205 &amp; "-" &amp; T$2, TrainingMan!$G:$G, TrainingMan!$F:$F, "2-Year") = "Forever",
  "Valid",
  IF(T205="", "Not Trained",
     IF(T205 &lt; TODAY() - 1, "Expired",
        IF(T205 &lt;= TODAY() + 90, "Expiring", "Valid")
     )
  )
)</f>
        <v>Valid</v>
      </c>
      <c r="V205" s="4">
        <v>46957</v>
      </c>
      <c r="W205" s="4" t="str">
        <f ca="1">IF(
  _xlfn.XLOOKUP($D205 &amp; "-" &amp; V$2, TrainingMan!$G:$G, TrainingMan!$F:$F, "2-Year") = "Forever",
  "Valid",
  IF(V205="", "Not Trained",
     IF(V205 &lt; TODAY() - 1, "Expired",
        IF(V205 &lt;= TODAY() + 90, "Expiring", "Valid")
     )
  )
)</f>
        <v>Valid</v>
      </c>
      <c r="X205" s="4"/>
      <c r="Y205" s="4" t="str">
        <f ca="1">IF(
  _xlfn.XLOOKUP($D205 &amp; "-" &amp; X$2, TrainingMan!$G:$G, TrainingMan!$F:$F, "2-Year") = "Forever",
  "Valid",
  IF(X205="", "Not Trained",
     IF(X205 &lt; TODAY() - 1, "Expired",
        IF(X205 &lt;= TODAY() + 90, "Expiring", "Valid")
     )
  )
)</f>
        <v>Not Trained</v>
      </c>
      <c r="Z205" s="4"/>
      <c r="AA205" s="4" t="str">
        <f ca="1">IF(LEN(TRIM(Z205)) = 0, "Not Trained",
  IF(_xlfn.XLOOKUP($D205 &amp; "-" &amp; Z$2, TrainingMan!$G:$G, TrainingMan!$F:$F, "2-Year") = "Forever", "Valid",
    IF(Z205 &lt; TODAY() - 1, "Expired",
      IF(Z205 &lt;= TODAY() + 90, "Expiring", "Valid")
    )
  )
)</f>
        <v>Not Trained</v>
      </c>
      <c r="AB205" s="4"/>
      <c r="AC205" s="4"/>
      <c r="AD205" s="4"/>
      <c r="AE205" s="4"/>
      <c r="AF205" s="4"/>
      <c r="AG205" s="4"/>
      <c r="AH205" s="4"/>
      <c r="AI205" s="4"/>
      <c r="AJ205" s="4"/>
      <c r="AN205" s="4"/>
      <c r="AQ205" s="4"/>
      <c r="AR205" s="4"/>
      <c r="AS205" s="4"/>
      <c r="AT205" s="4"/>
      <c r="AU205" s="4"/>
      <c r="BB205" s="4">
        <v>46218</v>
      </c>
      <c r="BC205" s="4"/>
      <c r="BD205" s="4">
        <v>46232</v>
      </c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>
        <f>COUNTIF('TrainingReq (Ach)'!B:B,Table13[[#This Row],[Job Title]])</f>
        <v>13</v>
      </c>
      <c r="BR205" cm="1">
        <f t="array" aca="1" ref="BR205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8</v>
      </c>
      <c r="BS205" s="32">
        <f t="shared" ca="1" si="9"/>
        <v>0.61538461538461542</v>
      </c>
      <c r="BW205" s="4"/>
      <c r="CD205" s="6"/>
      <c r="CE205" s="4" t="str">
        <f ca="1">IF(
  _xlfn.XLOOKUP($D205 &amp; "-" &amp; CC$2, '[1]TrainingReq (Ach)'!$G:$G, '[1]TrainingReq (Ach)'!$F:$F, "2-Year") = "Forever",
  "Valid",
  IF(CC205="", "Not Trained",
     IF(CC205 &lt; TODAY() - 1, "Expired",
        IF(CC205 &lt;= TODAY() + 90, "Expiring", "Valid")
     )
  )
)</f>
        <v>Not Trained</v>
      </c>
      <c r="CG205" s="6"/>
      <c r="CH205" s="4" t="str">
        <f ca="1">IF(
  _xlfn.XLOOKUP($D205 &amp; "-" &amp; CF$2, '[1]TrainingReq (Ach)'!$G:$G, '[1]TrainingReq (Ach)'!$F:$F, "2-Year") = "Forever",
  "Valid",
  IF(CF205="", "Not Trained",
     IF(CF205 &lt; TODAY() - 1, "Expired",
        IF(CF205 &lt;= TODAY() + 90, "Expiring", "Valid")
     )
  )
)</f>
        <v>Not Trained</v>
      </c>
      <c r="CI205" t="str">
        <f t="shared" si="10"/>
        <v>Not eligible</v>
      </c>
      <c r="CJ205" t="str">
        <f t="shared" si="11"/>
        <v>Not eligible</v>
      </c>
    </row>
    <row r="206" spans="1:88" ht="15.75" x14ac:dyDescent="0.25">
      <c r="A206">
        <v>204</v>
      </c>
      <c r="B206">
        <v>584613</v>
      </c>
      <c r="C206" t="s">
        <v>131</v>
      </c>
      <c r="D206" t="s">
        <v>15</v>
      </c>
      <c r="G206" t="s">
        <v>53</v>
      </c>
      <c r="H206" s="4"/>
      <c r="I206" s="4" t="str">
        <f ca="1">IF(
  _xlfn.XLOOKUP($D206 &amp; "-" &amp; H$2, 'TrainingReq (Ach)'!G:G, 'TrainingReq (Ach)'!F:F, "2-Year") = "Forever",
  "Valid",
  IF(H206="", "Not Trained",
     IF(H206 &lt; TODAY() - 1, "Expired",
        IF(H206 &lt;= TODAY() + 90, "Expiring", "Valid")
     )
  )
)</f>
        <v>Not Trained</v>
      </c>
      <c r="J206" s="4">
        <v>46941</v>
      </c>
      <c r="K206" s="4" t="str">
        <f ca="1">IF(
  _xlfn.XLOOKUP($D206 &amp; "-" &amp; J$2, 'TrainingReq (Ach)'!G:G, 'TrainingReq (Ach)'!F:F, "2-Year") = "Forever",
  "Valid",
  IF(J206="", "Not Trained",
     IF(J206 &lt; TODAY() - 1, "Expired",
        IF(J206 &lt;= TODAY() + 90, "Expiring", "Valid")
     )
  )
)</f>
        <v>Valid</v>
      </c>
      <c r="L206" s="4">
        <v>46940</v>
      </c>
      <c r="M206" s="4" t="str">
        <f ca="1">IF(
  _xlfn.XLOOKUP($D206 &amp; "-" &amp; L$2, TrainingMan!$G:$G, TrainingMan!$F:$F, "2-Year") = "Forever",
  "Valid",
  IF(L206="", "Not Trained",
     IF(L206 &lt; TODAY() - 1, "Expired",
        IF(L206 &lt;= TODAY() + 90, "Expiring", "Valid")
     )
  )
)</f>
        <v>Valid</v>
      </c>
      <c r="N206" s="4">
        <v>46679</v>
      </c>
      <c r="O206" s="4" t="str">
        <f ca="1">IF(
  _xlfn.XLOOKUP($D206 &amp; "-" &amp; N$2, TrainingMan!$G:$G, TrainingMan!$F:$F, "2-Year") = "Forever",
  "Valid",
  IF(N206="", "Not Trained",
     IF(N206 &lt; TODAY() - 1, "Expired",
        IF(N206 &lt;= TODAY() + 90, "Expiring", "Valid")
     )
  )
)</f>
        <v>Valid</v>
      </c>
      <c r="P206" s="4">
        <v>46679</v>
      </c>
      <c r="Q206" s="4" t="str">
        <f ca="1">IF(
  _xlfn.XLOOKUP($D206 &amp; "-" &amp; P$2, TrainingMan!$G:$G, TrainingMan!$F:$F, "2-Year") = "Forever",
  "Valid",
  IF(P206="", "Not Trained",
     IF(P206 &lt; TODAY() - 1, "Expired",
        IF(P206 &lt;= TODAY() + 90, "Expiring", "Valid")
     )
  )
)</f>
        <v>Valid</v>
      </c>
      <c r="R206" s="4">
        <v>46679</v>
      </c>
      <c r="S206" s="4" t="str">
        <f ca="1">IF(
  _xlfn.XLOOKUP($D206 &amp; "-" &amp; R$2, TrainingMan!$G:$G, TrainingMan!$F:$F, "2-Year") = "Forever",
  "Valid",
  IF(R206="", "Not Trained",
     IF(R206 &lt; TODAY() - 1, "Expired",
        IF(R206 &lt;= TODAY() + 90, "Expiring", "Valid")
     )
  )
)</f>
        <v>Valid</v>
      </c>
      <c r="T206" s="4">
        <v>46680</v>
      </c>
      <c r="U206" s="4" t="str">
        <f ca="1">IF(
  _xlfn.XLOOKUP($D206 &amp; "-" &amp; T$2, TrainingMan!$G:$G, TrainingMan!$F:$F, "2-Year") = "Forever",
  "Valid",
  IF(T206="", "Not Trained",
     IF(T206 &lt; TODAY() - 1, "Expired",
        IF(T206 &lt;= TODAY() + 90, "Expiring", "Valid")
     )
  )
)</f>
        <v>Valid</v>
      </c>
      <c r="V206" s="4">
        <v>46781</v>
      </c>
      <c r="W206" s="4" t="str">
        <f ca="1">IF(
  _xlfn.XLOOKUP($D206 &amp; "-" &amp; V$2, TrainingMan!$G:$G, TrainingMan!$F:$F, "2-Year") = "Forever",
  "Valid",
  IF(V206="", "Not Trained",
     IF(V206 &lt; TODAY() - 1, "Expired",
        IF(V206 &lt;= TODAY() + 90, "Expiring", "Valid")
     )
  )
)</f>
        <v>Valid</v>
      </c>
      <c r="X206" s="4">
        <v>46824</v>
      </c>
      <c r="Y206" s="4" t="str">
        <f ca="1">IF(
  _xlfn.XLOOKUP($D206 &amp; "-" &amp; X$2, TrainingMan!$G:$G, TrainingMan!$F:$F, "2-Year") = "Forever",
  "Valid",
  IF(X206="", "Not Trained",
     IF(X206 &lt; TODAY() - 1, "Expired",
        IF(X206 &lt;= TODAY() + 90, "Expiring", "Valid")
     )
  )
)</f>
        <v>Valid</v>
      </c>
      <c r="Z206" s="4">
        <v>46963</v>
      </c>
      <c r="AA206" s="4" t="str">
        <f ca="1">IF(LEN(TRIM(Z206)) = 0, "Not Trained",
  IF(_xlfn.XLOOKUP($D206 &amp; "-" &amp; Z$2, TrainingMan!$G:$G, TrainingMan!$F:$F, "2-Year") = "Forever", "Valid",
    IF(Z206 &lt; TODAY() - 1, "Expired",
      IF(Z206 &lt;= TODAY() + 90, "Expiring", "Valid")
    )
  )
)</f>
        <v>Valid</v>
      </c>
      <c r="AB206" s="4">
        <v>45845</v>
      </c>
      <c r="AC206" s="4"/>
      <c r="AD206" s="4"/>
      <c r="AE206" s="4"/>
      <c r="AF206" s="4"/>
      <c r="AG206" s="4"/>
      <c r="AH206" s="4"/>
      <c r="AI206" s="4"/>
      <c r="AJ206" s="4"/>
      <c r="AN206" s="4"/>
      <c r="AQ206" s="4"/>
      <c r="AR206" s="4"/>
      <c r="AS206" s="4"/>
      <c r="AT206" s="4"/>
      <c r="AU206" s="4"/>
      <c r="BB206" s="4"/>
      <c r="BC206" s="4"/>
      <c r="BD206" s="4">
        <v>45855</v>
      </c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>
        <f>COUNTIF('TrainingReq (Ach)'!B:B,Table13[[#This Row],[Job Title]])</f>
        <v>13</v>
      </c>
      <c r="BR206" cm="1">
        <f t="array" aca="1" ref="BR206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10</v>
      </c>
      <c r="BS206" s="16">
        <f t="shared" ca="1" si="9"/>
        <v>0.76923076923076927</v>
      </c>
      <c r="BW206" s="4"/>
      <c r="CD206" s="6"/>
      <c r="CE206" s="4" t="str">
        <f ca="1">IF(
  _xlfn.XLOOKUP($D206 &amp; "-" &amp; CC$2, '[1]TrainingReq (Ach)'!$G:$G, '[1]TrainingReq (Ach)'!$F:$F, "2-Year") = "Forever",
  "Valid",
  IF(CC206="", "Not Trained",
     IF(CC206 &lt; TODAY() - 1, "Expired",
        IF(CC206 &lt;= TODAY() + 90, "Expiring", "Valid")
     )
  )
)</f>
        <v>Not Trained</v>
      </c>
      <c r="CG206" s="6"/>
      <c r="CH206" s="4" t="str">
        <f ca="1">IF(
  _xlfn.XLOOKUP($D206 &amp; "-" &amp; CF$2, '[1]TrainingReq (Ach)'!$G:$G, '[1]TrainingReq (Ach)'!$F:$F, "2-Year") = "Forever",
  "Valid",
  IF(CF206="", "Not Trained",
     IF(CF206 &lt; TODAY() - 1, "Expired",
        IF(CF206 &lt;= TODAY() + 90, "Expiring", "Valid")
     )
  )
)</f>
        <v>Not Trained</v>
      </c>
      <c r="CI206" t="str">
        <f t="shared" si="10"/>
        <v>Not eligible</v>
      </c>
      <c r="CJ206" t="str">
        <f t="shared" si="11"/>
        <v>Not eligible</v>
      </c>
    </row>
    <row r="207" spans="1:88" ht="15.75" x14ac:dyDescent="0.25">
      <c r="A207">
        <v>205</v>
      </c>
      <c r="B207">
        <v>584614</v>
      </c>
      <c r="C207" t="s">
        <v>132</v>
      </c>
      <c r="D207" t="s">
        <v>15</v>
      </c>
      <c r="G207" t="s">
        <v>53</v>
      </c>
      <c r="H207" s="4">
        <v>46773</v>
      </c>
      <c r="I207" s="4" t="str">
        <f ca="1">IF(
  _xlfn.XLOOKUP($D207 &amp; "-" &amp; H$2, 'TrainingReq (Ach)'!G:G, 'TrainingReq (Ach)'!F:F, "2-Year") = "Forever",
  "Valid",
  IF(H207="", "Not Trained",
     IF(H207 &lt; TODAY() - 1, "Expired",
        IF(H207 &lt;= TODAY() + 90, "Expiring", "Valid")
     )
  )
)</f>
        <v>Valid</v>
      </c>
      <c r="J207" s="4">
        <v>46773</v>
      </c>
      <c r="K207" s="4" t="str">
        <f ca="1">IF(
  _xlfn.XLOOKUP($D207 &amp; "-" &amp; J$2, 'TrainingReq (Ach)'!G:G, 'TrainingReq (Ach)'!F:F, "2-Year") = "Forever",
  "Valid",
  IF(J207="", "Not Trained",
     IF(J207 &lt; TODAY() - 1, "Expired",
        IF(J207 &lt;= TODAY() + 90, "Expiring", "Valid")
     )
  )
)</f>
        <v>Valid</v>
      </c>
      <c r="L207" s="4">
        <v>46822</v>
      </c>
      <c r="M207" s="4" t="str">
        <f ca="1">IF(
  _xlfn.XLOOKUP($D207 &amp; "-" &amp; L$2, TrainingMan!$G:$G, TrainingMan!$F:$F, "2-Year") = "Forever",
  "Valid",
  IF(L207="", "Not Trained",
     IF(L207 &lt; TODAY() - 1, "Expired",
        IF(L207 &lt;= TODAY() + 90, "Expiring", "Valid")
     )
  )
)</f>
        <v>Valid</v>
      </c>
      <c r="N207" s="4">
        <v>46971</v>
      </c>
      <c r="O207" s="4" t="str">
        <f ca="1">IF(
  _xlfn.XLOOKUP($D207 &amp; "-" &amp; N$2, TrainingMan!$G:$G, TrainingMan!$F:$F, "2-Year") = "Forever",
  "Valid",
  IF(N207="", "Not Trained",
     IF(N207 &lt; TODAY() - 1, "Expired",
        IF(N207 &lt;= TODAY() + 90, "Expiring", "Valid")
     )
  )
)</f>
        <v>Valid</v>
      </c>
      <c r="P207" s="4">
        <v>46971</v>
      </c>
      <c r="Q207" s="4" t="str">
        <f ca="1">IF(
  _xlfn.XLOOKUP($D207 &amp; "-" &amp; P$2, TrainingMan!$G:$G, TrainingMan!$F:$F, "2-Year") = "Forever",
  "Valid",
  IF(P207="", "Not Trained",
     IF(P207 &lt; TODAY() - 1, "Expired",
        IF(P207 &lt;= TODAY() + 90, "Expiring", "Valid")
     )
  )
)</f>
        <v>Valid</v>
      </c>
      <c r="R207" s="4">
        <v>46971</v>
      </c>
      <c r="S207" s="4" t="str">
        <f ca="1">IF(
  _xlfn.XLOOKUP($D207 &amp; "-" &amp; R$2, TrainingMan!$G:$G, TrainingMan!$F:$F, "2-Year") = "Forever",
  "Valid",
  IF(R207="", "Not Trained",
     IF(R207 &lt; TODAY() - 1, "Expired",
        IF(R207 &lt;= TODAY() + 90, "Expiring", "Valid")
     )
  )
)</f>
        <v>Valid</v>
      </c>
      <c r="T207" s="4">
        <v>46972</v>
      </c>
      <c r="U207" s="4" t="str">
        <f ca="1">IF(
  _xlfn.XLOOKUP($D207 &amp; "-" &amp; T$2, TrainingMan!$G:$G, TrainingMan!$F:$F, "2-Year") = "Forever",
  "Valid",
  IF(T207="", "Not Trained",
     IF(T207 &lt; TODAY() - 1, "Expired",
        IF(T207 &lt;= TODAY() + 90, "Expiring", "Valid")
     )
  )
)</f>
        <v>Valid</v>
      </c>
      <c r="V207" s="4">
        <v>46640</v>
      </c>
      <c r="W207" s="4" t="str">
        <f ca="1">IF(
  _xlfn.XLOOKUP($D207 &amp; "-" &amp; V$2, TrainingMan!$G:$G, TrainingMan!$F:$F, "2-Year") = "Forever",
  "Valid",
  IF(V207="", "Not Trained",
     IF(V207 &lt; TODAY() - 1, "Expired",
        IF(V207 &lt;= TODAY() + 90, "Expiring", "Valid")
     )
  )
)</f>
        <v>Valid</v>
      </c>
      <c r="X207" s="4">
        <v>46529</v>
      </c>
      <c r="Y207" s="4" t="str">
        <f ca="1">IF(
  _xlfn.XLOOKUP($D207 &amp; "-" &amp; X$2, TrainingMan!$G:$G, TrainingMan!$F:$F, "2-Year") = "Forever",
  "Valid",
  IF(X207="", "Not Trained",
     IF(X207 &lt; TODAY() - 1, "Expired",
        IF(X207 &lt;= TODAY() + 90, "Expiring", "Valid")
     )
  )
)</f>
        <v>Valid</v>
      </c>
      <c r="Z207" s="4"/>
      <c r="AA207" s="4" t="str">
        <f ca="1">IF(LEN(TRIM(Z207)) = 0, "Not Trained",
  IF(_xlfn.XLOOKUP($D207 &amp; "-" &amp; Z$2, TrainingMan!$G:$G, TrainingMan!$F:$F, "2-Year") = "Forever", "Valid",
    IF(Z207 &lt; TODAY() - 1, "Expired",
      IF(Z207 &lt;= TODAY() + 90, "Expiring", "Valid")
    )
  )
)</f>
        <v>Not Trained</v>
      </c>
      <c r="AB207" s="4">
        <v>45929</v>
      </c>
      <c r="AC207" s="4"/>
      <c r="AD207" s="4"/>
      <c r="AE207" s="4"/>
      <c r="AF207" s="4"/>
      <c r="AG207" s="4"/>
      <c r="AH207" s="4"/>
      <c r="AI207" s="4"/>
      <c r="AJ207" s="4"/>
      <c r="AN207" s="4"/>
      <c r="AQ207" s="4"/>
      <c r="AR207" s="4"/>
      <c r="AS207" s="4"/>
      <c r="AT207" s="4"/>
      <c r="AU207" s="4"/>
      <c r="BB207" s="4"/>
      <c r="BC207" s="4"/>
      <c r="BD207" s="4">
        <v>45819</v>
      </c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>
        <f>COUNTIF('TrainingReq (Ach)'!B:B,Table13[[#This Row],[Job Title]])</f>
        <v>13</v>
      </c>
      <c r="BR207" cm="1">
        <f t="array" aca="1" ref="BR207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10</v>
      </c>
      <c r="BS207" s="16">
        <f t="shared" ca="1" si="9"/>
        <v>0.76923076923076927</v>
      </c>
      <c r="BW207" s="4"/>
      <c r="CD207" s="6"/>
      <c r="CE207" s="4" t="str">
        <f ca="1">IF(
  _xlfn.XLOOKUP($D207 &amp; "-" &amp; CC$2, '[1]TrainingReq (Ach)'!$G:$G, '[1]TrainingReq (Ach)'!$F:$F, "2-Year") = "Forever",
  "Valid",
  IF(CC207="", "Not Trained",
     IF(CC207 &lt; TODAY() - 1, "Expired",
        IF(CC207 &lt;= TODAY() + 90, "Expiring", "Valid")
     )
  )
)</f>
        <v>Not Trained</v>
      </c>
      <c r="CG207" s="6"/>
      <c r="CH207" s="4" t="str">
        <f ca="1">IF(
  _xlfn.XLOOKUP($D207 &amp; "-" &amp; CF$2, '[1]TrainingReq (Ach)'!$G:$G, '[1]TrainingReq (Ach)'!$F:$F, "2-Year") = "Forever",
  "Valid",
  IF(CF207="", "Not Trained",
     IF(CF207 &lt; TODAY() - 1, "Expired",
        IF(CF207 &lt;= TODAY() + 90, "Expiring", "Valid")
     )
  )
)</f>
        <v>Not Trained</v>
      </c>
      <c r="CI207" t="str">
        <f t="shared" si="10"/>
        <v>Not eligible</v>
      </c>
      <c r="CJ207" t="str">
        <f t="shared" si="11"/>
        <v>Not eligible</v>
      </c>
    </row>
    <row r="208" spans="1:88" x14ac:dyDescent="0.25">
      <c r="A208">
        <v>206</v>
      </c>
      <c r="B208">
        <v>584615</v>
      </c>
      <c r="C208" t="s">
        <v>133</v>
      </c>
      <c r="D208" t="s">
        <v>15</v>
      </c>
      <c r="G208" t="s">
        <v>53</v>
      </c>
      <c r="H208" s="4"/>
      <c r="I208" s="4" t="str">
        <f ca="1">IF(
  _xlfn.XLOOKUP($D208 &amp; "-" &amp; H$2, 'TrainingReq (Ach)'!G:G, 'TrainingReq (Ach)'!F:F, "2-Year") = "Forever",
  "Valid",
  IF(H208="", "Not Trained",
     IF(H208 &lt; TODAY() - 1, "Expired",
        IF(H208 &lt;= TODAY() + 90, "Expiring", "Valid")
     )
  )
)</f>
        <v>Not Trained</v>
      </c>
      <c r="J208" s="4">
        <v>46941</v>
      </c>
      <c r="K208" s="4" t="str">
        <f ca="1">IF(
  _xlfn.XLOOKUP($D208 &amp; "-" &amp; J$2, 'TrainingReq (Ach)'!G:G, 'TrainingReq (Ach)'!F:F, "2-Year") = "Forever",
  "Valid",
  IF(J208="", "Not Trained",
     IF(J208 &lt; TODAY() - 1, "Expired",
        IF(J208 &lt;= TODAY() + 90, "Expiring", "Valid")
     )
  )
)</f>
        <v>Valid</v>
      </c>
      <c r="L208" s="4">
        <v>46940</v>
      </c>
      <c r="M208" s="4" t="str">
        <f ca="1">IF(
  _xlfn.XLOOKUP($D208 &amp; "-" &amp; L$2, TrainingMan!$G:$G, TrainingMan!$F:$F, "2-Year") = "Forever",
  "Valid",
  IF(L208="", "Not Trained",
     IF(L208 &lt; TODAY() - 1, "Expired",
        IF(L208 &lt;= TODAY() + 90, "Expiring", "Valid")
     )
  )
)</f>
        <v>Valid</v>
      </c>
      <c r="N208" s="4">
        <v>46700</v>
      </c>
      <c r="O208" s="4" t="str">
        <f ca="1">IF(
  _xlfn.XLOOKUP($D208 &amp; "-" &amp; N$2, TrainingMan!$G:$G, TrainingMan!$F:$F, "2-Year") = "Forever",
  "Valid",
  IF(N208="", "Not Trained",
     IF(N208 &lt; TODAY() - 1, "Expired",
        IF(N208 &lt;= TODAY() + 90, "Expiring", "Valid")
     )
  )
)</f>
        <v>Valid</v>
      </c>
      <c r="P208" s="4">
        <v>46700</v>
      </c>
      <c r="Q208" s="4" t="str">
        <f ca="1">IF(
  _xlfn.XLOOKUP($D208 &amp; "-" &amp; P$2, TrainingMan!$G:$G, TrainingMan!$F:$F, "2-Year") = "Forever",
  "Valid",
  IF(P208="", "Not Trained",
     IF(P208 &lt; TODAY() - 1, "Expired",
        IF(P208 &lt;= TODAY() + 90, "Expiring", "Valid")
     )
  )
)</f>
        <v>Valid</v>
      </c>
      <c r="R208" s="4">
        <v>46700</v>
      </c>
      <c r="S208" s="4" t="str">
        <f ca="1">IF(
  _xlfn.XLOOKUP($D208 &amp; "-" &amp; R$2, TrainingMan!$G:$G, TrainingMan!$F:$F, "2-Year") = "Forever",
  "Valid",
  IF(R208="", "Not Trained",
     IF(R208 &lt; TODAY() - 1, "Expired",
        IF(R208 &lt;= TODAY() + 90, "Expiring", "Valid")
     )
  )
)</f>
        <v>Valid</v>
      </c>
      <c r="T208" s="4">
        <v>46701</v>
      </c>
      <c r="U208" s="4" t="str">
        <f ca="1">IF(
  _xlfn.XLOOKUP($D208 &amp; "-" &amp; T$2, TrainingMan!$G:$G, TrainingMan!$F:$F, "2-Year") = "Forever",
  "Valid",
  IF(T208="", "Not Trained",
     IF(T208 &lt; TODAY() - 1, "Expired",
        IF(T208 &lt;= TODAY() + 90, "Expiring", "Valid")
     )
  )
)</f>
        <v>Valid</v>
      </c>
      <c r="V208" s="4">
        <v>46781</v>
      </c>
      <c r="W208" s="4" t="str">
        <f ca="1">IF(
  _xlfn.XLOOKUP($D208 &amp; "-" &amp; V$2, TrainingMan!$G:$G, TrainingMan!$F:$F, "2-Year") = "Forever",
  "Valid",
  IF(V208="", "Not Trained",
     IF(V208 &lt; TODAY() - 1, "Expired",
        IF(V208 &lt;= TODAY() + 90, "Expiring", "Valid")
     )
  )
)</f>
        <v>Valid</v>
      </c>
      <c r="X208" s="4"/>
      <c r="Y208" s="4" t="str">
        <f ca="1">IF(
  _xlfn.XLOOKUP($D208 &amp; "-" &amp; X$2, TrainingMan!$G:$G, TrainingMan!$F:$F, "2-Year") = "Forever",
  "Valid",
  IF(X208="", "Not Trained",
     IF(X208 &lt; TODAY() - 1, "Expired",
        IF(X208 &lt;= TODAY() + 90, "Expiring", "Valid")
     )
  )
)</f>
        <v>Not Trained</v>
      </c>
      <c r="Z208" s="4"/>
      <c r="AA208" s="4" t="str">
        <f ca="1">IF(LEN(TRIM(Z208)) = 0, "Not Trained",
  IF(_xlfn.XLOOKUP($D208 &amp; "-" &amp; Z$2, TrainingMan!$G:$G, TrainingMan!$F:$F, "2-Year") = "Forever", "Valid",
    IF(Z208 &lt; TODAY() - 1, "Expired",
      IF(Z208 &lt;= TODAY() + 90, "Expiring", "Valid")
    )
  )
)</f>
        <v>Not Trained</v>
      </c>
      <c r="AB208" s="4">
        <v>45931</v>
      </c>
      <c r="AC208" s="4"/>
      <c r="AD208" s="4"/>
      <c r="AE208" s="4"/>
      <c r="AF208" s="4"/>
      <c r="AG208" s="4"/>
      <c r="AH208" s="4"/>
      <c r="AI208" s="4"/>
      <c r="AJ208" s="4"/>
      <c r="AN208" s="4"/>
      <c r="AQ208" s="4"/>
      <c r="AR208" s="4"/>
      <c r="AS208" s="4"/>
      <c r="AT208" s="4"/>
      <c r="AU208" s="4"/>
      <c r="BB208" s="4"/>
      <c r="BC208" s="4"/>
      <c r="BD208" s="4">
        <v>45965</v>
      </c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>
        <f>COUNTIF('TrainingReq (Ach)'!B:B,Table13[[#This Row],[Job Title]])</f>
        <v>13</v>
      </c>
      <c r="BR208" cm="1">
        <f t="array" aca="1" ref="BR208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8</v>
      </c>
      <c r="BS208" s="32">
        <f t="shared" ca="1" si="9"/>
        <v>0.61538461538461542</v>
      </c>
      <c r="BW208" s="4"/>
      <c r="CD208" s="6"/>
      <c r="CE208" s="4" t="str">
        <f ca="1">IF(
  _xlfn.XLOOKUP($D208 &amp; "-" &amp; CC$2, '[1]TrainingReq (Ach)'!$G:$G, '[1]TrainingReq (Ach)'!$F:$F, "2-Year") = "Forever",
  "Valid",
  IF(CC208="", "Not Trained",
     IF(CC208 &lt; TODAY() - 1, "Expired",
        IF(CC208 &lt;= TODAY() + 90, "Expiring", "Valid")
     )
  )
)</f>
        <v>Not Trained</v>
      </c>
      <c r="CG208" s="6"/>
      <c r="CH208" s="4" t="str">
        <f ca="1">IF(
  _xlfn.XLOOKUP($D208 &amp; "-" &amp; CF$2, '[1]TrainingReq (Ach)'!$G:$G, '[1]TrainingReq (Ach)'!$F:$F, "2-Year") = "Forever",
  "Valid",
  IF(CF208="", "Not Trained",
     IF(CF208 &lt; TODAY() - 1, "Expired",
        IF(CF208 &lt;= TODAY() + 90, "Expiring", "Valid")
     )
  )
)</f>
        <v>Not Trained</v>
      </c>
      <c r="CI208" t="str">
        <f t="shared" si="10"/>
        <v>Not eligible</v>
      </c>
      <c r="CJ208" t="str">
        <f t="shared" si="11"/>
        <v>Not eligible</v>
      </c>
    </row>
    <row r="209" spans="1:88" x14ac:dyDescent="0.25">
      <c r="A209">
        <v>207</v>
      </c>
      <c r="B209">
        <v>584626</v>
      </c>
      <c r="C209" t="s">
        <v>756</v>
      </c>
      <c r="D209" t="s">
        <v>6</v>
      </c>
      <c r="G209" t="s">
        <v>53</v>
      </c>
      <c r="H209" s="4"/>
      <c r="I209" s="4" t="str">
        <f ca="1">IF(
  _xlfn.XLOOKUP($D209 &amp; "-" &amp; H$2, 'TrainingReq (Ach)'!G:G, 'TrainingReq (Ach)'!F:F, "2-Year") = "Forever",
  "Valid",
  IF(H209="", "Not Trained",
     IF(H209 &lt; TODAY() - 1, "Expired",
        IF(H209 &lt;= TODAY() + 90, "Expiring", "Valid")
     )
  )
)</f>
        <v>Not Trained</v>
      </c>
      <c r="J209" s="4">
        <v>46941</v>
      </c>
      <c r="K209" s="4" t="str">
        <f ca="1">IF(
  _xlfn.XLOOKUP($D209 &amp; "-" &amp; J$2, 'TrainingReq (Ach)'!G:G, 'TrainingReq (Ach)'!F:F, "2-Year") = "Forever",
  "Valid",
  IF(J209="", "Not Trained",
     IF(J209 &lt; TODAY() - 1, "Expired",
        IF(J209 &lt;= TODAY() + 90, "Expiring", "Valid")
     )
  )
)</f>
        <v>Valid</v>
      </c>
      <c r="L209" s="4">
        <v>46940</v>
      </c>
      <c r="M209" s="4" t="str">
        <f ca="1">IF(
  _xlfn.XLOOKUP($D209 &amp; "-" &amp; L$2, TrainingMan!$G:$G, TrainingMan!$F:$F, "2-Year") = "Forever",
  "Valid",
  IF(L209="", "Not Trained",
     IF(L209 &lt; TODAY() - 1, "Expired",
        IF(L209 &lt;= TODAY() + 90, "Expiring", "Valid")
     )
  )
)</f>
        <v>Valid</v>
      </c>
      <c r="N209" s="4"/>
      <c r="O209" s="4" t="str">
        <f ca="1">IF(
  _xlfn.XLOOKUP($D209 &amp; "-" &amp; N$2, TrainingMan!$G:$G, TrainingMan!$F:$F, "2-Year") = "Forever",
  "Valid",
  IF(N209="", "Not Trained",
     IF(N209 &lt; TODAY() - 1, "Expired",
        IF(N209 &lt;= TODAY() + 90, "Expiring", "Valid")
     )
  )
)</f>
        <v>Not Trained</v>
      </c>
      <c r="P209" s="4"/>
      <c r="Q209" s="4" t="str">
        <f ca="1">IF(
  _xlfn.XLOOKUP($D209 &amp; "-" &amp; P$2, TrainingMan!$G:$G, TrainingMan!$F:$F, "2-Year") = "Forever",
  "Valid",
  IF(P209="", "Not Trained",
     IF(P209 &lt; TODAY() - 1, "Expired",
        IF(P209 &lt;= TODAY() + 90, "Expiring", "Valid")
     )
  )
)</f>
        <v>Not Trained</v>
      </c>
      <c r="R209" s="4"/>
      <c r="S209" s="4" t="str">
        <f ca="1">IF(
  _xlfn.XLOOKUP($D209 &amp; "-" &amp; R$2, TrainingMan!$G:$G, TrainingMan!$F:$F, "2-Year") = "Forever",
  "Valid",
  IF(R209="", "Not Trained",
     IF(R209 &lt; TODAY() - 1, "Expired",
        IF(R209 &lt;= TODAY() + 90, "Expiring", "Valid")
     )
  )
)</f>
        <v>Not Trained</v>
      </c>
      <c r="T209" s="4"/>
      <c r="U209" s="4" t="str">
        <f ca="1">IF(
  _xlfn.XLOOKUP($D209 &amp; "-" &amp; T$2, TrainingMan!$G:$G, TrainingMan!$F:$F, "2-Year") = "Forever",
  "Valid",
  IF(T209="", "Not Trained",
     IF(T209 &lt; TODAY() - 1, "Expired",
        IF(T209 &lt;= TODAY() + 90, "Expiring", "Valid")
     )
  )
)</f>
        <v>Not Trained</v>
      </c>
      <c r="V209" s="4"/>
      <c r="W209" s="4" t="str">
        <f ca="1">IF(
  _xlfn.XLOOKUP($D209 &amp; "-" &amp; V$2, TrainingMan!$G:$G, TrainingMan!$F:$F, "2-Year") = "Forever",
  "Valid",
  IF(V209="", "Not Trained",
     IF(V209 &lt; TODAY() - 1, "Expired",
        IF(V209 &lt;= TODAY() + 90, "Expiring", "Valid")
     )
  )
)</f>
        <v>Not Trained</v>
      </c>
      <c r="X209" s="4"/>
      <c r="Y209" s="4" t="str">
        <f ca="1">IF(
  _xlfn.XLOOKUP($D209 &amp; "-" &amp; X$2, TrainingMan!$G:$G, TrainingMan!$F:$F, "2-Year") = "Forever",
  "Valid",
  IF(X209="", "Not Trained",
     IF(X209 &lt; TODAY() - 1, "Expired",
        IF(X209 &lt;= TODAY() + 90, "Expiring", "Valid")
     )
  )
)</f>
        <v>Not Trained</v>
      </c>
      <c r="Z209" s="4"/>
      <c r="AA209" s="4" t="str">
        <f ca="1">IF(LEN(TRIM(Z209)) = 0, "Not Trained",
  IF(_xlfn.XLOOKUP($D209 &amp; "-" &amp; Z$2, TrainingMan!$G:$G, TrainingMan!$F:$F, "2-Year") = "Forever", "Valid",
    IF(Z209 &lt; TODAY() - 1, "Expired",
      IF(Z209 &lt;= TODAY() + 90, "Expiring", "Valid")
    )
  )
)</f>
        <v>Not Trained</v>
      </c>
      <c r="AB209" s="4"/>
      <c r="AC209" s="4"/>
      <c r="AD209" s="4"/>
      <c r="AE209" s="4"/>
      <c r="AF209" s="4"/>
      <c r="AG209" s="4"/>
      <c r="AH209" s="4"/>
      <c r="AI209" s="4"/>
      <c r="AJ209" s="4"/>
      <c r="AN209" s="4"/>
      <c r="AQ209" s="4"/>
      <c r="AR209" s="4"/>
      <c r="AS209" s="4"/>
      <c r="AT209" s="4"/>
      <c r="AU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>
        <f>COUNTIF('TrainingReq (Ach)'!B:B,Table13[[#This Row],[Job Title]])</f>
        <v>15</v>
      </c>
      <c r="BR209" cm="1">
        <f t="array" aca="1" ref="BR209" ca="1">SUMPRODUCT(
    COUNTIFS(
        ValidityMatrix[Job Title], Table13[[#This Row],[Job Title]],
        ValidityMatrix[Training Type], Table13[[#Headers],[Human Factor]:[Mandatory for Supporting]]
    ),
    --(Table13[[#This Row],[Human Factor]:[Mandatory for Supporting]]&lt;&gt;""),
    --(Table13[[#This Row],[Human Factor]:[Mandatory for Supporting]]&lt;&gt;"Not Trained")
)</f>
        <v>2</v>
      </c>
      <c r="BS209" s="32">
        <f t="shared" ca="1" si="9"/>
        <v>0.13333333333333333</v>
      </c>
      <c r="BW209" s="4"/>
      <c r="CD209" s="6"/>
      <c r="CE209" s="4" t="str">
        <f ca="1">IF(
  _xlfn.XLOOKUP($D209 &amp; "-" &amp; CC$2, '[1]TrainingReq (Ach)'!$G:$G, '[1]TrainingReq (Ach)'!$F:$F, "2-Year") = "Forever",
  "Valid",
  IF(CC209="", "Not Trained",
     IF(CC209 &lt; TODAY() - 1, "Expired",
        IF(CC209 &lt;= TODAY() + 90, "Expiring", "Valid")
     )
  )
)</f>
        <v>Not Trained</v>
      </c>
      <c r="CG209" s="6"/>
      <c r="CH209" s="4" t="str">
        <f ca="1">IF(
  _xlfn.XLOOKUP($D209 &amp; "-" &amp; CF$2, '[1]TrainingReq (Ach)'!$G:$G, '[1]TrainingReq (Ach)'!$F:$F, "2-Year") = "Forever",
  "Valid",
  IF(CF209="", "Not Trained",
     IF(CF209 &lt; TODAY() - 1, "Expired",
        IF(CF209 &lt;= TODAY() + 90, "Expiring", "Valid")
     )
  )
)</f>
        <v>Not Trained</v>
      </c>
      <c r="CI209" t="str">
        <f t="shared" si="10"/>
        <v>Not eligible</v>
      </c>
      <c r="CJ209" t="str">
        <f t="shared" si="11"/>
        <v>Not eligible</v>
      </c>
    </row>
    <row r="210" spans="1:88" x14ac:dyDescent="0.25"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N210" s="4"/>
      <c r="AQ210" s="4"/>
      <c r="AR210" s="4"/>
      <c r="AS210" s="4"/>
      <c r="AT210" s="4"/>
      <c r="AU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S210" s="32"/>
      <c r="BW210" s="4"/>
      <c r="CD210" s="6"/>
      <c r="CE210" s="4"/>
      <c r="CG210" s="6"/>
      <c r="CH210" s="4"/>
    </row>
    <row r="211" spans="1:88" ht="36.75" thickBot="1" x14ac:dyDescent="0.3">
      <c r="E211" s="33" t="s">
        <v>757</v>
      </c>
      <c r="F211" s="37"/>
      <c r="BR211" s="7" t="s">
        <v>758</v>
      </c>
      <c r="BS211" s="8">
        <f ca="1">SUM(BR5:BR209)/SUM(BQ5:BQ209)</f>
        <v>0.96778295888088173</v>
      </c>
    </row>
    <row r="212" spans="1:88" ht="16.5" hidden="1" customHeight="1" x14ac:dyDescent="0.25">
      <c r="E212" s="34" t="s">
        <v>759</v>
      </c>
      <c r="F212" s="38"/>
      <c r="BR212" s="7"/>
      <c r="BS212" s="9">
        <f ca="1">AVERAGE(BS5:BS209)</f>
        <v>0.97305041841627216</v>
      </c>
    </row>
    <row r="213" spans="1:88" ht="63.75" thickBot="1" x14ac:dyDescent="0.3">
      <c r="E213" s="35" t="s">
        <v>760</v>
      </c>
      <c r="F213" s="39"/>
    </row>
    <row r="214" spans="1:88" ht="27.75" thickBot="1" x14ac:dyDescent="0.3">
      <c r="E214" s="34" t="s">
        <v>6</v>
      </c>
      <c r="F214" s="38"/>
    </row>
    <row r="215" spans="1:88" ht="27" x14ac:dyDescent="0.25">
      <c r="E215" s="35" t="s">
        <v>6</v>
      </c>
      <c r="F215" s="39"/>
    </row>
    <row r="216" spans="1:88" ht="54" x14ac:dyDescent="0.25">
      <c r="E216" s="34" t="s">
        <v>761</v>
      </c>
      <c r="F216" s="38"/>
    </row>
    <row r="217" spans="1:88" ht="36" x14ac:dyDescent="0.25">
      <c r="E217" s="35" t="s">
        <v>12</v>
      </c>
      <c r="F217" s="39"/>
      <c r="AA217" s="28"/>
    </row>
    <row r="218" spans="1:88" ht="27" x14ac:dyDescent="0.25">
      <c r="E218" s="34" t="s">
        <v>6</v>
      </c>
      <c r="F218" s="38"/>
    </row>
    <row r="219" spans="1:88" ht="27" x14ac:dyDescent="0.25">
      <c r="E219" s="35" t="s">
        <v>6</v>
      </c>
      <c r="F219" s="39"/>
    </row>
    <row r="220" spans="1:88" ht="45" x14ac:dyDescent="0.25">
      <c r="E220" s="34" t="s">
        <v>15</v>
      </c>
      <c r="F220" s="38"/>
    </row>
    <row r="221" spans="1:88" ht="27" x14ac:dyDescent="0.25">
      <c r="E221" s="35" t="s">
        <v>6</v>
      </c>
      <c r="F221" s="39"/>
    </row>
    <row r="222" spans="1:88" ht="54" x14ac:dyDescent="0.25">
      <c r="E222" s="34" t="s">
        <v>18</v>
      </c>
      <c r="F222" s="38"/>
    </row>
    <row r="223" spans="1:88" ht="54" x14ac:dyDescent="0.25">
      <c r="E223" s="35" t="s">
        <v>18</v>
      </c>
      <c r="F223" s="39"/>
    </row>
    <row r="224" spans="1:88" ht="54" x14ac:dyDescent="0.25">
      <c r="E224" s="34" t="s">
        <v>18</v>
      </c>
      <c r="F224" s="38"/>
    </row>
    <row r="225" spans="5:6" ht="54" x14ac:dyDescent="0.25">
      <c r="E225" s="35" t="s">
        <v>18</v>
      </c>
      <c r="F225" s="39"/>
    </row>
    <row r="226" spans="5:6" ht="54" x14ac:dyDescent="0.25">
      <c r="E226" s="34" t="s">
        <v>18</v>
      </c>
      <c r="F226" s="38"/>
    </row>
    <row r="227" spans="5:6" ht="63" x14ac:dyDescent="0.25">
      <c r="E227" s="35" t="s">
        <v>762</v>
      </c>
      <c r="F227" s="39"/>
    </row>
    <row r="228" spans="5:6" ht="63" x14ac:dyDescent="0.25">
      <c r="E228" s="34" t="s">
        <v>762</v>
      </c>
      <c r="F228" s="38"/>
    </row>
    <row r="229" spans="5:6" ht="36" x14ac:dyDescent="0.25">
      <c r="E229" s="35" t="s">
        <v>7</v>
      </c>
      <c r="F229" s="39"/>
    </row>
    <row r="230" spans="5:6" ht="36" x14ac:dyDescent="0.25">
      <c r="E230" s="34" t="s">
        <v>7</v>
      </c>
      <c r="F230" s="38"/>
    </row>
    <row r="231" spans="5:6" ht="36" x14ac:dyDescent="0.25">
      <c r="E231" s="35" t="s">
        <v>7</v>
      </c>
      <c r="F231" s="39"/>
    </row>
    <row r="232" spans="5:6" ht="36" x14ac:dyDescent="0.25">
      <c r="E232" s="34" t="s">
        <v>7</v>
      </c>
      <c r="F232" s="38"/>
    </row>
    <row r="233" spans="5:6" ht="54" x14ac:dyDescent="0.25">
      <c r="E233" s="35" t="s">
        <v>763</v>
      </c>
      <c r="F233" s="39"/>
    </row>
    <row r="234" spans="5:6" ht="27" x14ac:dyDescent="0.25">
      <c r="E234" s="34" t="s">
        <v>6</v>
      </c>
      <c r="F234" s="38"/>
    </row>
    <row r="235" spans="5:6" ht="27" x14ac:dyDescent="0.25">
      <c r="E235" s="35" t="s">
        <v>6</v>
      </c>
      <c r="F235" s="39"/>
    </row>
    <row r="236" spans="5:6" ht="36" x14ac:dyDescent="0.25">
      <c r="E236" s="34" t="s">
        <v>14</v>
      </c>
      <c r="F236" s="38"/>
    </row>
    <row r="237" spans="5:6" ht="45" x14ac:dyDescent="0.25">
      <c r="E237" s="35" t="s">
        <v>15</v>
      </c>
      <c r="F237" s="39"/>
    </row>
    <row r="238" spans="5:6" ht="45" x14ac:dyDescent="0.25">
      <c r="E238" s="34" t="s">
        <v>15</v>
      </c>
      <c r="F238" s="38"/>
    </row>
    <row r="239" spans="5:6" ht="45" x14ac:dyDescent="0.25">
      <c r="E239" s="35" t="s">
        <v>15</v>
      </c>
      <c r="F239" s="39"/>
    </row>
    <row r="240" spans="5:6" ht="54" x14ac:dyDescent="0.25">
      <c r="E240" s="34" t="s">
        <v>18</v>
      </c>
      <c r="F240" s="38"/>
    </row>
    <row r="241" spans="5:6" ht="45" x14ac:dyDescent="0.25">
      <c r="E241" s="35" t="s">
        <v>15</v>
      </c>
      <c r="F241" s="39"/>
    </row>
    <row r="242" spans="5:6" ht="54" x14ac:dyDescent="0.25">
      <c r="E242" s="34" t="s">
        <v>18</v>
      </c>
      <c r="F242" s="38"/>
    </row>
    <row r="243" spans="5:6" ht="54" x14ac:dyDescent="0.25">
      <c r="E243" s="35" t="s">
        <v>18</v>
      </c>
      <c r="F243" s="39"/>
    </row>
    <row r="244" spans="5:6" ht="36" x14ac:dyDescent="0.25">
      <c r="E244" s="34" t="s">
        <v>12</v>
      </c>
      <c r="F244" s="38"/>
    </row>
    <row r="245" spans="5:6" ht="54" x14ac:dyDescent="0.25">
      <c r="E245" s="35" t="s">
        <v>18</v>
      </c>
      <c r="F245" s="39"/>
    </row>
    <row r="246" spans="5:6" ht="54" x14ac:dyDescent="0.25">
      <c r="E246" s="34" t="s">
        <v>18</v>
      </c>
      <c r="F246" s="38"/>
    </row>
    <row r="247" spans="5:6" ht="36" x14ac:dyDescent="0.25">
      <c r="E247" s="35" t="s">
        <v>7</v>
      </c>
      <c r="F247" s="39"/>
    </row>
    <row r="248" spans="5:6" ht="36" x14ac:dyDescent="0.25">
      <c r="E248" s="34" t="s">
        <v>7</v>
      </c>
      <c r="F248" s="38"/>
    </row>
    <row r="249" spans="5:6" ht="36" x14ac:dyDescent="0.25">
      <c r="E249" s="35" t="s">
        <v>7</v>
      </c>
      <c r="F249" s="39"/>
    </row>
    <row r="250" spans="5:6" ht="36" x14ac:dyDescent="0.25">
      <c r="E250" s="34" t="s">
        <v>7</v>
      </c>
      <c r="F250" s="38"/>
    </row>
    <row r="251" spans="5:6" ht="36" x14ac:dyDescent="0.25">
      <c r="E251" s="35" t="s">
        <v>7</v>
      </c>
      <c r="F251" s="39"/>
    </row>
    <row r="252" spans="5:6" ht="54" x14ac:dyDescent="0.25">
      <c r="E252" s="34" t="s">
        <v>764</v>
      </c>
      <c r="F252" s="38"/>
    </row>
    <row r="253" spans="5:6" ht="27" x14ac:dyDescent="0.25">
      <c r="E253" s="35" t="s">
        <v>6</v>
      </c>
      <c r="F253" s="39"/>
    </row>
    <row r="254" spans="5:6" ht="27" x14ac:dyDescent="0.25">
      <c r="E254" s="34" t="s">
        <v>6</v>
      </c>
      <c r="F254" s="38"/>
    </row>
    <row r="255" spans="5:6" ht="27" x14ac:dyDescent="0.25">
      <c r="E255" s="35" t="s">
        <v>6</v>
      </c>
      <c r="F255" s="39"/>
    </row>
    <row r="256" spans="5:6" ht="45" x14ac:dyDescent="0.25">
      <c r="E256" s="34" t="s">
        <v>15</v>
      </c>
      <c r="F256" s="38"/>
    </row>
    <row r="257" spans="5:6" ht="45" x14ac:dyDescent="0.25">
      <c r="E257" s="35" t="s">
        <v>15</v>
      </c>
      <c r="F257" s="39"/>
    </row>
    <row r="258" spans="5:6" ht="45" x14ac:dyDescent="0.25">
      <c r="E258" s="34" t="s">
        <v>15</v>
      </c>
      <c r="F258" s="38"/>
    </row>
    <row r="259" spans="5:6" ht="45" x14ac:dyDescent="0.25">
      <c r="E259" s="35" t="s">
        <v>15</v>
      </c>
      <c r="F259" s="39"/>
    </row>
    <row r="260" spans="5:6" ht="27" x14ac:dyDescent="0.25">
      <c r="E260" s="34" t="s">
        <v>6</v>
      </c>
      <c r="F260" s="38"/>
    </row>
    <row r="261" spans="5:6" ht="54" x14ac:dyDescent="0.25">
      <c r="E261" s="35" t="s">
        <v>18</v>
      </c>
      <c r="F261" s="39"/>
    </row>
    <row r="262" spans="5:6" ht="54" x14ac:dyDescent="0.25">
      <c r="E262" s="34" t="s">
        <v>18</v>
      </c>
      <c r="F262" s="38"/>
    </row>
    <row r="263" spans="5:6" ht="45" x14ac:dyDescent="0.25">
      <c r="E263" s="35" t="s">
        <v>10</v>
      </c>
      <c r="F263" s="39"/>
    </row>
    <row r="264" spans="5:6" ht="36" x14ac:dyDescent="0.25">
      <c r="E264" s="34" t="s">
        <v>12</v>
      </c>
      <c r="F264" s="38"/>
    </row>
    <row r="265" spans="5:6" ht="54" x14ac:dyDescent="0.25">
      <c r="E265" s="35" t="s">
        <v>18</v>
      </c>
      <c r="F265" s="39"/>
    </row>
    <row r="266" spans="5:6" ht="54" x14ac:dyDescent="0.25">
      <c r="E266" s="34" t="s">
        <v>18</v>
      </c>
      <c r="F266" s="38"/>
    </row>
    <row r="267" spans="5:6" ht="36" x14ac:dyDescent="0.25">
      <c r="E267" s="35" t="s">
        <v>7</v>
      </c>
      <c r="F267" s="39"/>
    </row>
    <row r="268" spans="5:6" ht="36" x14ac:dyDescent="0.25">
      <c r="E268" s="34" t="s">
        <v>7</v>
      </c>
      <c r="F268" s="38"/>
    </row>
    <row r="269" spans="5:6" ht="36" x14ac:dyDescent="0.25">
      <c r="E269" s="35" t="s">
        <v>7</v>
      </c>
      <c r="F269" s="39"/>
    </row>
    <row r="270" spans="5:6" ht="36" x14ac:dyDescent="0.25">
      <c r="E270" s="34" t="s">
        <v>7</v>
      </c>
      <c r="F270" s="38"/>
    </row>
    <row r="271" spans="5:6" ht="54" x14ac:dyDescent="0.25">
      <c r="E271" s="35" t="s">
        <v>765</v>
      </c>
      <c r="F271" s="39"/>
    </row>
    <row r="272" spans="5:6" ht="54" x14ac:dyDescent="0.25">
      <c r="E272" s="34" t="s">
        <v>18</v>
      </c>
      <c r="F272" s="38"/>
    </row>
    <row r="273" spans="5:6" ht="36" x14ac:dyDescent="0.25">
      <c r="E273" s="35" t="s">
        <v>8</v>
      </c>
      <c r="F273" s="39"/>
    </row>
    <row r="274" spans="5:6" ht="27" x14ac:dyDescent="0.25">
      <c r="E274" s="34" t="s">
        <v>6</v>
      </c>
      <c r="F274" s="38"/>
    </row>
    <row r="275" spans="5:6" ht="27" x14ac:dyDescent="0.25">
      <c r="E275" s="35" t="s">
        <v>6</v>
      </c>
      <c r="F275" s="39"/>
    </row>
    <row r="276" spans="5:6" ht="27" x14ac:dyDescent="0.25">
      <c r="E276" s="34" t="s">
        <v>6</v>
      </c>
      <c r="F276" s="38"/>
    </row>
    <row r="277" spans="5:6" ht="45" x14ac:dyDescent="0.25">
      <c r="E277" s="35" t="s">
        <v>15</v>
      </c>
      <c r="F277" s="39"/>
    </row>
    <row r="278" spans="5:6" ht="45" x14ac:dyDescent="0.25">
      <c r="E278" s="34" t="s">
        <v>15</v>
      </c>
      <c r="F278" s="38"/>
    </row>
    <row r="279" spans="5:6" ht="27" x14ac:dyDescent="0.25">
      <c r="E279" s="35" t="s">
        <v>6</v>
      </c>
      <c r="F279" s="39"/>
    </row>
    <row r="280" spans="5:6" ht="36" x14ac:dyDescent="0.25">
      <c r="E280" s="34" t="s">
        <v>12</v>
      </c>
      <c r="F280" s="38"/>
    </row>
    <row r="281" spans="5:6" ht="36" x14ac:dyDescent="0.25">
      <c r="E281" s="35" t="s">
        <v>12</v>
      </c>
      <c r="F281" s="39"/>
    </row>
    <row r="282" spans="5:6" ht="54" x14ac:dyDescent="0.25">
      <c r="E282" s="34" t="s">
        <v>18</v>
      </c>
      <c r="F282" s="38"/>
    </row>
    <row r="283" spans="5:6" ht="54" x14ac:dyDescent="0.25">
      <c r="E283" s="35" t="s">
        <v>18</v>
      </c>
      <c r="F283" s="39"/>
    </row>
    <row r="284" spans="5:6" ht="54" x14ac:dyDescent="0.25">
      <c r="E284" s="34" t="s">
        <v>18</v>
      </c>
      <c r="F284" s="38"/>
    </row>
    <row r="285" spans="5:6" ht="54" x14ac:dyDescent="0.25">
      <c r="E285" s="35" t="s">
        <v>18</v>
      </c>
      <c r="F285" s="39"/>
    </row>
    <row r="286" spans="5:6" ht="54" x14ac:dyDescent="0.25">
      <c r="E286" s="34" t="s">
        <v>18</v>
      </c>
      <c r="F286" s="38"/>
    </row>
    <row r="287" spans="5:6" ht="36" x14ac:dyDescent="0.25">
      <c r="E287" s="35" t="s">
        <v>7</v>
      </c>
      <c r="F287" s="39"/>
    </row>
    <row r="288" spans="5:6" ht="36" x14ac:dyDescent="0.25">
      <c r="E288" s="34" t="s">
        <v>7</v>
      </c>
      <c r="F288" s="38"/>
    </row>
    <row r="289" spans="5:6" ht="36" x14ac:dyDescent="0.25">
      <c r="E289" s="35" t="s">
        <v>7</v>
      </c>
      <c r="F289" s="39"/>
    </row>
    <row r="290" spans="5:6" ht="27" x14ac:dyDescent="0.25">
      <c r="E290" s="34" t="s">
        <v>6</v>
      </c>
      <c r="F290" s="38"/>
    </row>
    <row r="291" spans="5:6" ht="27" x14ac:dyDescent="0.25">
      <c r="E291" s="35" t="s">
        <v>6</v>
      </c>
      <c r="F291" s="39"/>
    </row>
    <row r="292" spans="5:6" ht="54" x14ac:dyDescent="0.25">
      <c r="E292" s="34" t="s">
        <v>766</v>
      </c>
      <c r="F292" s="38"/>
    </row>
    <row r="293" spans="5:6" ht="27" x14ac:dyDescent="0.25">
      <c r="E293" s="35" t="s">
        <v>6</v>
      </c>
      <c r="F293" s="39"/>
    </row>
    <row r="294" spans="5:6" ht="27" x14ac:dyDescent="0.25">
      <c r="E294" s="34" t="s">
        <v>6</v>
      </c>
      <c r="F294" s="38"/>
    </row>
    <row r="295" spans="5:6" ht="45" x14ac:dyDescent="0.25">
      <c r="E295" s="35" t="s">
        <v>15</v>
      </c>
      <c r="F295" s="39"/>
    </row>
    <row r="296" spans="5:6" ht="54" x14ac:dyDescent="0.25">
      <c r="E296" s="34" t="s">
        <v>18</v>
      </c>
      <c r="F296" s="38"/>
    </row>
    <row r="297" spans="5:6" ht="45" x14ac:dyDescent="0.25">
      <c r="E297" s="35" t="s">
        <v>15</v>
      </c>
      <c r="F297" s="39"/>
    </row>
    <row r="298" spans="5:6" ht="54" x14ac:dyDescent="0.25">
      <c r="E298" s="34" t="s">
        <v>18</v>
      </c>
      <c r="F298" s="38"/>
    </row>
    <row r="299" spans="5:6" ht="54" x14ac:dyDescent="0.25">
      <c r="E299" s="35" t="s">
        <v>18</v>
      </c>
      <c r="F299" s="39"/>
    </row>
    <row r="300" spans="5:6" ht="45" x14ac:dyDescent="0.25">
      <c r="E300" s="34" t="s">
        <v>15</v>
      </c>
      <c r="F300" s="38"/>
    </row>
    <row r="301" spans="5:6" ht="45" x14ac:dyDescent="0.25">
      <c r="E301" s="35" t="s">
        <v>15</v>
      </c>
      <c r="F301" s="39"/>
    </row>
    <row r="302" spans="5:6" ht="36" x14ac:dyDescent="0.25">
      <c r="E302" s="34" t="s">
        <v>12</v>
      </c>
      <c r="F302" s="38"/>
    </row>
    <row r="303" spans="5:6" ht="54" x14ac:dyDescent="0.25">
      <c r="E303" s="35" t="s">
        <v>18</v>
      </c>
      <c r="F303" s="39"/>
    </row>
    <row r="304" spans="5:6" ht="45" x14ac:dyDescent="0.25">
      <c r="E304" s="34" t="s">
        <v>15</v>
      </c>
      <c r="F304" s="38"/>
    </row>
    <row r="305" spans="5:6" ht="45" x14ac:dyDescent="0.25">
      <c r="E305" s="35" t="s">
        <v>15</v>
      </c>
      <c r="F305" s="39"/>
    </row>
    <row r="306" spans="5:6" ht="36" x14ac:dyDescent="0.25">
      <c r="E306" s="34" t="s">
        <v>7</v>
      </c>
      <c r="F306" s="38"/>
    </row>
    <row r="307" spans="5:6" ht="36" x14ac:dyDescent="0.25">
      <c r="E307" s="35" t="s">
        <v>7</v>
      </c>
      <c r="F307" s="39"/>
    </row>
    <row r="308" spans="5:6" ht="27" x14ac:dyDescent="0.25">
      <c r="E308" s="34" t="s">
        <v>6</v>
      </c>
      <c r="F308" s="38"/>
    </row>
    <row r="309" spans="5:6" ht="54" x14ac:dyDescent="0.25">
      <c r="E309" s="35" t="s">
        <v>767</v>
      </c>
      <c r="F309" s="39"/>
    </row>
    <row r="310" spans="5:6" ht="27" x14ac:dyDescent="0.25">
      <c r="E310" s="36" t="s">
        <v>6</v>
      </c>
      <c r="F310" s="40"/>
    </row>
    <row r="311" spans="5:6" ht="36" x14ac:dyDescent="0.25">
      <c r="E311" s="33" t="s">
        <v>8</v>
      </c>
      <c r="F311" s="37"/>
    </row>
    <row r="312" spans="5:6" ht="27" x14ac:dyDescent="0.25">
      <c r="E312" s="34" t="s">
        <v>6</v>
      </c>
      <c r="F312" s="38"/>
    </row>
    <row r="313" spans="5:6" ht="27" x14ac:dyDescent="0.25">
      <c r="E313" s="35" t="s">
        <v>6</v>
      </c>
      <c r="F313" s="39"/>
    </row>
    <row r="314" spans="5:6" ht="27" x14ac:dyDescent="0.25">
      <c r="E314" s="34" t="s">
        <v>6</v>
      </c>
      <c r="F314" s="38"/>
    </row>
    <row r="315" spans="5:6" ht="36" x14ac:dyDescent="0.25">
      <c r="E315" s="35" t="s">
        <v>7</v>
      </c>
      <c r="F315" s="39"/>
    </row>
    <row r="316" spans="5:6" ht="45" x14ac:dyDescent="0.25">
      <c r="E316" s="34" t="s">
        <v>15</v>
      </c>
      <c r="F316" s="38"/>
    </row>
    <row r="317" spans="5:6" ht="45" x14ac:dyDescent="0.25">
      <c r="E317" s="35" t="s">
        <v>15</v>
      </c>
      <c r="F317" s="39"/>
    </row>
    <row r="318" spans="5:6" ht="45" x14ac:dyDescent="0.25">
      <c r="E318" s="34" t="s">
        <v>15</v>
      </c>
      <c r="F318" s="38"/>
    </row>
    <row r="319" spans="5:6" ht="45" x14ac:dyDescent="0.25">
      <c r="E319" s="35" t="s">
        <v>15</v>
      </c>
      <c r="F319" s="39"/>
    </row>
    <row r="320" spans="5:6" ht="45" x14ac:dyDescent="0.25">
      <c r="E320" s="34" t="s">
        <v>15</v>
      </c>
      <c r="F320" s="38"/>
    </row>
    <row r="321" spans="5:6" ht="54" x14ac:dyDescent="0.25">
      <c r="E321" s="35" t="s">
        <v>18</v>
      </c>
      <c r="F321" s="39"/>
    </row>
    <row r="322" spans="5:6" ht="54" x14ac:dyDescent="0.25">
      <c r="E322" s="34" t="s">
        <v>18</v>
      </c>
      <c r="F322" s="38"/>
    </row>
    <row r="323" spans="5:6" ht="54" x14ac:dyDescent="0.25">
      <c r="E323" s="35" t="s">
        <v>18</v>
      </c>
      <c r="F323" s="39"/>
    </row>
    <row r="324" spans="5:6" ht="45" x14ac:dyDescent="0.25">
      <c r="E324" s="34" t="s">
        <v>15</v>
      </c>
      <c r="F324" s="38"/>
    </row>
    <row r="325" spans="5:6" ht="45" x14ac:dyDescent="0.25">
      <c r="E325" s="35" t="s">
        <v>15</v>
      </c>
      <c r="F325" s="39"/>
    </row>
    <row r="326" spans="5:6" ht="54" x14ac:dyDescent="0.25">
      <c r="E326" s="34" t="s">
        <v>18</v>
      </c>
      <c r="F326" s="38"/>
    </row>
    <row r="327" spans="5:6" ht="54" x14ac:dyDescent="0.25">
      <c r="E327" s="35" t="s">
        <v>18</v>
      </c>
      <c r="F327" s="39"/>
    </row>
    <row r="328" spans="5:6" ht="27" x14ac:dyDescent="0.25">
      <c r="E328" s="34" t="s">
        <v>6</v>
      </c>
      <c r="F328" s="38"/>
    </row>
    <row r="329" spans="5:6" ht="27" x14ac:dyDescent="0.25">
      <c r="E329" s="35" t="s">
        <v>6</v>
      </c>
      <c r="F329" s="39"/>
    </row>
    <row r="330" spans="5:6" ht="27" x14ac:dyDescent="0.25">
      <c r="E330" s="34" t="s">
        <v>6</v>
      </c>
      <c r="F330" s="38"/>
    </row>
    <row r="331" spans="5:6" ht="54" x14ac:dyDescent="0.25">
      <c r="E331" s="35" t="s">
        <v>18</v>
      </c>
      <c r="F331" s="39"/>
    </row>
    <row r="332" spans="5:6" ht="54" x14ac:dyDescent="0.25">
      <c r="E332" s="34" t="s">
        <v>18</v>
      </c>
      <c r="F332" s="38"/>
    </row>
    <row r="333" spans="5:6" ht="54" x14ac:dyDescent="0.25">
      <c r="E333" s="35" t="s">
        <v>18</v>
      </c>
      <c r="F333" s="39"/>
    </row>
    <row r="334" spans="5:6" ht="54" x14ac:dyDescent="0.25">
      <c r="E334" s="34" t="s">
        <v>18</v>
      </c>
      <c r="F334" s="38"/>
    </row>
    <row r="335" spans="5:6" ht="54" x14ac:dyDescent="0.25">
      <c r="E335" s="35" t="s">
        <v>18</v>
      </c>
      <c r="F335" s="39"/>
    </row>
    <row r="336" spans="5:6" ht="54" x14ac:dyDescent="0.25">
      <c r="E336" s="34" t="s">
        <v>18</v>
      </c>
      <c r="F336" s="38"/>
    </row>
    <row r="337" spans="5:6" ht="54" x14ac:dyDescent="0.25">
      <c r="E337" s="35" t="s">
        <v>18</v>
      </c>
      <c r="F337" s="39"/>
    </row>
    <row r="338" spans="5:6" ht="72" x14ac:dyDescent="0.25">
      <c r="E338" s="34" t="s">
        <v>768</v>
      </c>
      <c r="F338" s="38"/>
    </row>
    <row r="339" spans="5:6" ht="63" x14ac:dyDescent="0.25">
      <c r="E339" s="35" t="s">
        <v>762</v>
      </c>
      <c r="F339" s="39"/>
    </row>
    <row r="340" spans="5:6" ht="63" x14ac:dyDescent="0.25">
      <c r="E340" s="34" t="s">
        <v>762</v>
      </c>
      <c r="F340" s="38"/>
    </row>
    <row r="341" spans="5:6" ht="63" x14ac:dyDescent="0.25">
      <c r="E341" s="35" t="s">
        <v>762</v>
      </c>
      <c r="F341" s="39"/>
    </row>
    <row r="342" spans="5:6" ht="63" x14ac:dyDescent="0.25">
      <c r="E342" s="34" t="s">
        <v>762</v>
      </c>
      <c r="F342" s="38"/>
    </row>
    <row r="343" spans="5:6" ht="63" x14ac:dyDescent="0.25">
      <c r="E343" s="35" t="s">
        <v>762</v>
      </c>
      <c r="F343" s="39"/>
    </row>
    <row r="344" spans="5:6" ht="63" x14ac:dyDescent="0.25">
      <c r="E344" s="34" t="s">
        <v>762</v>
      </c>
      <c r="F344" s="38"/>
    </row>
    <row r="345" spans="5:6" ht="63" x14ac:dyDescent="0.25">
      <c r="E345" s="35" t="s">
        <v>762</v>
      </c>
      <c r="F345" s="39"/>
    </row>
    <row r="346" spans="5:6" ht="63" x14ac:dyDescent="0.25">
      <c r="E346" s="34" t="s">
        <v>762</v>
      </c>
      <c r="F346" s="38"/>
    </row>
    <row r="347" spans="5:6" ht="63" x14ac:dyDescent="0.25">
      <c r="E347" s="35" t="s">
        <v>762</v>
      </c>
      <c r="F347" s="39"/>
    </row>
    <row r="348" spans="5:6" ht="36" x14ac:dyDescent="0.25">
      <c r="E348" s="34" t="s">
        <v>7</v>
      </c>
      <c r="F348" s="38"/>
    </row>
    <row r="349" spans="5:6" ht="36" x14ac:dyDescent="0.25">
      <c r="E349" s="35" t="s">
        <v>7</v>
      </c>
      <c r="F349" s="39"/>
    </row>
    <row r="350" spans="5:6" ht="36" x14ac:dyDescent="0.25">
      <c r="E350" s="34" t="s">
        <v>7</v>
      </c>
      <c r="F350" s="38"/>
    </row>
    <row r="351" spans="5:6" ht="36" x14ac:dyDescent="0.25">
      <c r="E351" s="35" t="s">
        <v>7</v>
      </c>
      <c r="F351" s="39"/>
    </row>
    <row r="352" spans="5:6" ht="36" x14ac:dyDescent="0.25">
      <c r="E352" s="34" t="s">
        <v>7</v>
      </c>
      <c r="F352" s="38"/>
    </row>
    <row r="353" spans="5:6" ht="36" x14ac:dyDescent="0.25">
      <c r="E353" s="35" t="s">
        <v>7</v>
      </c>
      <c r="F353" s="39"/>
    </row>
    <row r="354" spans="5:6" ht="36" x14ac:dyDescent="0.25">
      <c r="E354" s="34" t="s">
        <v>7</v>
      </c>
      <c r="F354" s="38"/>
    </row>
    <row r="355" spans="5:6" ht="36" x14ac:dyDescent="0.25">
      <c r="E355" s="35" t="s">
        <v>7</v>
      </c>
      <c r="F355" s="39"/>
    </row>
    <row r="356" spans="5:6" ht="36" x14ac:dyDescent="0.25">
      <c r="E356" s="34" t="s">
        <v>7</v>
      </c>
      <c r="F356" s="38"/>
    </row>
    <row r="357" spans="5:6" ht="36" x14ac:dyDescent="0.25">
      <c r="E357" s="35" t="s">
        <v>7</v>
      </c>
      <c r="F357" s="39"/>
    </row>
    <row r="358" spans="5:6" ht="36" x14ac:dyDescent="0.25">
      <c r="E358" s="34" t="s">
        <v>7</v>
      </c>
      <c r="F358" s="38"/>
    </row>
    <row r="359" spans="5:6" ht="45" x14ac:dyDescent="0.25">
      <c r="E359" s="35" t="s">
        <v>10</v>
      </c>
      <c r="F359" s="39"/>
    </row>
    <row r="360" spans="5:6" ht="36" x14ac:dyDescent="0.25">
      <c r="E360" s="34" t="s">
        <v>7</v>
      </c>
      <c r="F360" s="38"/>
    </row>
    <row r="361" spans="5:6" ht="36" x14ac:dyDescent="0.25">
      <c r="E361" s="35" t="s">
        <v>7</v>
      </c>
      <c r="F361" s="39"/>
    </row>
    <row r="362" spans="5:6" ht="36" x14ac:dyDescent="0.25">
      <c r="E362" s="34" t="s">
        <v>7</v>
      </c>
      <c r="F362" s="38"/>
    </row>
    <row r="363" spans="5:6" ht="36" x14ac:dyDescent="0.25">
      <c r="E363" s="35" t="s">
        <v>7</v>
      </c>
      <c r="F363" s="39"/>
    </row>
    <row r="364" spans="5:6" ht="36" x14ac:dyDescent="0.25">
      <c r="E364" s="34" t="s">
        <v>7</v>
      </c>
      <c r="F364" s="38"/>
    </row>
    <row r="365" spans="5:6" ht="36" x14ac:dyDescent="0.25">
      <c r="E365" s="35" t="s">
        <v>7</v>
      </c>
      <c r="F365" s="39"/>
    </row>
    <row r="366" spans="5:6" ht="36" x14ac:dyDescent="0.25">
      <c r="E366" s="34" t="s">
        <v>7</v>
      </c>
      <c r="F366" s="38"/>
    </row>
    <row r="367" spans="5:6" ht="36" x14ac:dyDescent="0.25">
      <c r="E367" s="35" t="s">
        <v>7</v>
      </c>
      <c r="F367" s="39"/>
    </row>
    <row r="368" spans="5:6" ht="36" x14ac:dyDescent="0.25">
      <c r="E368" s="34" t="s">
        <v>7</v>
      </c>
      <c r="F368" s="38"/>
    </row>
    <row r="369" spans="5:6" ht="36" x14ac:dyDescent="0.25">
      <c r="E369" s="35" t="s">
        <v>7</v>
      </c>
      <c r="F369" s="39"/>
    </row>
    <row r="370" spans="5:6" ht="36" x14ac:dyDescent="0.25">
      <c r="E370" s="34" t="s">
        <v>7</v>
      </c>
      <c r="F370" s="38"/>
    </row>
    <row r="371" spans="5:6" ht="36" x14ac:dyDescent="0.25">
      <c r="E371" s="35" t="s">
        <v>7</v>
      </c>
      <c r="F371" s="39"/>
    </row>
    <row r="372" spans="5:6" ht="36" x14ac:dyDescent="0.25">
      <c r="E372" s="34" t="s">
        <v>7</v>
      </c>
      <c r="F372" s="38"/>
    </row>
    <row r="373" spans="5:6" ht="45" x14ac:dyDescent="0.25">
      <c r="E373" s="35" t="s">
        <v>15</v>
      </c>
      <c r="F373" s="39"/>
    </row>
    <row r="374" spans="5:6" ht="45" x14ac:dyDescent="0.25">
      <c r="E374" s="34" t="s">
        <v>15</v>
      </c>
      <c r="F374" s="38"/>
    </row>
    <row r="375" spans="5:6" ht="45" x14ac:dyDescent="0.25">
      <c r="E375" s="35" t="s">
        <v>13</v>
      </c>
      <c r="F375" s="39"/>
    </row>
    <row r="376" spans="5:6" ht="27" x14ac:dyDescent="0.25">
      <c r="E376" s="34" t="s">
        <v>6</v>
      </c>
      <c r="F376" s="38"/>
    </row>
    <row r="377" spans="5:6" ht="36" x14ac:dyDescent="0.25">
      <c r="E377" s="35" t="s">
        <v>769</v>
      </c>
      <c r="F377" s="39"/>
    </row>
    <row r="378" spans="5:6" ht="36" x14ac:dyDescent="0.25">
      <c r="E378" s="34" t="s">
        <v>5</v>
      </c>
      <c r="F378" s="38"/>
    </row>
    <row r="379" spans="5:6" ht="45" x14ac:dyDescent="0.25">
      <c r="E379" s="35" t="s">
        <v>15</v>
      </c>
      <c r="F379" s="39"/>
    </row>
    <row r="380" spans="5:6" ht="45" x14ac:dyDescent="0.25">
      <c r="E380" s="34" t="s">
        <v>15</v>
      </c>
      <c r="F380" s="38"/>
    </row>
    <row r="381" spans="5:6" ht="36" x14ac:dyDescent="0.25">
      <c r="E381" s="35" t="s">
        <v>7</v>
      </c>
      <c r="F381" s="39"/>
    </row>
    <row r="382" spans="5:6" ht="36" x14ac:dyDescent="0.25">
      <c r="E382" s="34" t="s">
        <v>7</v>
      </c>
      <c r="F382" s="38"/>
    </row>
    <row r="383" spans="5:6" ht="27" x14ac:dyDescent="0.25">
      <c r="E383" s="35" t="s">
        <v>25</v>
      </c>
      <c r="F383" s="39"/>
    </row>
    <row r="384" spans="5:6" ht="27" x14ac:dyDescent="0.25">
      <c r="E384" s="34" t="s">
        <v>25</v>
      </c>
      <c r="F384" s="38"/>
    </row>
    <row r="385" spans="5:6" ht="27" x14ac:dyDescent="0.25">
      <c r="E385" s="35" t="s">
        <v>25</v>
      </c>
      <c r="F385" s="39"/>
    </row>
    <row r="386" spans="5:6" ht="90" x14ac:dyDescent="0.25">
      <c r="E386" s="34" t="s">
        <v>770</v>
      </c>
      <c r="F386" s="38"/>
    </row>
    <row r="387" spans="5:6" ht="27" x14ac:dyDescent="0.25">
      <c r="E387" s="35" t="s">
        <v>25</v>
      </c>
      <c r="F387" s="39"/>
    </row>
    <row r="388" spans="5:6" ht="27" x14ac:dyDescent="0.25">
      <c r="E388" s="34" t="s">
        <v>25</v>
      </c>
      <c r="F388" s="38"/>
    </row>
    <row r="389" spans="5:6" ht="45" x14ac:dyDescent="0.25">
      <c r="E389" s="35" t="s">
        <v>13</v>
      </c>
      <c r="F389" s="39"/>
    </row>
    <row r="390" spans="5:6" ht="54" x14ac:dyDescent="0.25">
      <c r="E390" s="34" t="s">
        <v>771</v>
      </c>
      <c r="F390" s="38"/>
    </row>
    <row r="391" spans="5:6" ht="45" x14ac:dyDescent="0.25">
      <c r="E391" s="35" t="s">
        <v>13</v>
      </c>
      <c r="F391" s="39"/>
    </row>
    <row r="392" spans="5:6" ht="45" x14ac:dyDescent="0.25">
      <c r="E392" s="34" t="s">
        <v>15</v>
      </c>
      <c r="F392" s="38"/>
    </row>
    <row r="393" spans="5:6" ht="45" x14ac:dyDescent="0.25">
      <c r="E393" s="35" t="s">
        <v>13</v>
      </c>
      <c r="F393" s="39"/>
    </row>
    <row r="394" spans="5:6" ht="45" x14ac:dyDescent="0.25">
      <c r="E394" s="34" t="s">
        <v>13</v>
      </c>
      <c r="F394" s="38"/>
    </row>
    <row r="395" spans="5:6" ht="45" x14ac:dyDescent="0.25">
      <c r="E395" s="35" t="s">
        <v>13</v>
      </c>
      <c r="F395" s="39"/>
    </row>
    <row r="396" spans="5:6" ht="45" x14ac:dyDescent="0.25">
      <c r="E396" s="34" t="s">
        <v>15</v>
      </c>
      <c r="F396" s="38"/>
    </row>
    <row r="397" spans="5:6" ht="45" x14ac:dyDescent="0.25">
      <c r="E397" s="35" t="s">
        <v>13</v>
      </c>
      <c r="F397" s="39"/>
    </row>
    <row r="398" spans="5:6" ht="45" x14ac:dyDescent="0.25">
      <c r="E398" s="34" t="s">
        <v>13</v>
      </c>
      <c r="F398" s="38"/>
    </row>
    <row r="399" spans="5:6" ht="45" x14ac:dyDescent="0.25">
      <c r="E399" s="35" t="s">
        <v>16</v>
      </c>
      <c r="F399" s="39"/>
    </row>
    <row r="400" spans="5:6" ht="45" x14ac:dyDescent="0.25">
      <c r="E400" s="34" t="s">
        <v>16</v>
      </c>
      <c r="F400" s="38"/>
    </row>
    <row r="401" spans="5:6" ht="63" x14ac:dyDescent="0.25">
      <c r="E401" s="35" t="s">
        <v>772</v>
      </c>
      <c r="F401" s="39"/>
    </row>
    <row r="402" spans="5:6" ht="63" x14ac:dyDescent="0.25">
      <c r="E402" s="34" t="s">
        <v>772</v>
      </c>
      <c r="F402" s="38"/>
    </row>
    <row r="403" spans="5:6" ht="54" x14ac:dyDescent="0.25">
      <c r="E403" s="35" t="s">
        <v>17</v>
      </c>
      <c r="F403" s="39"/>
    </row>
    <row r="404" spans="5:6" ht="72" x14ac:dyDescent="0.25">
      <c r="E404" s="34" t="s">
        <v>773</v>
      </c>
      <c r="F404" s="38"/>
    </row>
    <row r="405" spans="5:6" ht="45" x14ac:dyDescent="0.25">
      <c r="E405" s="35" t="s">
        <v>16</v>
      </c>
      <c r="F405" s="39"/>
    </row>
    <row r="406" spans="5:6" ht="54" x14ac:dyDescent="0.25">
      <c r="E406" s="34" t="s">
        <v>17</v>
      </c>
      <c r="F406" s="38"/>
    </row>
    <row r="407" spans="5:6" ht="36" x14ac:dyDescent="0.25">
      <c r="E407" s="35" t="s">
        <v>9</v>
      </c>
      <c r="F407" s="39"/>
    </row>
    <row r="408" spans="5:6" ht="45" x14ac:dyDescent="0.25">
      <c r="E408" s="34" t="s">
        <v>16</v>
      </c>
      <c r="F408" s="38"/>
    </row>
    <row r="409" spans="5:6" ht="45" x14ac:dyDescent="0.25">
      <c r="E409" s="35" t="s">
        <v>26</v>
      </c>
      <c r="F409" s="39"/>
    </row>
    <row r="410" spans="5:6" ht="36" x14ac:dyDescent="0.25">
      <c r="E410" s="36" t="s">
        <v>9</v>
      </c>
      <c r="F410" s="40"/>
    </row>
    <row r="411" spans="5:6" ht="27" x14ac:dyDescent="0.25">
      <c r="E411" s="33" t="s">
        <v>11</v>
      </c>
      <c r="F411" s="37"/>
    </row>
    <row r="412" spans="5:6" ht="36" x14ac:dyDescent="0.25">
      <c r="E412" s="34" t="s">
        <v>14</v>
      </c>
      <c r="F412" s="38"/>
    </row>
    <row r="413" spans="5:6" ht="27" x14ac:dyDescent="0.25">
      <c r="E413" s="35" t="s">
        <v>6</v>
      </c>
      <c r="F413" s="39"/>
    </row>
    <row r="414" spans="5:6" ht="72" x14ac:dyDescent="0.25">
      <c r="E414" s="34" t="s">
        <v>774</v>
      </c>
      <c r="F414" s="38"/>
    </row>
    <row r="415" spans="5:6" ht="36" x14ac:dyDescent="0.25">
      <c r="E415" s="35" t="s">
        <v>8</v>
      </c>
      <c r="F415" s="39"/>
    </row>
    <row r="416" spans="5:6" ht="27.75" thickBot="1" x14ac:dyDescent="0.3">
      <c r="E416" s="34" t="s">
        <v>6</v>
      </c>
      <c r="F416" s="38"/>
    </row>
    <row r="417" spans="5:6" ht="45.75" thickBot="1" x14ac:dyDescent="0.3">
      <c r="E417" s="35" t="s">
        <v>775</v>
      </c>
      <c r="F417" s="39"/>
    </row>
    <row r="418" spans="5:6" ht="27" x14ac:dyDescent="0.25">
      <c r="E418" s="36" t="s">
        <v>11</v>
      </c>
      <c r="F418" s="40"/>
    </row>
  </sheetData>
  <phoneticPr fontId="6" type="noConversion"/>
  <conditionalFormatting sqref="H3:AA210">
    <cfRule type="containsText" dxfId="7" priority="9" operator="containsText" text="Not Trained">
      <formula>NOT(ISERROR(SEARCH("Not Trained",H3)))</formula>
    </cfRule>
    <cfRule type="containsText" dxfId="6" priority="10" operator="containsText" text="Expired">
      <formula>NOT(ISERROR(SEARCH("Expired",H3)))</formula>
    </cfRule>
    <cfRule type="containsText" dxfId="5" priority="11" operator="containsText" text="Expiring">
      <formula>NOT(ISERROR(SEARCH("Expiring",H3)))</formula>
    </cfRule>
    <cfRule type="containsText" dxfId="4" priority="12" operator="containsText" text="Valid">
      <formula>NOT(ISERROR(SEARCH("Valid",H3)))</formula>
    </cfRule>
  </conditionalFormatting>
  <conditionalFormatting sqref="AB208">
    <cfRule type="containsText" dxfId="3" priority="1" operator="containsText" text="Not Trained">
      <formula>NOT(ISERROR(SEARCH("Not Trained",AB208)))</formula>
    </cfRule>
    <cfRule type="containsText" dxfId="2" priority="2" operator="containsText" text="Expired">
      <formula>NOT(ISERROR(SEARCH("Expired",AB208)))</formula>
    </cfRule>
    <cfRule type="containsText" dxfId="1" priority="3" operator="containsText" text="Expiring">
      <formula>NOT(ISERROR(SEARCH("Expiring",AB208)))</formula>
    </cfRule>
    <cfRule type="containsText" dxfId="0" priority="4" operator="containsText" text="Valid">
      <formula>NOT(ISERROR(SEARCH("Valid",AB208)))</formula>
    </cfRule>
  </conditionalFormatting>
  <conditionalFormatting sqref="BS3:BS98 BS100:BS210"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{63E3E83D-4C70-4568-86F2-BD837B9E6BA2}</x14:id>
        </ext>
      </extLst>
    </cfRule>
  </conditionalFormatting>
  <conditionalFormatting sqref="BS9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{A77DAEE1-428B-4B2D-8640-3C42EA3DA246}</x14:id>
        </ext>
      </extLst>
    </cfRule>
  </conditionalFormatting>
  <hyperlinks>
    <hyperlink ref="F414" r:id="rId1" display="https://soe.gmf-aeroasia.co.id/index.php/dashboard" xr:uid="{E465A92F-C288-4B7E-B605-2B613C2A6A12}"/>
    <hyperlink ref="F415" r:id="rId2" display="https://soe.gmf-aeroasia.co.id/index.php/dashboard" xr:uid="{A658E3A3-D6D5-4DF0-925F-7FAB16799D12}"/>
    <hyperlink ref="F416" r:id="rId3" display="https://soe.gmf-aeroasia.co.id/index.php/dashboard" xr:uid="{AA95BB4A-B526-4E7A-91BC-4C5CE7533B47}"/>
    <hyperlink ref="F417" r:id="rId4" display="https://soe.gmf-aeroasia.co.id/index.php/dashboard" xr:uid="{A5074DE3-CDC1-4DFD-8D02-5F3DBD509C5E}"/>
    <hyperlink ref="F413" r:id="rId5" display="https://soe.gmf-aeroasia.co.id/index.php/dashboard" xr:uid="{D9E65FD2-BAF8-4365-8812-D931C1927959}"/>
    <hyperlink ref="F412" r:id="rId6" display="https://soe.gmf-aeroasia.co.id/index.php/dashboard" xr:uid="{DE504B59-76F8-419C-92EE-F53294554744}"/>
    <hyperlink ref="F411" r:id="rId7" display="https://soe.gmf-aeroasia.co.id/index.php/dashboard" xr:uid="{687C1754-2D15-45C2-9EAF-FF86DF3835D3}"/>
    <hyperlink ref="F409" r:id="rId8" display="https://soe.gmf-aeroasia.co.id/index.php/dashboard" xr:uid="{44630C6E-3CC4-4EB0-8F60-19B0AB775259}"/>
    <hyperlink ref="F408" r:id="rId9" display="https://soe.gmf-aeroasia.co.id/index.php/dashboard" xr:uid="{A86A3571-D55B-4CD5-860D-B0286E00126E}"/>
    <hyperlink ref="F407" r:id="rId10" display="https://soe.gmf-aeroasia.co.id/index.php/dashboard" xr:uid="{FB2A13E9-0808-4965-BE8D-17AE707E40C1}"/>
    <hyperlink ref="F406" r:id="rId11" display="https://soe.gmf-aeroasia.co.id/index.php/dashboard" xr:uid="{C01065D4-430D-4C90-B483-DF7DC17D941E}"/>
    <hyperlink ref="F405" r:id="rId12" display="https://soe.gmf-aeroasia.co.id/index.php/dashboard" xr:uid="{3FF5E89B-35C3-4C13-96DC-8929F1A2A725}"/>
    <hyperlink ref="F404" r:id="rId13" display="https://soe.gmf-aeroasia.co.id/index.php/dashboard" xr:uid="{4A846B93-DEA2-479C-AE68-C2DC4D97DBB6}"/>
    <hyperlink ref="F403" r:id="rId14" display="https://soe.gmf-aeroasia.co.id/index.php/dashboard" xr:uid="{AFAF8950-AC41-4D08-BA80-1D8E1F97011C}"/>
    <hyperlink ref="F402" r:id="rId15" display="https://soe.gmf-aeroasia.co.id/index.php/dashboard" xr:uid="{FD5AAE49-2712-482B-8035-462E584904F5}"/>
    <hyperlink ref="F401" r:id="rId16" display="https://soe.gmf-aeroasia.co.id/index.php/dashboard" xr:uid="{4A8217E3-A68E-4E32-ACAE-1ED5EF916751}"/>
    <hyperlink ref="F400" r:id="rId17" display="https://soe.gmf-aeroasia.co.id/index.php/dashboard" xr:uid="{6604813F-483C-490C-931A-0BF557897345}"/>
    <hyperlink ref="F399" r:id="rId18" display="https://soe.gmf-aeroasia.co.id/index.php/dashboard" xr:uid="{AF0DC250-C55E-4A39-864B-A90891122038}"/>
    <hyperlink ref="F398" r:id="rId19" display="https://soe.gmf-aeroasia.co.id/index.php/dashboard" xr:uid="{3DE1F346-94B7-48CF-9238-E4F42899358E}"/>
    <hyperlink ref="F397" r:id="rId20" display="https://soe.gmf-aeroasia.co.id/index.php/dashboard" xr:uid="{42F2A0F6-1A3E-40DC-AD8D-3015C0FBD8FD}"/>
    <hyperlink ref="F396" r:id="rId21" display="https://soe.gmf-aeroasia.co.id/index.php/dashboard" xr:uid="{E214191D-08FD-4A6F-892F-D6794E70B2C7}"/>
    <hyperlink ref="F395" r:id="rId22" display="https://soe.gmf-aeroasia.co.id/index.php/dashboard" xr:uid="{CAEA517B-309A-4BA1-9465-B34B75160DB6}"/>
    <hyperlink ref="F394" r:id="rId23" display="https://soe.gmf-aeroasia.co.id/index.php/dashboard" xr:uid="{D3F755C4-4995-4DA4-81EF-492A0B850E7F}"/>
    <hyperlink ref="F393" r:id="rId24" display="https://soe.gmf-aeroasia.co.id/index.php/dashboard" xr:uid="{9F0611A6-E40E-4C03-8971-83256249165F}"/>
    <hyperlink ref="F392" r:id="rId25" display="https://soe.gmf-aeroasia.co.id/index.php/dashboard" xr:uid="{3DE89668-B45C-4C33-A90B-B34BFE77FC0C}"/>
    <hyperlink ref="F391" r:id="rId26" display="https://soe.gmf-aeroasia.co.id/index.php/dashboard" xr:uid="{843702E3-364F-4B78-B4F2-E05270D7B772}"/>
    <hyperlink ref="F390" r:id="rId27" display="https://soe.gmf-aeroasia.co.id/index.php/dashboard" xr:uid="{F281D1E2-E4BE-483F-937D-1221A006A955}"/>
    <hyperlink ref="F389" r:id="rId28" display="https://soe.gmf-aeroasia.co.id/index.php/dashboard" xr:uid="{CD8CADD2-EBB5-479F-AB8E-E80278FABF4F}"/>
    <hyperlink ref="F388" r:id="rId29" display="https://soe.gmf-aeroasia.co.id/index.php/dashboard" xr:uid="{DFBF272D-60E8-4E5B-BEA0-ABAA9ACDA2C8}"/>
    <hyperlink ref="F387" r:id="rId30" display="https://soe.gmf-aeroasia.co.id/index.php/dashboard" xr:uid="{33D01905-1331-4997-98E0-5E255C02C73D}"/>
    <hyperlink ref="F386" r:id="rId31" display="https://soe.gmf-aeroasia.co.id/index.php/dashboard" xr:uid="{E66C98E2-B4E5-421D-A15C-FE9FD9EB10A1}"/>
    <hyperlink ref="F385" r:id="rId32" display="https://soe.gmf-aeroasia.co.id/index.php/dashboard" xr:uid="{351BDD62-B567-4A0B-92E9-BB943614B7E5}"/>
    <hyperlink ref="F384" r:id="rId33" display="https://soe.gmf-aeroasia.co.id/index.php/dashboard" xr:uid="{B6C8FFF7-6D0F-4723-ACC5-CD51ABB3501E}"/>
    <hyperlink ref="F383" r:id="rId34" display="https://soe.gmf-aeroasia.co.id/index.php/dashboard" xr:uid="{F00B4A1D-744D-43D5-97C7-0C1BD2A86C82}"/>
    <hyperlink ref="F382" r:id="rId35" display="https://soe.gmf-aeroasia.co.id/index.php/dashboard" xr:uid="{00E24CE6-E0CC-4EBB-AA5B-7DF18B48D223}"/>
    <hyperlink ref="F381" r:id="rId36" display="https://soe.gmf-aeroasia.co.id/index.php/dashboard" xr:uid="{D0EBE138-DCBB-4DE3-AC93-F7321D8E3092}"/>
    <hyperlink ref="F380" r:id="rId37" display="https://soe.gmf-aeroasia.co.id/index.php/dashboard" xr:uid="{E4312760-4F0B-4773-A48A-EF5CE71A5888}"/>
    <hyperlink ref="F379" r:id="rId38" display="https://soe.gmf-aeroasia.co.id/index.php/dashboard" xr:uid="{1AAC16D4-C36E-484C-B6D9-1134D5E5D665}"/>
    <hyperlink ref="F378" r:id="rId39" display="https://soe.gmf-aeroasia.co.id/index.php/dashboard" xr:uid="{606962AD-8F28-48F4-99BA-F96D4A18FA80}"/>
    <hyperlink ref="F377" r:id="rId40" display="https://soe.gmf-aeroasia.co.id/index.php/dashboard" xr:uid="{B737C73F-2431-4916-87AE-15C42FAE7B46}"/>
    <hyperlink ref="F376" r:id="rId41" display="https://soe.gmf-aeroasia.co.id/index.php/dashboard" xr:uid="{9C4F9A2F-C816-435C-B0A2-399114255C25}"/>
    <hyperlink ref="F375" r:id="rId42" display="https://soe.gmf-aeroasia.co.id/index.php/dashboard" xr:uid="{CC8F650B-CEB9-42DD-91C5-0286890E73A6}"/>
    <hyperlink ref="F374" r:id="rId43" display="https://soe.gmf-aeroasia.co.id/index.php/dashboard" xr:uid="{DD493F13-6DCC-4883-83EA-F43F4B319B26}"/>
    <hyperlink ref="F373" r:id="rId44" display="https://soe.gmf-aeroasia.co.id/index.php/dashboard" xr:uid="{C8DEE6A8-499C-4FBF-95A2-114E25CD338B}"/>
    <hyperlink ref="F372" r:id="rId45" display="https://soe.gmf-aeroasia.co.id/index.php/dashboard" xr:uid="{39141CD9-5CE2-4393-BDEF-79EE7ADF019C}"/>
    <hyperlink ref="F371" r:id="rId46" display="https://soe.gmf-aeroasia.co.id/index.php/dashboard" xr:uid="{37F3E219-7FA1-4FC4-BA1F-3A8C37CBDBE1}"/>
    <hyperlink ref="F370" r:id="rId47" display="https://soe.gmf-aeroasia.co.id/index.php/dashboard" xr:uid="{497B6DE7-DE73-4972-B40F-0690C9FB2D63}"/>
    <hyperlink ref="F369" r:id="rId48" display="https://soe.gmf-aeroasia.co.id/index.php/dashboard" xr:uid="{305038A3-A949-49B2-B8AB-06057F5D65A4}"/>
    <hyperlink ref="F368" r:id="rId49" display="https://soe.gmf-aeroasia.co.id/index.php/dashboard" xr:uid="{79BD2385-FCED-44C5-B458-D6B7C8E1FC0A}"/>
    <hyperlink ref="F367" r:id="rId50" display="https://soe.gmf-aeroasia.co.id/index.php/dashboard" xr:uid="{DF097DE9-59C6-4FC9-81B4-10EA6AB45F5E}"/>
    <hyperlink ref="F366" r:id="rId51" display="https://soe.gmf-aeroasia.co.id/index.php/dashboard" xr:uid="{7183EAAE-1E44-4EB5-AFA7-E6EB951D6010}"/>
    <hyperlink ref="F365" r:id="rId52" display="https://soe.gmf-aeroasia.co.id/index.php/dashboard" xr:uid="{A2BACDCC-BF72-47B2-A584-A193EEB851A9}"/>
    <hyperlink ref="F364" r:id="rId53" display="https://soe.gmf-aeroasia.co.id/index.php/dashboard" xr:uid="{78D73242-CF6D-43C2-88AF-3C175FA08A21}"/>
    <hyperlink ref="F363" r:id="rId54" display="https://soe.gmf-aeroasia.co.id/index.php/dashboard" xr:uid="{DBF6C849-B585-4E58-99CE-174880A84209}"/>
    <hyperlink ref="F362" r:id="rId55" display="https://soe.gmf-aeroasia.co.id/index.php/dashboard" xr:uid="{89CC8F96-0A2A-4772-901E-8EE5994EA8F4}"/>
    <hyperlink ref="F361" r:id="rId56" display="https://soe.gmf-aeroasia.co.id/index.php/dashboard" xr:uid="{657E33C1-8B97-446B-A00E-2047BE4030C4}"/>
    <hyperlink ref="F360" r:id="rId57" display="https://soe.gmf-aeroasia.co.id/index.php/dashboard" xr:uid="{C871583D-19F0-476F-8778-8238EB1CAD76}"/>
    <hyperlink ref="F359" r:id="rId58" display="https://soe.gmf-aeroasia.co.id/index.php/dashboard" xr:uid="{07EBD353-DD03-4358-B1C6-4295445CB3F2}"/>
    <hyperlink ref="F358" r:id="rId59" display="https://soe.gmf-aeroasia.co.id/index.php/dashboard" xr:uid="{205212A5-604E-4AE2-BDA5-C37EE92FD30A}"/>
    <hyperlink ref="F357" r:id="rId60" display="https://soe.gmf-aeroasia.co.id/index.php/dashboard" xr:uid="{F4131D34-CD90-421C-889E-D539D20DA8F3}"/>
    <hyperlink ref="F356" r:id="rId61" display="https://soe.gmf-aeroasia.co.id/index.php/dashboard" xr:uid="{5E388B0D-4B16-4DA0-9E75-5ECD6A8AD5B9}"/>
    <hyperlink ref="F355" r:id="rId62" display="https://soe.gmf-aeroasia.co.id/index.php/dashboard" xr:uid="{B3760662-6623-474E-AD4C-DA4844FC9826}"/>
    <hyperlink ref="F354" r:id="rId63" display="https://soe.gmf-aeroasia.co.id/index.php/dashboard" xr:uid="{C95BB337-06A3-432E-BDAD-2ED5633BB12F}"/>
    <hyperlink ref="F353" r:id="rId64" display="https://soe.gmf-aeroasia.co.id/index.php/dashboard" xr:uid="{838B18F8-F5C4-4BD0-B946-7374CF2ADA57}"/>
    <hyperlink ref="F352" r:id="rId65" display="https://soe.gmf-aeroasia.co.id/index.php/dashboard" xr:uid="{B4519CEC-4B60-4DBE-BBB8-82C3D59C5D16}"/>
    <hyperlink ref="F351" r:id="rId66" display="https://soe.gmf-aeroasia.co.id/index.php/dashboard" xr:uid="{09D3E35C-3FEF-451B-8E43-82B6173B974E}"/>
    <hyperlink ref="F350" r:id="rId67" display="https://soe.gmf-aeroasia.co.id/index.php/dashboard" xr:uid="{F8D788D7-DF05-4A44-A284-601196B30F4C}"/>
    <hyperlink ref="F349" r:id="rId68" display="https://soe.gmf-aeroasia.co.id/index.php/dashboard" xr:uid="{BFD49922-4561-436D-978B-67A878CF66FA}"/>
    <hyperlink ref="F348" r:id="rId69" display="https://soe.gmf-aeroasia.co.id/index.php/dashboard" xr:uid="{EB1E72D5-59A9-497E-992C-DDE68A3AD0BF}"/>
    <hyperlink ref="F347" r:id="rId70" display="https://soe.gmf-aeroasia.co.id/index.php/dashboard" xr:uid="{700B04F8-0406-401C-824F-9185B984286D}"/>
    <hyperlink ref="F346" r:id="rId71" display="https://soe.gmf-aeroasia.co.id/index.php/dashboard" xr:uid="{6DC58B50-1E94-499B-BEB0-1E1093EB917F}"/>
    <hyperlink ref="F345" r:id="rId72" display="https://soe.gmf-aeroasia.co.id/index.php/dashboard" xr:uid="{1AE98D3B-F6D0-437D-9E6F-0413C1B21EEF}"/>
    <hyperlink ref="F344" r:id="rId73" display="https://soe.gmf-aeroasia.co.id/index.php/dashboard" xr:uid="{347EA6DE-761B-4B6D-B365-7B0180163C9B}"/>
    <hyperlink ref="F343" r:id="rId74" display="https://soe.gmf-aeroasia.co.id/index.php/dashboard" xr:uid="{88040A78-FDC2-4FB8-8EE5-CDEDD73433B1}"/>
    <hyperlink ref="F342" r:id="rId75" display="https://soe.gmf-aeroasia.co.id/index.php/dashboard" xr:uid="{94BFE2FD-343F-4934-A115-7E76958D2C43}"/>
    <hyperlink ref="F341" r:id="rId76" display="https://soe.gmf-aeroasia.co.id/index.php/dashboard" xr:uid="{0B0D78DD-E353-452D-8BF9-B440FACE9241}"/>
    <hyperlink ref="F340" r:id="rId77" display="https://soe.gmf-aeroasia.co.id/index.php/dashboard" xr:uid="{9DBF0A35-8D98-49E7-B1E7-83E0E4223EB8}"/>
    <hyperlink ref="F339" r:id="rId78" display="https://soe.gmf-aeroasia.co.id/index.php/dashboard" xr:uid="{2BD5079E-6BF7-415A-975A-75CC4894C312}"/>
    <hyperlink ref="F338" r:id="rId79" display="https://soe.gmf-aeroasia.co.id/index.php/dashboard" xr:uid="{3EF6D82B-2D24-45AA-8416-18E0D34250B0}"/>
    <hyperlink ref="F337" r:id="rId80" display="https://soe.gmf-aeroasia.co.id/index.php/dashboard" xr:uid="{37C5751D-7846-4F92-810D-2E88C34217C1}"/>
    <hyperlink ref="F336" r:id="rId81" display="https://soe.gmf-aeroasia.co.id/index.php/dashboard" xr:uid="{91060260-CEED-4CEA-918B-5DCCAC0DF400}"/>
    <hyperlink ref="F335" r:id="rId82" display="https://soe.gmf-aeroasia.co.id/index.php/dashboard" xr:uid="{9052C27A-2FB3-484F-BFE6-B920C1640F17}"/>
    <hyperlink ref="F334" r:id="rId83" display="https://soe.gmf-aeroasia.co.id/index.php/dashboard" xr:uid="{444ABD23-9956-4697-B82F-A2C8A42BCD28}"/>
    <hyperlink ref="F333" r:id="rId84" display="https://soe.gmf-aeroasia.co.id/index.php/dashboard" xr:uid="{E3239AFE-2BBA-4136-92F5-ECE169F2DD03}"/>
    <hyperlink ref="F332" r:id="rId85" display="https://soe.gmf-aeroasia.co.id/index.php/dashboard" xr:uid="{DB672CEC-DBDA-4683-9AF2-CA5C6B7C5085}"/>
    <hyperlink ref="F331" r:id="rId86" display="https://soe.gmf-aeroasia.co.id/index.php/dashboard" xr:uid="{D120338B-AF9A-45F8-9D55-AFDD33F7135F}"/>
    <hyperlink ref="F330" r:id="rId87" display="https://soe.gmf-aeroasia.co.id/index.php/dashboard" xr:uid="{51146985-ADD4-41CC-8127-612DA3BF192B}"/>
    <hyperlink ref="F329" r:id="rId88" display="https://soe.gmf-aeroasia.co.id/index.php/dashboard" xr:uid="{D9075363-C868-44BC-8797-FF490F39970D}"/>
    <hyperlink ref="F328" r:id="rId89" display="https://soe.gmf-aeroasia.co.id/index.php/dashboard" xr:uid="{08697EC0-798D-48F1-BB95-CB679D1DCAB1}"/>
    <hyperlink ref="F327" r:id="rId90" display="https://soe.gmf-aeroasia.co.id/index.php/dashboard" xr:uid="{DF6719E8-ED55-471E-8781-DB1AEA22FF82}"/>
    <hyperlink ref="F326" r:id="rId91" display="https://soe.gmf-aeroasia.co.id/index.php/dashboard" xr:uid="{B58778AE-35C8-42DA-9D3C-5C4AB319B85D}"/>
    <hyperlink ref="F325" r:id="rId92" display="https://soe.gmf-aeroasia.co.id/index.php/dashboard" xr:uid="{9AD41A3D-78C3-4254-B297-82B91E005602}"/>
    <hyperlink ref="F324" r:id="rId93" display="https://soe.gmf-aeroasia.co.id/index.php/dashboard" xr:uid="{8F1E9CBF-F937-4B32-923E-83094557E3D8}"/>
    <hyperlink ref="F323" r:id="rId94" display="https://soe.gmf-aeroasia.co.id/index.php/dashboard" xr:uid="{7401C8A7-5F41-4DB8-B481-947B76DC0828}"/>
    <hyperlink ref="F322" r:id="rId95" display="https://soe.gmf-aeroasia.co.id/index.php/dashboard" xr:uid="{B886D4F6-BCA3-41E0-A392-1FC5AC860F1F}"/>
    <hyperlink ref="F321" r:id="rId96" display="https://soe.gmf-aeroasia.co.id/index.php/dashboard" xr:uid="{DE8C2222-245D-41E1-B720-2FC8CF25118E}"/>
    <hyperlink ref="F320" r:id="rId97" display="https://soe.gmf-aeroasia.co.id/index.php/dashboard" xr:uid="{744352B4-2BE9-46BF-A196-8293C1FA160E}"/>
    <hyperlink ref="F319" r:id="rId98" display="https://soe.gmf-aeroasia.co.id/index.php/dashboard" xr:uid="{FB5A205B-1485-4429-BEE1-A0C64B159387}"/>
    <hyperlink ref="F318" r:id="rId99" display="https://soe.gmf-aeroasia.co.id/index.php/dashboard" xr:uid="{D08E5B52-508B-4C1E-A6E5-6C58F8F2562B}"/>
    <hyperlink ref="F317" r:id="rId100" display="https://soe.gmf-aeroasia.co.id/index.php/dashboard" xr:uid="{3FF3E786-735A-4AAA-827F-C4DBE7BF89D7}"/>
    <hyperlink ref="F316" r:id="rId101" display="https://soe.gmf-aeroasia.co.id/index.php/dashboard" xr:uid="{46D56020-B736-454B-8B52-507901D4AD68}"/>
    <hyperlink ref="F315" r:id="rId102" display="https://soe.gmf-aeroasia.co.id/index.php/dashboard" xr:uid="{97E66CE8-F44A-411E-AAE2-FD25FC54FC61}"/>
    <hyperlink ref="F314" r:id="rId103" display="https://soe.gmf-aeroasia.co.id/index.php/dashboard" xr:uid="{18C728C2-2FA4-40BF-8051-DC9B14572FDF}"/>
    <hyperlink ref="F313" r:id="rId104" display="https://soe.gmf-aeroasia.co.id/index.php/dashboard" xr:uid="{58F57D1C-7E45-43DB-9552-67F2CA04E649}"/>
    <hyperlink ref="F312" r:id="rId105" display="https://soe.gmf-aeroasia.co.id/index.php/dashboard" xr:uid="{62E50C7E-B164-41FB-B937-3C1F21274110}"/>
    <hyperlink ref="F311" r:id="rId106" display="https://soe.gmf-aeroasia.co.id/index.php/dashboard" xr:uid="{043D7DD2-7CF1-4EB8-B3C1-E3B764678389}"/>
    <hyperlink ref="F211" r:id="rId107" display="https://soe.gmf-aeroasia.co.id/index.php/dashboard" xr:uid="{67E3C3F0-9F76-49C9-B9F2-A187B12C1696}"/>
    <hyperlink ref="F212" r:id="rId108" display="https://soe.gmf-aeroasia.co.id/index.php/dashboard" xr:uid="{6F937771-35B3-469B-A257-E7B0D04DFC37}"/>
    <hyperlink ref="F213" r:id="rId109" display="https://soe.gmf-aeroasia.co.id/index.php/dashboard" xr:uid="{666F1D73-EF73-4404-A2F0-843B432136DD}"/>
    <hyperlink ref="F214" r:id="rId110" display="https://soe.gmf-aeroasia.co.id/index.php/dashboard" xr:uid="{572C35E3-6C82-4249-86FD-06AFAE6AEE33}"/>
    <hyperlink ref="F215" r:id="rId111" display="https://soe.gmf-aeroasia.co.id/index.php/dashboard" xr:uid="{C2A52034-764A-4689-9528-69782C82D83A}"/>
    <hyperlink ref="F216" r:id="rId112" display="https://soe.gmf-aeroasia.co.id/index.php/dashboard" xr:uid="{E02EF200-7337-4F16-B6D8-D1EEFE399166}"/>
    <hyperlink ref="F217" r:id="rId113" display="https://soe.gmf-aeroasia.co.id/index.php/dashboard" xr:uid="{01B12B96-9941-4E18-B472-6DAD5FCD3791}"/>
    <hyperlink ref="F218" r:id="rId114" display="https://soe.gmf-aeroasia.co.id/index.php/dashboard" xr:uid="{7B42C8EA-D741-485A-8F3B-4C1E423C5F78}"/>
    <hyperlink ref="F219" r:id="rId115" display="https://soe.gmf-aeroasia.co.id/index.php/dashboard" xr:uid="{864306C9-61D3-48BA-AAA4-19D0BC5300D7}"/>
    <hyperlink ref="F220" r:id="rId116" display="https://soe.gmf-aeroasia.co.id/index.php/dashboard" xr:uid="{F5DC0B86-8C0C-434E-94F7-E6BB6AE9636D}"/>
    <hyperlink ref="F221" r:id="rId117" display="https://soe.gmf-aeroasia.co.id/index.php/dashboard" xr:uid="{9445C8C1-4408-4E18-B9B8-F1A3BC1C83F6}"/>
    <hyperlink ref="F222" r:id="rId118" display="https://soe.gmf-aeroasia.co.id/index.php/dashboard" xr:uid="{E6DFE2A6-BE85-465D-946C-047036E82AA6}"/>
    <hyperlink ref="F223" r:id="rId119" display="https://soe.gmf-aeroasia.co.id/index.php/dashboard" xr:uid="{ACCB1B23-FCB2-468A-9BCD-FC7C2BB48F64}"/>
    <hyperlink ref="F224" r:id="rId120" display="https://soe.gmf-aeroasia.co.id/index.php/dashboard" xr:uid="{99612C1D-E832-4717-8AE7-95F109CC8E86}"/>
    <hyperlink ref="F225" r:id="rId121" display="https://soe.gmf-aeroasia.co.id/index.php/dashboard" xr:uid="{5E2938D5-9695-4DD9-B42B-0AA1387C50FF}"/>
    <hyperlink ref="F226" r:id="rId122" display="https://soe.gmf-aeroasia.co.id/index.php/dashboard" xr:uid="{3118A786-6390-49F0-B365-1EAD73430F32}"/>
    <hyperlink ref="F227" r:id="rId123" display="https://soe.gmf-aeroasia.co.id/index.php/dashboard" xr:uid="{BB64437A-5F1D-46C8-9C1D-E78F4E969E3F}"/>
    <hyperlink ref="F228" r:id="rId124" display="https://soe.gmf-aeroasia.co.id/index.php/dashboard" xr:uid="{5C27F7A8-3EAF-473F-AE36-50451ADBD9FE}"/>
    <hyperlink ref="F229" r:id="rId125" display="https://soe.gmf-aeroasia.co.id/index.php/dashboard" xr:uid="{5CD65FC1-9F4D-4AD5-B194-5E79A46CED11}"/>
    <hyperlink ref="F230" r:id="rId126" display="https://soe.gmf-aeroasia.co.id/index.php/dashboard" xr:uid="{FDA166FB-1F25-474F-864B-6678425C16DE}"/>
    <hyperlink ref="F231" r:id="rId127" display="https://soe.gmf-aeroasia.co.id/index.php/dashboard" xr:uid="{BAC10BD4-F4AF-4CA8-9209-33B6F8A7F4E9}"/>
    <hyperlink ref="F232" r:id="rId128" display="https://soe.gmf-aeroasia.co.id/index.php/dashboard" xr:uid="{0E8A39E2-EDE7-4635-8A79-B48757D36AFF}"/>
    <hyperlink ref="F233" r:id="rId129" display="https://soe.gmf-aeroasia.co.id/index.php/dashboard" xr:uid="{AA5A25EC-C840-45D2-93A0-D80A6047400F}"/>
    <hyperlink ref="F234" r:id="rId130" display="https://soe.gmf-aeroasia.co.id/index.php/dashboard" xr:uid="{EA6AE042-B872-4AD8-A1D1-2DE1F52B3F0D}"/>
    <hyperlink ref="F235" r:id="rId131" display="https://soe.gmf-aeroasia.co.id/index.php/dashboard" xr:uid="{9EB69DD2-52F4-4A5C-B9D8-7FA0AE43CDA7}"/>
    <hyperlink ref="F236" r:id="rId132" display="https://soe.gmf-aeroasia.co.id/index.php/dashboard" xr:uid="{0C12B19E-DCE8-4D49-AB09-0368CD8764F7}"/>
    <hyperlink ref="F237" r:id="rId133" display="https://soe.gmf-aeroasia.co.id/index.php/dashboard" xr:uid="{7FA97771-CED1-41F3-8EFB-ED26E325B6EE}"/>
    <hyperlink ref="F238" r:id="rId134" display="https://soe.gmf-aeroasia.co.id/index.php/dashboard" xr:uid="{598D82D8-3873-43E3-87FE-84EAF2BF6D5A}"/>
    <hyperlink ref="F239" r:id="rId135" display="https://soe.gmf-aeroasia.co.id/index.php/dashboard" xr:uid="{2EA2C101-0A10-414F-B365-4C500CD0BC89}"/>
    <hyperlink ref="F240" r:id="rId136" display="https://soe.gmf-aeroasia.co.id/index.php/dashboard" xr:uid="{2C332EFB-8025-4364-B509-2ED5F49621FE}"/>
    <hyperlink ref="F241" r:id="rId137" display="https://soe.gmf-aeroasia.co.id/index.php/dashboard" xr:uid="{D1AD9B1B-C95A-4262-ABF1-56E21E65CB6E}"/>
    <hyperlink ref="F242" r:id="rId138" display="https://soe.gmf-aeroasia.co.id/index.php/dashboard" xr:uid="{E7635B25-0A2B-4B06-88EE-DB380C8E786F}"/>
    <hyperlink ref="F243" r:id="rId139" display="https://soe.gmf-aeroasia.co.id/index.php/dashboard" xr:uid="{8C783E49-6980-463B-8A45-F9501E27D0D6}"/>
    <hyperlink ref="F244" r:id="rId140" display="https://soe.gmf-aeroasia.co.id/index.php/dashboard" xr:uid="{DC67620F-5238-480A-A60A-99B5BD9D9D5F}"/>
    <hyperlink ref="F245" r:id="rId141" display="https://soe.gmf-aeroasia.co.id/index.php/dashboard" xr:uid="{5BA34EFD-518A-4758-8609-E8F09236A592}"/>
    <hyperlink ref="F246" r:id="rId142" display="https://soe.gmf-aeroasia.co.id/index.php/dashboard" xr:uid="{20CF4F20-CF78-495A-B694-1FFE009D57C4}"/>
    <hyperlink ref="F247" r:id="rId143" display="https://soe.gmf-aeroasia.co.id/index.php/dashboard" xr:uid="{EE91F61B-E581-4A89-941D-FFFEE1E80770}"/>
    <hyperlink ref="F248" r:id="rId144" display="https://soe.gmf-aeroasia.co.id/index.php/dashboard" xr:uid="{6F14662D-D6A6-40B1-946E-8077EC785F9C}"/>
    <hyperlink ref="F249" r:id="rId145" display="https://soe.gmf-aeroasia.co.id/index.php/dashboard" xr:uid="{80D47ABB-163A-407A-87E6-3A9D782C6D84}"/>
    <hyperlink ref="F250" r:id="rId146" display="https://soe.gmf-aeroasia.co.id/index.php/dashboard" xr:uid="{C60C4B36-3FD0-4F91-83A2-E9792C367CC4}"/>
    <hyperlink ref="F251" r:id="rId147" display="https://soe.gmf-aeroasia.co.id/index.php/dashboard" xr:uid="{FAB6F1DB-1B34-40A5-B401-7FE5ECD4E92A}"/>
    <hyperlink ref="F252" r:id="rId148" display="https://soe.gmf-aeroasia.co.id/index.php/dashboard" xr:uid="{021D5EEF-2863-4F96-8D02-8C8A5C369F11}"/>
    <hyperlink ref="F253" r:id="rId149" display="https://soe.gmf-aeroasia.co.id/index.php/dashboard" xr:uid="{3815C62B-130F-4CD6-A0D0-1E0E0B7BE6D5}"/>
    <hyperlink ref="F254" r:id="rId150" display="https://soe.gmf-aeroasia.co.id/index.php/dashboard" xr:uid="{DE961FE5-7EDD-49E2-BB2B-68F5368DA99C}"/>
    <hyperlink ref="F255" r:id="rId151" display="https://soe.gmf-aeroasia.co.id/index.php/dashboard" xr:uid="{C0E69E96-D518-4411-8AA7-9A1A2BA85B9C}"/>
    <hyperlink ref="F256" r:id="rId152" display="https://soe.gmf-aeroasia.co.id/index.php/dashboard" xr:uid="{A9E52A3D-6B54-4A2F-8144-EDDBF64CC408}"/>
    <hyperlink ref="F257" r:id="rId153" display="https://soe.gmf-aeroasia.co.id/index.php/dashboard" xr:uid="{777B425D-A9A8-45C3-B9E4-D1BCEC423034}"/>
    <hyperlink ref="F258" r:id="rId154" display="https://soe.gmf-aeroasia.co.id/index.php/dashboard" xr:uid="{A092F126-1DD4-4A36-A0EF-1CA3E955D3EA}"/>
    <hyperlink ref="F259" r:id="rId155" display="https://soe.gmf-aeroasia.co.id/index.php/dashboard" xr:uid="{A068C69A-4CA2-469F-9F35-E3C24D0574B0}"/>
    <hyperlink ref="F260" r:id="rId156" display="https://soe.gmf-aeroasia.co.id/index.php/dashboard" xr:uid="{8C9BC632-D304-4B00-BC36-FB6CF85B5004}"/>
    <hyperlink ref="F261" r:id="rId157" display="https://soe.gmf-aeroasia.co.id/index.php/dashboard" xr:uid="{50227508-C406-4B08-8C40-1E3F35B3DCDA}"/>
    <hyperlink ref="F262" r:id="rId158" display="https://soe.gmf-aeroasia.co.id/index.php/dashboard" xr:uid="{0C6518D6-EB58-47AA-BB45-1CCF2347B62E}"/>
    <hyperlink ref="F263" r:id="rId159" display="https://soe.gmf-aeroasia.co.id/index.php/dashboard" xr:uid="{4D698066-2751-4BBD-A1FC-0D164733F8AA}"/>
    <hyperlink ref="F264" r:id="rId160" display="https://soe.gmf-aeroasia.co.id/index.php/dashboard" xr:uid="{560ED876-8182-4696-B087-3DBA93184698}"/>
    <hyperlink ref="F265" r:id="rId161" display="https://soe.gmf-aeroasia.co.id/index.php/dashboard" xr:uid="{1716B492-40FF-4D1A-B518-D3087AAC6AF7}"/>
    <hyperlink ref="F266" r:id="rId162" display="https://soe.gmf-aeroasia.co.id/index.php/dashboard" xr:uid="{CBD5462F-0C02-4462-A31A-DBA0AACDE6C0}"/>
    <hyperlink ref="F267" r:id="rId163" display="https://soe.gmf-aeroasia.co.id/index.php/dashboard" xr:uid="{44997A3C-430D-4810-856A-C50E59052DED}"/>
    <hyperlink ref="F268" r:id="rId164" display="https://soe.gmf-aeroasia.co.id/index.php/dashboard" xr:uid="{CDC07AFB-3C34-4B61-8A8D-DEFBB25A34DC}"/>
    <hyperlink ref="F269" r:id="rId165" display="https://soe.gmf-aeroasia.co.id/index.php/dashboard" xr:uid="{5EC58D74-DA1D-4EED-A0C0-04D455709E38}"/>
    <hyperlink ref="F270" r:id="rId166" display="https://soe.gmf-aeroasia.co.id/index.php/dashboard" xr:uid="{301545FF-0499-4E88-AEE6-5453853D3B61}"/>
    <hyperlink ref="F271" r:id="rId167" display="https://soe.gmf-aeroasia.co.id/index.php/dashboard" xr:uid="{704640A4-95A9-4E64-8363-128F6B3B56EB}"/>
    <hyperlink ref="F272" r:id="rId168" display="https://soe.gmf-aeroasia.co.id/index.php/dashboard" xr:uid="{A49F5B8D-81F4-4333-B1F5-80D44AA8B4E9}"/>
    <hyperlink ref="F273" r:id="rId169" display="https://soe.gmf-aeroasia.co.id/index.php/dashboard" xr:uid="{9A0F6B82-88D0-4875-BC5D-9779DB371A66}"/>
    <hyperlink ref="F274" r:id="rId170" display="https://soe.gmf-aeroasia.co.id/index.php/dashboard" xr:uid="{EB866AD3-88B5-402F-97FE-CCB9F94BBDE1}"/>
    <hyperlink ref="F275" r:id="rId171" display="https://soe.gmf-aeroasia.co.id/index.php/dashboard" xr:uid="{40DE2B73-DF80-421C-9734-B9D446EADAFB}"/>
    <hyperlink ref="F276" r:id="rId172" display="https://soe.gmf-aeroasia.co.id/index.php/dashboard" xr:uid="{49516198-5835-49E4-B79D-9B991615CFDD}"/>
    <hyperlink ref="F277" r:id="rId173" display="https://soe.gmf-aeroasia.co.id/index.php/dashboard" xr:uid="{6789F34A-8D23-489C-94F3-0D689D719754}"/>
    <hyperlink ref="F278" r:id="rId174" display="https://soe.gmf-aeroasia.co.id/index.php/dashboard" xr:uid="{C95C80B2-EFEC-47FF-A710-6232A63A0B63}"/>
    <hyperlink ref="F279" r:id="rId175" display="https://soe.gmf-aeroasia.co.id/index.php/dashboard" xr:uid="{774157C1-64A1-41E2-A2F6-A3E90DCF4C50}"/>
    <hyperlink ref="F280" r:id="rId176" display="https://soe.gmf-aeroasia.co.id/index.php/dashboard" xr:uid="{FB828EFE-655A-4B5B-91A6-BDD303B2E404}"/>
    <hyperlink ref="F281" r:id="rId177" display="https://soe.gmf-aeroasia.co.id/index.php/dashboard" xr:uid="{4BFF3096-B43B-433F-AFC2-8F044223577D}"/>
    <hyperlink ref="F282" r:id="rId178" display="https://soe.gmf-aeroasia.co.id/index.php/dashboard" xr:uid="{EE246156-9736-444D-A3EF-5B6F6B2CED5A}"/>
    <hyperlink ref="F283" r:id="rId179" display="https://soe.gmf-aeroasia.co.id/index.php/dashboard" xr:uid="{0F92A5E8-8584-41E8-9825-FC99ED0E351D}"/>
    <hyperlink ref="F284" r:id="rId180" display="https://soe.gmf-aeroasia.co.id/index.php/dashboard" xr:uid="{3C1EA7A7-5EC5-4548-B2B2-3123A2502EB0}"/>
    <hyperlink ref="F285" r:id="rId181" display="https://soe.gmf-aeroasia.co.id/index.php/dashboard" xr:uid="{6C2984E9-DD64-440A-91D4-2D539A651555}"/>
    <hyperlink ref="F286" r:id="rId182" display="https://soe.gmf-aeroasia.co.id/index.php/dashboard" xr:uid="{64EFAA2F-89CB-4306-A2C8-D6CCBA060767}"/>
    <hyperlink ref="F287" r:id="rId183" display="https://soe.gmf-aeroasia.co.id/index.php/dashboard" xr:uid="{94CA78B2-FAD2-49EC-9A74-7FD57C301D1A}"/>
    <hyperlink ref="F288" r:id="rId184" display="https://soe.gmf-aeroasia.co.id/index.php/dashboard" xr:uid="{1CD17D5A-3670-41C3-A2EC-AB1144CCD903}"/>
    <hyperlink ref="F289" r:id="rId185" display="https://soe.gmf-aeroasia.co.id/index.php/dashboard" xr:uid="{6CFB9980-A5D1-463A-B403-8640F097BEA3}"/>
    <hyperlink ref="F290" r:id="rId186" display="https://soe.gmf-aeroasia.co.id/index.php/dashboard" xr:uid="{EA874BD6-B3DD-4E1A-9BD5-95BB05EF5310}"/>
    <hyperlink ref="F291" r:id="rId187" display="https://soe.gmf-aeroasia.co.id/index.php/dashboard" xr:uid="{E00EFCF1-2774-480E-86F9-D362A3B9EB79}"/>
    <hyperlink ref="F292" r:id="rId188" display="https://soe.gmf-aeroasia.co.id/index.php/dashboard" xr:uid="{46EF0402-D63E-4755-AD19-2CD61273E422}"/>
    <hyperlink ref="F293" r:id="rId189" display="https://soe.gmf-aeroasia.co.id/index.php/dashboard" xr:uid="{155F8023-322E-4C8D-BAFF-DC147504D3FD}"/>
    <hyperlink ref="F294" r:id="rId190" display="https://soe.gmf-aeroasia.co.id/index.php/dashboard" xr:uid="{0D5D6E65-9B2D-4790-B6B2-D9EF6B3CC1DC}"/>
    <hyperlink ref="F295" r:id="rId191" display="https://soe.gmf-aeroasia.co.id/index.php/dashboard" xr:uid="{6843F382-1635-4160-8B86-C63CF6089122}"/>
    <hyperlink ref="F296" r:id="rId192" display="https://soe.gmf-aeroasia.co.id/index.php/dashboard" xr:uid="{5918B5E5-7FE7-4291-8D6A-000039841A0C}"/>
    <hyperlink ref="F297" r:id="rId193" display="https://soe.gmf-aeroasia.co.id/index.php/dashboard" xr:uid="{37BF5956-6F3B-44B5-806E-4F21F5EC85E8}"/>
    <hyperlink ref="F298" r:id="rId194" display="https://soe.gmf-aeroasia.co.id/index.php/dashboard" xr:uid="{39AF4C52-4607-4806-81D5-FE068956E76A}"/>
    <hyperlink ref="F299" r:id="rId195" display="https://soe.gmf-aeroasia.co.id/index.php/dashboard" xr:uid="{6114C60D-8B21-4817-A2A9-AE70BF1488C8}"/>
    <hyperlink ref="F300" r:id="rId196" display="https://soe.gmf-aeroasia.co.id/index.php/dashboard" xr:uid="{E48829A0-9609-4834-8336-983646A01B77}"/>
    <hyperlink ref="F301" r:id="rId197" display="https://soe.gmf-aeroasia.co.id/index.php/dashboard" xr:uid="{C9CCD712-4134-4C2D-8027-880116F7BD32}"/>
    <hyperlink ref="F302" r:id="rId198" display="https://soe.gmf-aeroasia.co.id/index.php/dashboard" xr:uid="{10CD6D16-A59E-4EFD-8527-BB6FF420E7EE}"/>
    <hyperlink ref="F303" r:id="rId199" display="https://soe.gmf-aeroasia.co.id/index.php/dashboard" xr:uid="{514D4035-1C23-47D0-A796-81B608ACEEF6}"/>
    <hyperlink ref="F304" r:id="rId200" display="https://soe.gmf-aeroasia.co.id/index.php/dashboard" xr:uid="{27E7CF88-60A8-4ECB-A840-8500499F0F0F}"/>
    <hyperlink ref="F305" r:id="rId201" display="https://soe.gmf-aeroasia.co.id/index.php/dashboard" xr:uid="{FD22CBE5-5F89-4C52-A265-32B15932AC8F}"/>
    <hyperlink ref="F306" r:id="rId202" display="https://soe.gmf-aeroasia.co.id/index.php/dashboard" xr:uid="{8792A621-9F7C-4A28-83BB-0D73405FE9B6}"/>
    <hyperlink ref="F307" r:id="rId203" display="https://soe.gmf-aeroasia.co.id/index.php/dashboard" xr:uid="{EE33EE00-E8C0-4EE4-884B-94DC54A974FA}"/>
    <hyperlink ref="F308" r:id="rId204" display="https://soe.gmf-aeroasia.co.id/index.php/dashboard" xr:uid="{09EC04E9-3D39-4090-A3A5-60960536012A}"/>
    <hyperlink ref="F309" r:id="rId205" display="https://soe.gmf-aeroasia.co.id/index.php/dashboard" xr:uid="{DAA130DD-26C1-4BC6-A130-468BCE4EF9CB}"/>
  </hyperlinks>
  <pageMargins left="0.7" right="0.7" top="0.75" bottom="0.75" header="0.3" footer="0.3"/>
  <pageSetup orientation="portrait" r:id="rId206"/>
  <legacyDrawing r:id="rId207"/>
  <tableParts count="1">
    <tablePart r:id="rId20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E3E83D-4C70-4568-86F2-BD837B9E6B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BS3:BS98 BS100:BS210</xm:sqref>
        </x14:conditionalFormatting>
        <x14:conditionalFormatting xmlns:xm="http://schemas.microsoft.com/office/excel/2006/main">
          <x14:cfRule type="dataBar" id="{A77DAEE1-428B-4B2D-8640-3C42EA3DA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BS99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EBBA-B014-4EEB-8218-1E1D6DF9FF74}">
  <dimension ref="A3:H26"/>
  <sheetViews>
    <sheetView topLeftCell="A2" workbookViewId="0">
      <selection activeCell="H13" sqref="H13"/>
    </sheetView>
  </sheetViews>
  <sheetFormatPr defaultRowHeight="15" x14ac:dyDescent="0.25"/>
  <cols>
    <col min="1" max="1" width="51.140625" bestFit="1" customWidth="1"/>
    <col min="2" max="2" width="16.85546875" bestFit="1" customWidth="1"/>
    <col min="5" max="5" width="42.7109375" bestFit="1" customWidth="1"/>
  </cols>
  <sheetData>
    <row r="3" spans="1:8" x14ac:dyDescent="0.25">
      <c r="A3" s="12" t="s">
        <v>4</v>
      </c>
      <c r="B3" t="s">
        <v>776</v>
      </c>
    </row>
    <row r="4" spans="1:8" x14ac:dyDescent="0.25">
      <c r="A4" s="13" t="s">
        <v>5</v>
      </c>
      <c r="B4">
        <v>1</v>
      </c>
    </row>
    <row r="5" spans="1:8" x14ac:dyDescent="0.25">
      <c r="A5" s="13" t="s">
        <v>6</v>
      </c>
      <c r="B5">
        <v>29</v>
      </c>
    </row>
    <row r="6" spans="1:8" x14ac:dyDescent="0.25">
      <c r="A6" s="13" t="s">
        <v>7</v>
      </c>
      <c r="B6">
        <v>2</v>
      </c>
    </row>
    <row r="7" spans="1:8" x14ac:dyDescent="0.25">
      <c r="A7" s="13" t="s">
        <v>8</v>
      </c>
      <c r="B7">
        <v>3</v>
      </c>
    </row>
    <row r="8" spans="1:8" x14ac:dyDescent="0.25">
      <c r="A8" s="13" t="s">
        <v>9</v>
      </c>
      <c r="B8">
        <v>2</v>
      </c>
    </row>
    <row r="9" spans="1:8" x14ac:dyDescent="0.25">
      <c r="A9" s="13" t="s">
        <v>10</v>
      </c>
      <c r="B9">
        <v>2</v>
      </c>
      <c r="E9" s="13" t="s">
        <v>14</v>
      </c>
      <c r="F9">
        <v>2</v>
      </c>
      <c r="G9" t="s">
        <v>777</v>
      </c>
      <c r="H9">
        <f>F9</f>
        <v>2</v>
      </c>
    </row>
    <row r="10" spans="1:8" x14ac:dyDescent="0.25">
      <c r="A10" s="13" t="s">
        <v>11</v>
      </c>
      <c r="B10">
        <v>2</v>
      </c>
      <c r="E10" s="13" t="s">
        <v>6</v>
      </c>
      <c r="F10">
        <v>23</v>
      </c>
    </row>
    <row r="11" spans="1:8" x14ac:dyDescent="0.25">
      <c r="A11" s="13" t="s">
        <v>12</v>
      </c>
      <c r="B11">
        <v>1</v>
      </c>
      <c r="E11" s="13" t="s">
        <v>8</v>
      </c>
      <c r="F11">
        <v>3</v>
      </c>
      <c r="G11" t="s">
        <v>778</v>
      </c>
      <c r="H11">
        <f>F11+F10</f>
        <v>26</v>
      </c>
    </row>
    <row r="12" spans="1:8" x14ac:dyDescent="0.25">
      <c r="A12" s="13" t="s">
        <v>13</v>
      </c>
      <c r="B12">
        <v>8</v>
      </c>
      <c r="E12" s="13" t="s">
        <v>15</v>
      </c>
      <c r="F12">
        <v>32</v>
      </c>
    </row>
    <row r="13" spans="1:8" x14ac:dyDescent="0.25">
      <c r="A13" s="13" t="s">
        <v>14</v>
      </c>
      <c r="B13">
        <v>2</v>
      </c>
      <c r="E13" s="13" t="s">
        <v>18</v>
      </c>
      <c r="F13">
        <v>44</v>
      </c>
      <c r="G13" t="s">
        <v>779</v>
      </c>
      <c r="H13">
        <f>F13+F12</f>
        <v>76</v>
      </c>
    </row>
    <row r="14" spans="1:8" x14ac:dyDescent="0.25">
      <c r="A14" s="13" t="s">
        <v>15</v>
      </c>
      <c r="B14">
        <v>44</v>
      </c>
      <c r="E14" s="13" t="s">
        <v>7</v>
      </c>
      <c r="F14">
        <v>3</v>
      </c>
    </row>
    <row r="15" spans="1:8" x14ac:dyDescent="0.25">
      <c r="A15" s="13" t="s">
        <v>16</v>
      </c>
      <c r="B15">
        <v>5</v>
      </c>
      <c r="E15" s="13" t="s">
        <v>10</v>
      </c>
      <c r="F15">
        <v>3</v>
      </c>
    </row>
    <row r="16" spans="1:8" x14ac:dyDescent="0.25">
      <c r="A16" s="13" t="s">
        <v>17</v>
      </c>
      <c r="B16">
        <v>3</v>
      </c>
      <c r="E16" s="13" t="s">
        <v>23</v>
      </c>
      <c r="F16">
        <v>39</v>
      </c>
    </row>
    <row r="17" spans="1:8" x14ac:dyDescent="0.25">
      <c r="A17" s="13" t="s">
        <v>18</v>
      </c>
      <c r="B17">
        <v>39</v>
      </c>
      <c r="E17" s="13" t="s">
        <v>24</v>
      </c>
      <c r="F17">
        <v>4</v>
      </c>
      <c r="G17" t="s">
        <v>780</v>
      </c>
      <c r="H17">
        <f>SUM(F14:F17)</f>
        <v>49</v>
      </c>
    </row>
    <row r="18" spans="1:8" x14ac:dyDescent="0.25">
      <c r="A18" s="13" t="s">
        <v>19</v>
      </c>
      <c r="B18">
        <v>1</v>
      </c>
    </row>
    <row r="19" spans="1:8" x14ac:dyDescent="0.25">
      <c r="A19" s="13" t="s">
        <v>20</v>
      </c>
      <c r="B19">
        <v>1</v>
      </c>
    </row>
    <row r="20" spans="1:8" x14ac:dyDescent="0.25">
      <c r="A20" s="13" t="s">
        <v>21</v>
      </c>
      <c r="B20">
        <v>2</v>
      </c>
    </row>
    <row r="21" spans="1:8" x14ac:dyDescent="0.25">
      <c r="A21" s="13" t="s">
        <v>22</v>
      </c>
      <c r="B21">
        <v>11</v>
      </c>
    </row>
    <row r="22" spans="1:8" x14ac:dyDescent="0.25">
      <c r="A22" s="13" t="s">
        <v>23</v>
      </c>
      <c r="B22">
        <v>43</v>
      </c>
    </row>
    <row r="23" spans="1:8" x14ac:dyDescent="0.25">
      <c r="A23" s="13" t="s">
        <v>24</v>
      </c>
      <c r="B23">
        <v>2</v>
      </c>
    </row>
    <row r="24" spans="1:8" x14ac:dyDescent="0.25">
      <c r="A24" s="13" t="s">
        <v>25</v>
      </c>
      <c r="B24">
        <v>5</v>
      </c>
    </row>
    <row r="25" spans="1:8" x14ac:dyDescent="0.25">
      <c r="A25" s="13" t="s">
        <v>26</v>
      </c>
      <c r="B25">
        <v>1</v>
      </c>
    </row>
    <row r="26" spans="1:8" x14ac:dyDescent="0.25">
      <c r="A26" s="13" t="s">
        <v>27</v>
      </c>
      <c r="B26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4CB8-9DCB-40F7-879A-3ADDB3A5AF0D}">
  <dimension ref="A1:H337"/>
  <sheetViews>
    <sheetView zoomScale="80" workbookViewId="0">
      <pane xSplit="2" ySplit="1" topLeftCell="D238" activePane="bottomRight" state="frozen"/>
      <selection pane="topRight" activeCell="B1" sqref="B1"/>
      <selection pane="bottomLeft" activeCell="A2" sqref="A2"/>
      <selection pane="bottomRight" activeCell="D101" sqref="D101"/>
    </sheetView>
  </sheetViews>
  <sheetFormatPr defaultColWidth="8.85546875" defaultRowHeight="15" x14ac:dyDescent="0.25"/>
  <cols>
    <col min="1" max="1" width="5.28515625" style="10" customWidth="1"/>
    <col min="2" max="2" width="39.28515625" style="10" bestFit="1" customWidth="1"/>
    <col min="3" max="3" width="12.5703125" style="10" hidden="1" customWidth="1"/>
    <col min="4" max="4" width="31.140625" style="10" customWidth="1"/>
    <col min="5" max="5" width="51.85546875" style="10" hidden="1" customWidth="1"/>
    <col min="6" max="6" width="20.7109375" style="10" customWidth="1"/>
    <col min="7" max="7" width="68.85546875" style="10" bestFit="1" customWidth="1"/>
    <col min="8" max="8" width="18.85546875" style="10" customWidth="1"/>
    <col min="9" max="16384" width="8.85546875" style="10"/>
  </cols>
  <sheetData>
    <row r="1" spans="1:8" x14ac:dyDescent="0.25">
      <c r="A1" s="10" t="s">
        <v>158</v>
      </c>
      <c r="B1" s="11" t="s">
        <v>62</v>
      </c>
      <c r="C1" s="11" t="s">
        <v>781</v>
      </c>
      <c r="D1" s="11" t="s">
        <v>28</v>
      </c>
      <c r="E1" s="11" t="s">
        <v>782</v>
      </c>
      <c r="F1" s="11" t="s">
        <v>783</v>
      </c>
      <c r="G1" s="11" t="s">
        <v>784</v>
      </c>
      <c r="H1" s="11" t="s">
        <v>785</v>
      </c>
    </row>
    <row r="2" spans="1:8" hidden="1" x14ac:dyDescent="0.25">
      <c r="A2" s="10">
        <v>1</v>
      </c>
      <c r="B2" s="10" t="s">
        <v>786</v>
      </c>
      <c r="C2" s="10" t="s">
        <v>787</v>
      </c>
      <c r="D2" s="10" t="s">
        <v>185</v>
      </c>
      <c r="E2" s="10" t="s">
        <v>185</v>
      </c>
      <c r="F2" s="10" t="s">
        <v>788</v>
      </c>
      <c r="G2" s="10" t="str">
        <f t="shared" ref="G2:G99" si="0">B2 &amp; "-" &amp; D2</f>
        <v>Aircraft Cabin Controller-Aircraft Exterior &amp; Interior Cleaning</v>
      </c>
    </row>
    <row r="3" spans="1:8" hidden="1" x14ac:dyDescent="0.25">
      <c r="A3" s="10">
        <v>2</v>
      </c>
      <c r="B3" s="10" t="s">
        <v>786</v>
      </c>
      <c r="C3" s="10" t="s">
        <v>789</v>
      </c>
      <c r="D3" s="10" t="s">
        <v>181</v>
      </c>
      <c r="E3" s="10" t="s">
        <v>181</v>
      </c>
      <c r="F3" s="10" t="s">
        <v>788</v>
      </c>
      <c r="G3" s="10" t="str">
        <f t="shared" si="0"/>
        <v>Aircraft Cabin Controller-Aircraft Familiarization</v>
      </c>
    </row>
    <row r="4" spans="1:8" hidden="1" x14ac:dyDescent="0.25">
      <c r="A4" s="10">
        <v>3</v>
      </c>
      <c r="B4" s="10" t="s">
        <v>786</v>
      </c>
      <c r="C4" s="10" t="s">
        <v>790</v>
      </c>
      <c r="D4" s="10" t="s">
        <v>174</v>
      </c>
      <c r="E4" s="10" t="s">
        <v>174</v>
      </c>
      <c r="F4" s="10" t="s">
        <v>788</v>
      </c>
      <c r="G4" s="10" t="str">
        <f t="shared" si="0"/>
        <v>Aircraft Cabin Controller-Basic Inspection</v>
      </c>
    </row>
    <row r="5" spans="1:8" hidden="1" x14ac:dyDescent="0.25">
      <c r="A5" s="10">
        <v>4</v>
      </c>
      <c r="B5" s="10" t="s">
        <v>786</v>
      </c>
      <c r="C5" s="10" t="s">
        <v>791</v>
      </c>
      <c r="D5" s="10" t="s">
        <v>36</v>
      </c>
      <c r="E5" s="10" t="s">
        <v>36</v>
      </c>
      <c r="F5" s="10" t="s">
        <v>788</v>
      </c>
      <c r="G5" s="10" t="str">
        <f t="shared" si="0"/>
        <v>Aircraft Cabin Controller-CASR Part 145</v>
      </c>
    </row>
    <row r="6" spans="1:8" hidden="1" x14ac:dyDescent="0.25">
      <c r="A6" s="10">
        <v>5</v>
      </c>
      <c r="B6" s="10" t="s">
        <v>786</v>
      </c>
      <c r="C6" s="10" t="s">
        <v>792</v>
      </c>
      <c r="D6" s="10" t="s">
        <v>42</v>
      </c>
      <c r="E6" s="10" t="s">
        <v>42</v>
      </c>
      <c r="F6" s="10" t="s">
        <v>788</v>
      </c>
      <c r="G6" s="10" t="str">
        <f t="shared" si="0"/>
        <v>Aircraft Cabin Controller-Dangerous Good</v>
      </c>
    </row>
    <row r="7" spans="1:8" hidden="1" x14ac:dyDescent="0.25">
      <c r="A7" s="10">
        <v>6</v>
      </c>
      <c r="B7" s="10" t="s">
        <v>786</v>
      </c>
      <c r="C7" s="10" t="s">
        <v>793</v>
      </c>
      <c r="D7" s="10" t="s">
        <v>38</v>
      </c>
      <c r="E7" s="10" t="s">
        <v>38</v>
      </c>
      <c r="F7" s="10" t="s">
        <v>788</v>
      </c>
      <c r="G7" s="10" t="str">
        <f t="shared" si="0"/>
        <v>Aircraft Cabin Controller-EASA Part 145</v>
      </c>
    </row>
    <row r="8" spans="1:8" hidden="1" x14ac:dyDescent="0.25">
      <c r="A8" s="10">
        <v>7</v>
      </c>
      <c r="B8" s="10" t="s">
        <v>786</v>
      </c>
      <c r="C8" s="10" t="s">
        <v>794</v>
      </c>
      <c r="D8" s="10" t="s">
        <v>39</v>
      </c>
      <c r="E8" s="10" t="s">
        <v>795</v>
      </c>
      <c r="F8" s="10" t="s">
        <v>788</v>
      </c>
      <c r="G8" s="10" t="str">
        <f t="shared" si="0"/>
        <v>Aircraft Cabin Controller-EASA Part M</v>
      </c>
    </row>
    <row r="9" spans="1:8" hidden="1" x14ac:dyDescent="0.25">
      <c r="A9" s="10">
        <v>8</v>
      </c>
      <c r="B9" s="10" t="s">
        <v>786</v>
      </c>
      <c r="C9" s="10" t="s">
        <v>796</v>
      </c>
      <c r="D9" s="10" t="s">
        <v>41</v>
      </c>
      <c r="E9" s="10" t="s">
        <v>41</v>
      </c>
      <c r="F9" s="10" t="s">
        <v>788</v>
      </c>
      <c r="G9" s="10" t="str">
        <f t="shared" si="0"/>
        <v>Aircraft Cabin Controller-EWIS</v>
      </c>
    </row>
    <row r="10" spans="1:8" hidden="1" x14ac:dyDescent="0.25">
      <c r="A10" s="10">
        <v>9</v>
      </c>
      <c r="B10" s="10" t="s">
        <v>786</v>
      </c>
      <c r="C10" s="10" t="s">
        <v>797</v>
      </c>
      <c r="D10" s="10" t="s">
        <v>37</v>
      </c>
      <c r="E10" s="10" t="s">
        <v>37</v>
      </c>
      <c r="F10" s="10" t="s">
        <v>788</v>
      </c>
      <c r="G10" s="10" t="str">
        <f t="shared" si="0"/>
        <v>Aircraft Cabin Controller-FAR Part 145</v>
      </c>
    </row>
    <row r="11" spans="1:8" hidden="1" x14ac:dyDescent="0.25">
      <c r="A11" s="10">
        <v>10</v>
      </c>
      <c r="B11" s="10" t="s">
        <v>786</v>
      </c>
      <c r="C11" s="10" t="s">
        <v>798</v>
      </c>
      <c r="D11" s="10" t="s">
        <v>40</v>
      </c>
      <c r="E11" s="10" t="s">
        <v>40</v>
      </c>
      <c r="F11" s="10" t="s">
        <v>788</v>
      </c>
      <c r="G11" s="10" t="str">
        <f t="shared" si="0"/>
        <v>Aircraft Cabin Controller-Fuel Tank Safety</v>
      </c>
    </row>
    <row r="12" spans="1:8" hidden="1" x14ac:dyDescent="0.25">
      <c r="A12" s="10">
        <v>11</v>
      </c>
      <c r="B12" s="10" t="s">
        <v>786</v>
      </c>
      <c r="C12" s="10" t="s">
        <v>799</v>
      </c>
      <c r="D12" s="10" t="s">
        <v>35</v>
      </c>
      <c r="E12" s="10" t="s">
        <v>35</v>
      </c>
      <c r="F12" s="10" t="s">
        <v>788</v>
      </c>
      <c r="G12" s="10" t="str">
        <f t="shared" si="0"/>
        <v>Aircraft Cabin Controller-GMF Quality System</v>
      </c>
    </row>
    <row r="13" spans="1:8" hidden="1" x14ac:dyDescent="0.25">
      <c r="A13" s="10">
        <v>12</v>
      </c>
      <c r="B13" s="10" t="s">
        <v>786</v>
      </c>
      <c r="C13" s="10" t="s">
        <v>800</v>
      </c>
      <c r="D13" s="10" t="s">
        <v>33</v>
      </c>
      <c r="E13" s="10" t="s">
        <v>33</v>
      </c>
      <c r="F13" s="10" t="s">
        <v>801</v>
      </c>
      <c r="G13" s="10" t="str">
        <f t="shared" si="0"/>
        <v>Aircraft Cabin Controller-Human Factor</v>
      </c>
    </row>
    <row r="14" spans="1:8" hidden="1" x14ac:dyDescent="0.25">
      <c r="A14" s="10">
        <v>13</v>
      </c>
      <c r="B14" s="10" t="s">
        <v>786</v>
      </c>
      <c r="C14" s="10" t="s">
        <v>802</v>
      </c>
      <c r="D14" s="10" t="s">
        <v>201</v>
      </c>
      <c r="E14" s="10" t="s">
        <v>201</v>
      </c>
      <c r="F14" s="10" t="s">
        <v>788</v>
      </c>
      <c r="G14" s="10" t="str">
        <f t="shared" si="0"/>
        <v>Aircraft Cabin Controller-Orientation Training</v>
      </c>
    </row>
    <row r="15" spans="1:8" hidden="1" x14ac:dyDescent="0.25">
      <c r="A15" s="10">
        <v>14</v>
      </c>
      <c r="B15" s="10" t="s">
        <v>786</v>
      </c>
      <c r="C15" s="10" t="s">
        <v>803</v>
      </c>
      <c r="D15" s="10" t="s">
        <v>34</v>
      </c>
      <c r="E15" s="10" t="s">
        <v>34</v>
      </c>
      <c r="F15" s="10" t="s">
        <v>801</v>
      </c>
      <c r="G15" s="10" t="str">
        <f t="shared" si="0"/>
        <v>Aircraft Cabin Controller-Safety Management System</v>
      </c>
    </row>
    <row r="16" spans="1:8" hidden="1" x14ac:dyDescent="0.25">
      <c r="A16" s="10">
        <v>15</v>
      </c>
      <c r="B16" s="10" t="s">
        <v>804</v>
      </c>
      <c r="C16" s="10" t="s">
        <v>787</v>
      </c>
      <c r="D16" s="10" t="s">
        <v>185</v>
      </c>
      <c r="E16" s="10" t="s">
        <v>185</v>
      </c>
      <c r="F16" s="10" t="s">
        <v>788</v>
      </c>
      <c r="G16" s="10" t="str">
        <f t="shared" si="0"/>
        <v>OJT to Aircraft Cabin Controller-Aircraft Exterior &amp; Interior Cleaning</v>
      </c>
    </row>
    <row r="17" spans="1:7" hidden="1" x14ac:dyDescent="0.25">
      <c r="A17" s="10">
        <v>16</v>
      </c>
      <c r="B17" s="10" t="s">
        <v>804</v>
      </c>
      <c r="C17" s="10" t="s">
        <v>789</v>
      </c>
      <c r="D17" s="10" t="s">
        <v>181</v>
      </c>
      <c r="E17" s="10" t="s">
        <v>181</v>
      </c>
      <c r="F17" s="10" t="s">
        <v>788</v>
      </c>
      <c r="G17" s="10" t="str">
        <f t="shared" si="0"/>
        <v>OJT to Aircraft Cabin Controller-Aircraft Familiarization</v>
      </c>
    </row>
    <row r="18" spans="1:7" hidden="1" x14ac:dyDescent="0.25">
      <c r="A18" s="10">
        <v>17</v>
      </c>
      <c r="B18" s="10" t="s">
        <v>804</v>
      </c>
      <c r="C18" s="10" t="s">
        <v>790</v>
      </c>
      <c r="D18" s="10" t="s">
        <v>174</v>
      </c>
      <c r="E18" s="10" t="s">
        <v>174</v>
      </c>
      <c r="F18" s="10" t="s">
        <v>788</v>
      </c>
      <c r="G18" s="10" t="str">
        <f t="shared" si="0"/>
        <v>OJT to Aircraft Cabin Controller-Basic Inspection</v>
      </c>
    </row>
    <row r="19" spans="1:7" hidden="1" x14ac:dyDescent="0.25">
      <c r="A19" s="10">
        <v>18</v>
      </c>
      <c r="B19" s="10" t="s">
        <v>804</v>
      </c>
      <c r="C19" s="10" t="s">
        <v>791</v>
      </c>
      <c r="D19" s="10" t="s">
        <v>36</v>
      </c>
      <c r="E19" s="10" t="s">
        <v>36</v>
      </c>
      <c r="F19" s="10" t="s">
        <v>788</v>
      </c>
      <c r="G19" s="10" t="str">
        <f t="shared" si="0"/>
        <v>OJT to Aircraft Cabin Controller-CASR Part 145</v>
      </c>
    </row>
    <row r="20" spans="1:7" hidden="1" x14ac:dyDescent="0.25">
      <c r="A20" s="10">
        <v>19</v>
      </c>
      <c r="B20" s="10" t="s">
        <v>804</v>
      </c>
      <c r="C20" s="10" t="s">
        <v>792</v>
      </c>
      <c r="D20" s="10" t="s">
        <v>42</v>
      </c>
      <c r="E20" s="10" t="s">
        <v>42</v>
      </c>
      <c r="F20" s="10" t="s">
        <v>788</v>
      </c>
      <c r="G20" s="10" t="str">
        <f t="shared" si="0"/>
        <v>OJT to Aircraft Cabin Controller-Dangerous Good</v>
      </c>
    </row>
    <row r="21" spans="1:7" hidden="1" x14ac:dyDescent="0.25">
      <c r="A21" s="10">
        <v>20</v>
      </c>
      <c r="B21" s="10" t="s">
        <v>804</v>
      </c>
      <c r="C21" s="10" t="s">
        <v>793</v>
      </c>
      <c r="D21" s="10" t="s">
        <v>38</v>
      </c>
      <c r="E21" s="10" t="s">
        <v>38</v>
      </c>
      <c r="F21" s="10" t="s">
        <v>788</v>
      </c>
      <c r="G21" s="10" t="str">
        <f t="shared" si="0"/>
        <v>OJT to Aircraft Cabin Controller-EASA Part 145</v>
      </c>
    </row>
    <row r="22" spans="1:7" hidden="1" x14ac:dyDescent="0.25">
      <c r="A22" s="10">
        <v>21</v>
      </c>
      <c r="B22" s="10" t="s">
        <v>804</v>
      </c>
      <c r="C22" s="10" t="s">
        <v>794</v>
      </c>
      <c r="D22" s="10" t="s">
        <v>39</v>
      </c>
      <c r="E22" s="10" t="s">
        <v>795</v>
      </c>
      <c r="F22" s="10" t="s">
        <v>788</v>
      </c>
      <c r="G22" s="10" t="str">
        <f t="shared" si="0"/>
        <v>OJT to Aircraft Cabin Controller-EASA Part M</v>
      </c>
    </row>
    <row r="23" spans="1:7" hidden="1" x14ac:dyDescent="0.25">
      <c r="A23" s="10">
        <v>22</v>
      </c>
      <c r="B23" s="10" t="s">
        <v>804</v>
      </c>
      <c r="C23" s="10" t="s">
        <v>796</v>
      </c>
      <c r="D23" s="10" t="s">
        <v>41</v>
      </c>
      <c r="E23" s="10" t="s">
        <v>41</v>
      </c>
      <c r="F23" s="10" t="s">
        <v>788</v>
      </c>
      <c r="G23" s="10" t="str">
        <f t="shared" si="0"/>
        <v>OJT to Aircraft Cabin Controller-EWIS</v>
      </c>
    </row>
    <row r="24" spans="1:7" hidden="1" x14ac:dyDescent="0.25">
      <c r="A24" s="10">
        <v>23</v>
      </c>
      <c r="B24" s="10" t="s">
        <v>804</v>
      </c>
      <c r="C24" s="10" t="s">
        <v>797</v>
      </c>
      <c r="D24" s="10" t="s">
        <v>37</v>
      </c>
      <c r="E24" s="10" t="s">
        <v>37</v>
      </c>
      <c r="F24" s="10" t="s">
        <v>788</v>
      </c>
      <c r="G24" s="10" t="str">
        <f t="shared" si="0"/>
        <v>OJT to Aircraft Cabin Controller-FAR Part 145</v>
      </c>
    </row>
    <row r="25" spans="1:7" hidden="1" x14ac:dyDescent="0.25">
      <c r="A25" s="10">
        <v>24</v>
      </c>
      <c r="B25" s="10" t="s">
        <v>804</v>
      </c>
      <c r="C25" s="10" t="s">
        <v>798</v>
      </c>
      <c r="D25" s="10" t="s">
        <v>40</v>
      </c>
      <c r="E25" s="10" t="s">
        <v>40</v>
      </c>
      <c r="F25" s="10" t="s">
        <v>788</v>
      </c>
      <c r="G25" s="10" t="str">
        <f t="shared" si="0"/>
        <v>OJT to Aircraft Cabin Controller-Fuel Tank Safety</v>
      </c>
    </row>
    <row r="26" spans="1:7" hidden="1" x14ac:dyDescent="0.25">
      <c r="A26" s="10">
        <v>25</v>
      </c>
      <c r="B26" s="10" t="s">
        <v>804</v>
      </c>
      <c r="C26" s="10" t="s">
        <v>799</v>
      </c>
      <c r="D26" s="10" t="s">
        <v>35</v>
      </c>
      <c r="E26" s="10" t="s">
        <v>35</v>
      </c>
      <c r="F26" s="10" t="s">
        <v>788</v>
      </c>
      <c r="G26" s="10" t="str">
        <f t="shared" si="0"/>
        <v>OJT to Aircraft Cabin Controller-GMF Quality System</v>
      </c>
    </row>
    <row r="27" spans="1:7" hidden="1" x14ac:dyDescent="0.25">
      <c r="A27" s="10">
        <v>26</v>
      </c>
      <c r="B27" s="10" t="s">
        <v>804</v>
      </c>
      <c r="C27" s="10" t="s">
        <v>800</v>
      </c>
      <c r="D27" s="10" t="s">
        <v>33</v>
      </c>
      <c r="E27" s="10" t="s">
        <v>33</v>
      </c>
      <c r="F27" s="10" t="s">
        <v>801</v>
      </c>
      <c r="G27" s="10" t="str">
        <f t="shared" si="0"/>
        <v>OJT to Aircraft Cabin Controller-Human Factor</v>
      </c>
    </row>
    <row r="28" spans="1:7" hidden="1" x14ac:dyDescent="0.25">
      <c r="A28" s="10">
        <v>27</v>
      </c>
      <c r="B28" s="10" t="s">
        <v>804</v>
      </c>
      <c r="C28" s="10" t="s">
        <v>802</v>
      </c>
      <c r="D28" s="10" t="s">
        <v>201</v>
      </c>
      <c r="E28" s="10" t="s">
        <v>201</v>
      </c>
      <c r="F28" s="10" t="s">
        <v>788</v>
      </c>
      <c r="G28" s="10" t="str">
        <f t="shared" si="0"/>
        <v>OJT to Aircraft Cabin Controller-Orientation Training</v>
      </c>
    </row>
    <row r="29" spans="1:7" hidden="1" x14ac:dyDescent="0.25">
      <c r="A29" s="10">
        <v>28</v>
      </c>
      <c r="B29" s="10" t="s">
        <v>804</v>
      </c>
      <c r="C29" s="10" t="s">
        <v>803</v>
      </c>
      <c r="D29" s="10" t="s">
        <v>34</v>
      </c>
      <c r="E29" s="10" t="s">
        <v>34</v>
      </c>
      <c r="F29" s="10" t="s">
        <v>801</v>
      </c>
      <c r="G29" s="10" t="str">
        <f t="shared" si="0"/>
        <v>OJT to Aircraft Cabin Controller-Safety Management System</v>
      </c>
    </row>
    <row r="30" spans="1:7" hidden="1" x14ac:dyDescent="0.25">
      <c r="A30" s="10">
        <v>29</v>
      </c>
      <c r="B30" s="10" t="s">
        <v>805</v>
      </c>
      <c r="C30" s="10" t="s">
        <v>790</v>
      </c>
      <c r="D30" s="10" t="s">
        <v>174</v>
      </c>
      <c r="E30" s="10" t="s">
        <v>174</v>
      </c>
      <c r="F30" s="10" t="s">
        <v>788</v>
      </c>
      <c r="G30" s="10" t="str">
        <f t="shared" si="0"/>
        <v>Aircraft Cabin Engineer-Basic Inspection</v>
      </c>
    </row>
    <row r="31" spans="1:7" hidden="1" x14ac:dyDescent="0.25">
      <c r="A31" s="10">
        <v>30</v>
      </c>
      <c r="B31" s="10" t="s">
        <v>805</v>
      </c>
      <c r="C31" s="10" t="s">
        <v>806</v>
      </c>
      <c r="D31" s="10" t="s">
        <v>175</v>
      </c>
      <c r="E31" s="10" t="s">
        <v>175</v>
      </c>
      <c r="F31" s="10" t="s">
        <v>788</v>
      </c>
      <c r="G31" s="10" t="str">
        <f t="shared" si="0"/>
        <v>Aircraft Cabin Engineer-Basic Supervisory Training</v>
      </c>
    </row>
    <row r="32" spans="1:7" hidden="1" x14ac:dyDescent="0.25">
      <c r="A32" s="10">
        <v>31</v>
      </c>
      <c r="B32" s="10" t="s">
        <v>805</v>
      </c>
      <c r="C32" s="10" t="s">
        <v>791</v>
      </c>
      <c r="D32" s="10" t="s">
        <v>36</v>
      </c>
      <c r="E32" s="10" t="s">
        <v>36</v>
      </c>
      <c r="F32" s="10" t="s">
        <v>801</v>
      </c>
      <c r="G32" s="10" t="str">
        <f t="shared" si="0"/>
        <v>Aircraft Cabin Engineer-CASR Part 145</v>
      </c>
    </row>
    <row r="33" spans="1:7" hidden="1" x14ac:dyDescent="0.25">
      <c r="A33" s="10">
        <v>32</v>
      </c>
      <c r="B33" s="10" t="s">
        <v>805</v>
      </c>
      <c r="C33" s="10" t="s">
        <v>792</v>
      </c>
      <c r="D33" s="10" t="s">
        <v>42</v>
      </c>
      <c r="E33" s="10" t="s">
        <v>42</v>
      </c>
      <c r="F33" s="10" t="s">
        <v>788</v>
      </c>
      <c r="G33" s="10" t="str">
        <f t="shared" si="0"/>
        <v>Aircraft Cabin Engineer-Dangerous Good</v>
      </c>
    </row>
    <row r="34" spans="1:7" hidden="1" x14ac:dyDescent="0.25">
      <c r="A34" s="10">
        <v>33</v>
      </c>
      <c r="B34" s="10" t="s">
        <v>805</v>
      </c>
      <c r="C34" s="10" t="s">
        <v>793</v>
      </c>
      <c r="D34" s="10" t="s">
        <v>38</v>
      </c>
      <c r="E34" s="10" t="s">
        <v>38</v>
      </c>
      <c r="F34" s="10" t="s">
        <v>801</v>
      </c>
      <c r="G34" s="10" t="str">
        <f t="shared" si="0"/>
        <v>Aircraft Cabin Engineer-EASA Part 145</v>
      </c>
    </row>
    <row r="35" spans="1:7" hidden="1" x14ac:dyDescent="0.25">
      <c r="A35" s="10">
        <v>34</v>
      </c>
      <c r="B35" s="10" t="s">
        <v>805</v>
      </c>
      <c r="C35" s="10" t="s">
        <v>794</v>
      </c>
      <c r="D35" s="10" t="s">
        <v>39</v>
      </c>
      <c r="E35" s="10" t="s">
        <v>795</v>
      </c>
      <c r="F35" s="10" t="s">
        <v>801</v>
      </c>
      <c r="G35" s="10" t="str">
        <f t="shared" si="0"/>
        <v>Aircraft Cabin Engineer-EASA Part M</v>
      </c>
    </row>
    <row r="36" spans="1:7" hidden="1" x14ac:dyDescent="0.25">
      <c r="A36" s="10">
        <v>35</v>
      </c>
      <c r="B36" s="10" t="s">
        <v>805</v>
      </c>
      <c r="C36" s="10" t="s">
        <v>796</v>
      </c>
      <c r="D36" s="10" t="s">
        <v>41</v>
      </c>
      <c r="E36" s="10" t="s">
        <v>41</v>
      </c>
      <c r="F36" s="10" t="s">
        <v>801</v>
      </c>
      <c r="G36" s="10" t="str">
        <f t="shared" si="0"/>
        <v>Aircraft Cabin Engineer-EWIS</v>
      </c>
    </row>
    <row r="37" spans="1:7" hidden="1" x14ac:dyDescent="0.25">
      <c r="A37" s="10">
        <v>36</v>
      </c>
      <c r="B37" s="10" t="s">
        <v>805</v>
      </c>
      <c r="C37" s="10" t="s">
        <v>797</v>
      </c>
      <c r="D37" s="10" t="s">
        <v>37</v>
      </c>
      <c r="E37" s="10" t="s">
        <v>37</v>
      </c>
      <c r="F37" s="10" t="s">
        <v>801</v>
      </c>
      <c r="G37" s="10" t="str">
        <f t="shared" si="0"/>
        <v>Aircraft Cabin Engineer-FAR Part 145</v>
      </c>
    </row>
    <row r="38" spans="1:7" hidden="1" x14ac:dyDescent="0.25">
      <c r="A38" s="10">
        <v>37</v>
      </c>
      <c r="B38" s="10" t="s">
        <v>805</v>
      </c>
      <c r="C38" s="10" t="s">
        <v>798</v>
      </c>
      <c r="D38" s="10" t="s">
        <v>40</v>
      </c>
      <c r="E38" s="10" t="s">
        <v>40</v>
      </c>
      <c r="F38" s="10" t="s">
        <v>801</v>
      </c>
      <c r="G38" s="10" t="str">
        <f t="shared" si="0"/>
        <v>Aircraft Cabin Engineer-Fuel Tank Safety</v>
      </c>
    </row>
    <row r="39" spans="1:7" hidden="1" x14ac:dyDescent="0.25">
      <c r="A39" s="10">
        <v>38</v>
      </c>
      <c r="B39" s="10" t="s">
        <v>805</v>
      </c>
      <c r="C39" s="10" t="s">
        <v>807</v>
      </c>
      <c r="D39" s="10" t="s">
        <v>177</v>
      </c>
      <c r="E39" s="10" t="s">
        <v>177</v>
      </c>
      <c r="F39" s="10" t="s">
        <v>788</v>
      </c>
      <c r="G39" s="10" t="str">
        <f t="shared" si="0"/>
        <v>Aircraft Cabin Engineer-Fundamental Troubleshooting</v>
      </c>
    </row>
    <row r="40" spans="1:7" hidden="1" x14ac:dyDescent="0.25">
      <c r="A40" s="10">
        <v>39</v>
      </c>
      <c r="B40" s="10" t="s">
        <v>805</v>
      </c>
      <c r="C40" s="10" t="s">
        <v>799</v>
      </c>
      <c r="D40" s="10" t="s">
        <v>35</v>
      </c>
      <c r="E40" s="10" t="s">
        <v>35</v>
      </c>
      <c r="F40" s="10" t="s">
        <v>801</v>
      </c>
      <c r="G40" s="10" t="str">
        <f t="shared" si="0"/>
        <v>Aircraft Cabin Engineer-GMF Quality System</v>
      </c>
    </row>
    <row r="41" spans="1:7" hidden="1" x14ac:dyDescent="0.25">
      <c r="A41" s="10">
        <v>40</v>
      </c>
      <c r="B41" s="10" t="s">
        <v>805</v>
      </c>
      <c r="C41" s="10" t="s">
        <v>800</v>
      </c>
      <c r="D41" s="10" t="s">
        <v>33</v>
      </c>
      <c r="E41" s="10" t="s">
        <v>33</v>
      </c>
      <c r="F41" s="10" t="s">
        <v>801</v>
      </c>
      <c r="G41" s="10" t="str">
        <f t="shared" si="0"/>
        <v>Aircraft Cabin Engineer-Human Factor</v>
      </c>
    </row>
    <row r="42" spans="1:7" hidden="1" x14ac:dyDescent="0.25">
      <c r="A42" s="10">
        <v>41</v>
      </c>
      <c r="B42" s="10" t="s">
        <v>805</v>
      </c>
      <c r="C42" s="10" t="s">
        <v>802</v>
      </c>
      <c r="D42" s="10" t="s">
        <v>201</v>
      </c>
      <c r="E42" s="10" t="s">
        <v>201</v>
      </c>
      <c r="F42" s="10" t="s">
        <v>788</v>
      </c>
      <c r="G42" s="10" t="str">
        <f t="shared" si="0"/>
        <v>Aircraft Cabin Engineer-Orientation Training</v>
      </c>
    </row>
    <row r="43" spans="1:7" hidden="1" x14ac:dyDescent="0.25">
      <c r="A43" s="10">
        <v>42</v>
      </c>
      <c r="B43" s="10" t="s">
        <v>805</v>
      </c>
      <c r="C43" s="10" t="s">
        <v>803</v>
      </c>
      <c r="D43" s="10" t="s">
        <v>34</v>
      </c>
      <c r="E43" s="10" t="s">
        <v>34</v>
      </c>
      <c r="F43" s="10" t="s">
        <v>801</v>
      </c>
      <c r="G43" s="10" t="str">
        <f t="shared" si="0"/>
        <v>Aircraft Cabin Engineer-Safety Management System</v>
      </c>
    </row>
    <row r="44" spans="1:7" hidden="1" x14ac:dyDescent="0.25">
      <c r="A44" s="10">
        <v>43</v>
      </c>
      <c r="B44" s="10" t="s">
        <v>805</v>
      </c>
      <c r="C44" s="10" t="s">
        <v>808</v>
      </c>
      <c r="D44" s="10" t="s">
        <v>199</v>
      </c>
      <c r="E44" s="10" t="s">
        <v>199</v>
      </c>
      <c r="F44" s="10" t="s">
        <v>788</v>
      </c>
      <c r="G44" s="10" t="str">
        <f t="shared" si="0"/>
        <v>Aircraft Cabin Engineer-SWIFT Training</v>
      </c>
    </row>
    <row r="45" spans="1:7" hidden="1" x14ac:dyDescent="0.25">
      <c r="A45" s="10">
        <v>44</v>
      </c>
      <c r="B45" s="10" t="s">
        <v>809</v>
      </c>
      <c r="C45" s="10" t="s">
        <v>790</v>
      </c>
      <c r="D45" s="10" t="s">
        <v>174</v>
      </c>
      <c r="E45" s="10" t="s">
        <v>174</v>
      </c>
      <c r="F45" s="10" t="s">
        <v>788</v>
      </c>
      <c r="G45" s="10" t="str">
        <f t="shared" si="0"/>
        <v>OJT to Aircraft Cabin Engineer-Basic Inspection</v>
      </c>
    </row>
    <row r="46" spans="1:7" hidden="1" x14ac:dyDescent="0.25">
      <c r="A46" s="10">
        <v>45</v>
      </c>
      <c r="B46" s="10" t="s">
        <v>809</v>
      </c>
      <c r="C46" s="10" t="s">
        <v>806</v>
      </c>
      <c r="D46" s="10" t="s">
        <v>175</v>
      </c>
      <c r="E46" s="10" t="s">
        <v>175</v>
      </c>
      <c r="F46" s="10" t="s">
        <v>788</v>
      </c>
      <c r="G46" s="10" t="str">
        <f t="shared" si="0"/>
        <v>OJT to Aircraft Cabin Engineer-Basic Supervisory Training</v>
      </c>
    </row>
    <row r="47" spans="1:7" hidden="1" x14ac:dyDescent="0.25">
      <c r="A47" s="10">
        <v>46</v>
      </c>
      <c r="B47" s="10" t="s">
        <v>809</v>
      </c>
      <c r="C47" s="10" t="s">
        <v>791</v>
      </c>
      <c r="D47" s="10" t="s">
        <v>36</v>
      </c>
      <c r="E47" s="10" t="s">
        <v>36</v>
      </c>
      <c r="F47" s="10" t="s">
        <v>801</v>
      </c>
      <c r="G47" s="10" t="str">
        <f t="shared" si="0"/>
        <v>OJT to Aircraft Cabin Engineer-CASR Part 145</v>
      </c>
    </row>
    <row r="48" spans="1:7" hidden="1" x14ac:dyDescent="0.25">
      <c r="A48" s="10">
        <v>47</v>
      </c>
      <c r="B48" s="10" t="s">
        <v>809</v>
      </c>
      <c r="C48" s="10" t="s">
        <v>792</v>
      </c>
      <c r="D48" s="10" t="s">
        <v>42</v>
      </c>
      <c r="E48" s="10" t="s">
        <v>42</v>
      </c>
      <c r="F48" s="10" t="s">
        <v>788</v>
      </c>
      <c r="G48" s="10" t="str">
        <f t="shared" si="0"/>
        <v>OJT to Aircraft Cabin Engineer-Dangerous Good</v>
      </c>
    </row>
    <row r="49" spans="1:7" hidden="1" x14ac:dyDescent="0.25">
      <c r="A49" s="10">
        <v>48</v>
      </c>
      <c r="B49" s="10" t="s">
        <v>809</v>
      </c>
      <c r="C49" s="10" t="s">
        <v>793</v>
      </c>
      <c r="D49" s="10" t="s">
        <v>38</v>
      </c>
      <c r="E49" s="10" t="s">
        <v>38</v>
      </c>
      <c r="F49" s="10" t="s">
        <v>801</v>
      </c>
      <c r="G49" s="10" t="str">
        <f t="shared" si="0"/>
        <v>OJT to Aircraft Cabin Engineer-EASA Part 145</v>
      </c>
    </row>
    <row r="50" spans="1:7" hidden="1" x14ac:dyDescent="0.25">
      <c r="A50" s="10">
        <v>49</v>
      </c>
      <c r="B50" s="10" t="s">
        <v>809</v>
      </c>
      <c r="C50" s="10" t="s">
        <v>794</v>
      </c>
      <c r="D50" s="10" t="s">
        <v>39</v>
      </c>
      <c r="E50" s="10" t="s">
        <v>795</v>
      </c>
      <c r="F50" s="10" t="s">
        <v>801</v>
      </c>
      <c r="G50" s="10" t="str">
        <f t="shared" si="0"/>
        <v>OJT to Aircraft Cabin Engineer-EASA Part M</v>
      </c>
    </row>
    <row r="51" spans="1:7" hidden="1" x14ac:dyDescent="0.25">
      <c r="A51" s="10">
        <v>50</v>
      </c>
      <c r="B51" s="10" t="s">
        <v>809</v>
      </c>
      <c r="C51" s="10" t="s">
        <v>796</v>
      </c>
      <c r="D51" s="10" t="s">
        <v>41</v>
      </c>
      <c r="E51" s="10" t="s">
        <v>41</v>
      </c>
      <c r="F51" s="10" t="s">
        <v>801</v>
      </c>
      <c r="G51" s="10" t="str">
        <f t="shared" si="0"/>
        <v>OJT to Aircraft Cabin Engineer-EWIS</v>
      </c>
    </row>
    <row r="52" spans="1:7" hidden="1" x14ac:dyDescent="0.25">
      <c r="A52" s="10">
        <v>51</v>
      </c>
      <c r="B52" s="10" t="s">
        <v>809</v>
      </c>
      <c r="C52" s="10" t="s">
        <v>797</v>
      </c>
      <c r="D52" s="10" t="s">
        <v>37</v>
      </c>
      <c r="E52" s="10" t="s">
        <v>37</v>
      </c>
      <c r="F52" s="10" t="s">
        <v>801</v>
      </c>
      <c r="G52" s="10" t="str">
        <f t="shared" si="0"/>
        <v>OJT to Aircraft Cabin Engineer-FAR Part 145</v>
      </c>
    </row>
    <row r="53" spans="1:7" hidden="1" x14ac:dyDescent="0.25">
      <c r="A53" s="10">
        <v>52</v>
      </c>
      <c r="B53" s="10" t="s">
        <v>809</v>
      </c>
      <c r="C53" s="10" t="s">
        <v>798</v>
      </c>
      <c r="D53" s="10" t="s">
        <v>40</v>
      </c>
      <c r="E53" s="10" t="s">
        <v>40</v>
      </c>
      <c r="F53" s="10" t="s">
        <v>801</v>
      </c>
      <c r="G53" s="10" t="str">
        <f t="shared" si="0"/>
        <v>OJT to Aircraft Cabin Engineer-Fuel Tank Safety</v>
      </c>
    </row>
    <row r="54" spans="1:7" hidden="1" x14ac:dyDescent="0.25">
      <c r="A54" s="10">
        <v>53</v>
      </c>
      <c r="B54" s="10" t="s">
        <v>809</v>
      </c>
      <c r="C54" s="10" t="s">
        <v>807</v>
      </c>
      <c r="D54" s="10" t="s">
        <v>177</v>
      </c>
      <c r="E54" s="10" t="s">
        <v>177</v>
      </c>
      <c r="F54" s="10" t="s">
        <v>788</v>
      </c>
      <c r="G54" s="10" t="str">
        <f t="shared" si="0"/>
        <v>OJT to Aircraft Cabin Engineer-Fundamental Troubleshooting</v>
      </c>
    </row>
    <row r="55" spans="1:7" hidden="1" x14ac:dyDescent="0.25">
      <c r="A55" s="10">
        <v>54</v>
      </c>
      <c r="B55" s="10" t="s">
        <v>809</v>
      </c>
      <c r="C55" s="10" t="s">
        <v>799</v>
      </c>
      <c r="D55" s="10" t="s">
        <v>35</v>
      </c>
      <c r="E55" s="10" t="s">
        <v>35</v>
      </c>
      <c r="F55" s="10" t="s">
        <v>801</v>
      </c>
      <c r="G55" s="10" t="str">
        <f t="shared" si="0"/>
        <v>OJT to Aircraft Cabin Engineer-GMF Quality System</v>
      </c>
    </row>
    <row r="56" spans="1:7" hidden="1" x14ac:dyDescent="0.25">
      <c r="A56" s="10">
        <v>55</v>
      </c>
      <c r="B56" s="10" t="s">
        <v>809</v>
      </c>
      <c r="C56" s="10" t="s">
        <v>800</v>
      </c>
      <c r="D56" s="10" t="s">
        <v>33</v>
      </c>
      <c r="E56" s="10" t="s">
        <v>33</v>
      </c>
      <c r="F56" s="10" t="s">
        <v>801</v>
      </c>
      <c r="G56" s="10" t="str">
        <f t="shared" si="0"/>
        <v>OJT to Aircraft Cabin Engineer-Human Factor</v>
      </c>
    </row>
    <row r="57" spans="1:7" hidden="1" x14ac:dyDescent="0.25">
      <c r="A57" s="10">
        <v>56</v>
      </c>
      <c r="B57" s="10" t="s">
        <v>809</v>
      </c>
      <c r="C57" s="10" t="s">
        <v>802</v>
      </c>
      <c r="D57" s="10" t="s">
        <v>201</v>
      </c>
      <c r="E57" s="10" t="s">
        <v>201</v>
      </c>
      <c r="F57" s="10" t="s">
        <v>788</v>
      </c>
      <c r="G57" s="10" t="str">
        <f t="shared" si="0"/>
        <v>OJT to Aircraft Cabin Engineer-Orientation Training</v>
      </c>
    </row>
    <row r="58" spans="1:7" hidden="1" x14ac:dyDescent="0.25">
      <c r="A58" s="10">
        <v>57</v>
      </c>
      <c r="B58" s="10" t="s">
        <v>809</v>
      </c>
      <c r="C58" s="10" t="s">
        <v>803</v>
      </c>
      <c r="D58" s="10" t="s">
        <v>34</v>
      </c>
      <c r="E58" s="10" t="s">
        <v>34</v>
      </c>
      <c r="F58" s="10" t="s">
        <v>801</v>
      </c>
      <c r="G58" s="10" t="str">
        <f t="shared" si="0"/>
        <v>OJT to Aircraft Cabin Engineer-Safety Management System</v>
      </c>
    </row>
    <row r="59" spans="1:7" hidden="1" x14ac:dyDescent="0.25">
      <c r="A59" s="10">
        <v>58</v>
      </c>
      <c r="B59" s="10" t="s">
        <v>809</v>
      </c>
      <c r="C59" s="10" t="s">
        <v>808</v>
      </c>
      <c r="D59" s="10" t="s">
        <v>199</v>
      </c>
      <c r="E59" s="10" t="s">
        <v>199</v>
      </c>
      <c r="F59" s="10" t="s">
        <v>788</v>
      </c>
      <c r="G59" s="10" t="str">
        <f t="shared" si="0"/>
        <v>OJT to Aircraft Cabin Engineer-SWIFT Training</v>
      </c>
    </row>
    <row r="60" spans="1:7" hidden="1" x14ac:dyDescent="0.25">
      <c r="A60" s="10">
        <v>59</v>
      </c>
      <c r="B60" s="10" t="s">
        <v>810</v>
      </c>
      <c r="C60" s="10" t="s">
        <v>811</v>
      </c>
      <c r="D60" s="10" t="s">
        <v>173</v>
      </c>
      <c r="E60" s="10" t="s">
        <v>812</v>
      </c>
      <c r="F60" s="10" t="s">
        <v>788</v>
      </c>
      <c r="G60" s="10" t="str">
        <f t="shared" si="0"/>
        <v>Aircraft Cabin Technician-ADTH</v>
      </c>
    </row>
    <row r="61" spans="1:7" hidden="1" x14ac:dyDescent="0.25">
      <c r="A61" s="10">
        <v>60</v>
      </c>
      <c r="B61" s="10" t="s">
        <v>810</v>
      </c>
      <c r="C61" s="10" t="s">
        <v>791</v>
      </c>
      <c r="D61" s="10" t="s">
        <v>36</v>
      </c>
      <c r="E61" s="10" t="s">
        <v>36</v>
      </c>
      <c r="F61" s="10" t="s">
        <v>801</v>
      </c>
      <c r="G61" s="10" t="str">
        <f t="shared" si="0"/>
        <v>Aircraft Cabin Technician-CASR Part 145</v>
      </c>
    </row>
    <row r="62" spans="1:7" hidden="1" x14ac:dyDescent="0.25">
      <c r="A62" s="10">
        <v>61</v>
      </c>
      <c r="B62" s="10" t="s">
        <v>810</v>
      </c>
      <c r="C62" s="10" t="s">
        <v>792</v>
      </c>
      <c r="D62" s="10" t="s">
        <v>42</v>
      </c>
      <c r="E62" s="10" t="s">
        <v>42</v>
      </c>
      <c r="F62" s="10" t="s">
        <v>788</v>
      </c>
      <c r="G62" s="10" t="str">
        <f t="shared" si="0"/>
        <v>Aircraft Cabin Technician-Dangerous Good</v>
      </c>
    </row>
    <row r="63" spans="1:7" hidden="1" x14ac:dyDescent="0.25">
      <c r="A63" s="10">
        <v>62</v>
      </c>
      <c r="B63" s="10" t="s">
        <v>810</v>
      </c>
      <c r="C63" s="10" t="s">
        <v>793</v>
      </c>
      <c r="D63" s="10" t="s">
        <v>38</v>
      </c>
      <c r="E63" s="10" t="s">
        <v>38</v>
      </c>
      <c r="F63" s="10" t="s">
        <v>801</v>
      </c>
      <c r="G63" s="10" t="str">
        <f t="shared" si="0"/>
        <v>Aircraft Cabin Technician-EASA Part 145</v>
      </c>
    </row>
    <row r="64" spans="1:7" hidden="1" x14ac:dyDescent="0.25">
      <c r="A64" s="10">
        <v>63</v>
      </c>
      <c r="B64" s="10" t="s">
        <v>810</v>
      </c>
      <c r="C64" s="10" t="s">
        <v>794</v>
      </c>
      <c r="D64" s="10" t="s">
        <v>39</v>
      </c>
      <c r="E64" s="10" t="s">
        <v>795</v>
      </c>
      <c r="F64" s="10" t="s">
        <v>801</v>
      </c>
      <c r="G64" s="10" t="str">
        <f t="shared" si="0"/>
        <v>Aircraft Cabin Technician-EASA Part M</v>
      </c>
    </row>
    <row r="65" spans="1:8" hidden="1" x14ac:dyDescent="0.25">
      <c r="A65" s="10">
        <v>64</v>
      </c>
      <c r="B65" s="10" t="s">
        <v>810</v>
      </c>
      <c r="C65" s="10" t="s">
        <v>796</v>
      </c>
      <c r="D65" s="10" t="s">
        <v>41</v>
      </c>
      <c r="E65" s="10" t="s">
        <v>41</v>
      </c>
      <c r="F65" s="10" t="s">
        <v>801</v>
      </c>
      <c r="G65" s="10" t="str">
        <f t="shared" si="0"/>
        <v>Aircraft Cabin Technician-EWIS</v>
      </c>
    </row>
    <row r="66" spans="1:8" hidden="1" x14ac:dyDescent="0.25">
      <c r="A66" s="10">
        <v>65</v>
      </c>
      <c r="B66" s="10" t="s">
        <v>810</v>
      </c>
      <c r="C66" s="10" t="s">
        <v>797</v>
      </c>
      <c r="D66" s="10" t="s">
        <v>37</v>
      </c>
      <c r="E66" s="10" t="s">
        <v>37</v>
      </c>
      <c r="F66" s="10" t="s">
        <v>801</v>
      </c>
      <c r="G66" s="10" t="str">
        <f t="shared" si="0"/>
        <v>Aircraft Cabin Technician-FAR Part 145</v>
      </c>
    </row>
    <row r="67" spans="1:8" hidden="1" x14ac:dyDescent="0.25">
      <c r="A67" s="10">
        <v>66</v>
      </c>
      <c r="B67" s="10" t="s">
        <v>810</v>
      </c>
      <c r="C67" s="10" t="s">
        <v>798</v>
      </c>
      <c r="D67" s="10" t="s">
        <v>40</v>
      </c>
      <c r="E67" s="10" t="s">
        <v>40</v>
      </c>
      <c r="F67" s="10" t="s">
        <v>801</v>
      </c>
      <c r="G67" s="10" t="str">
        <f t="shared" si="0"/>
        <v>Aircraft Cabin Technician-Fuel Tank Safety</v>
      </c>
    </row>
    <row r="68" spans="1:8" hidden="1" x14ac:dyDescent="0.25">
      <c r="A68" s="10">
        <v>67</v>
      </c>
      <c r="B68" s="10" t="s">
        <v>810</v>
      </c>
      <c r="C68" s="10" t="s">
        <v>799</v>
      </c>
      <c r="D68" s="10" t="s">
        <v>35</v>
      </c>
      <c r="E68" s="10" t="s">
        <v>35</v>
      </c>
      <c r="F68" s="10" t="s">
        <v>801</v>
      </c>
      <c r="G68" s="10" t="str">
        <f t="shared" si="0"/>
        <v>Aircraft Cabin Technician-GMF Quality System</v>
      </c>
    </row>
    <row r="69" spans="1:8" hidden="1" x14ac:dyDescent="0.25">
      <c r="A69" s="10">
        <v>68</v>
      </c>
      <c r="B69" s="10" t="s">
        <v>810</v>
      </c>
      <c r="C69" s="10" t="s">
        <v>800</v>
      </c>
      <c r="D69" s="10" t="s">
        <v>33</v>
      </c>
      <c r="E69" s="10" t="s">
        <v>33</v>
      </c>
      <c r="F69" s="10" t="s">
        <v>801</v>
      </c>
      <c r="G69" s="10" t="str">
        <f t="shared" si="0"/>
        <v>Aircraft Cabin Technician-Human Factor</v>
      </c>
    </row>
    <row r="70" spans="1:8" hidden="1" x14ac:dyDescent="0.25">
      <c r="A70" s="10">
        <v>69</v>
      </c>
      <c r="B70" s="10" t="s">
        <v>810</v>
      </c>
      <c r="C70" s="10" t="s">
        <v>802</v>
      </c>
      <c r="D70" s="10" t="s">
        <v>201</v>
      </c>
      <c r="E70" s="10" t="s">
        <v>201</v>
      </c>
      <c r="F70" s="10" t="s">
        <v>788</v>
      </c>
      <c r="G70" s="10" t="str">
        <f t="shared" si="0"/>
        <v>Aircraft Cabin Technician-Orientation Training</v>
      </c>
    </row>
    <row r="71" spans="1:8" hidden="1" x14ac:dyDescent="0.25">
      <c r="A71" s="10">
        <v>70</v>
      </c>
      <c r="B71" s="10" t="s">
        <v>810</v>
      </c>
      <c r="C71" s="10" t="s">
        <v>803</v>
      </c>
      <c r="D71" s="10" t="s">
        <v>34</v>
      </c>
      <c r="E71" s="10" t="s">
        <v>34</v>
      </c>
      <c r="F71" s="10" t="s">
        <v>801</v>
      </c>
      <c r="G71" s="10" t="str">
        <f t="shared" si="0"/>
        <v>Aircraft Cabin Technician-Safety Management System</v>
      </c>
    </row>
    <row r="72" spans="1:8" hidden="1" x14ac:dyDescent="0.25">
      <c r="A72" s="10">
        <v>71</v>
      </c>
      <c r="B72" s="10" t="s">
        <v>23</v>
      </c>
      <c r="C72" s="10" t="s">
        <v>800</v>
      </c>
      <c r="D72" s="10" t="s">
        <v>33</v>
      </c>
      <c r="E72" s="10" t="s">
        <v>33</v>
      </c>
      <c r="F72" s="10" t="s">
        <v>801</v>
      </c>
      <c r="G72" s="10" t="str">
        <f t="shared" si="0"/>
        <v>Aircraft Cabin Technician (PKWT NP)-Human Factor</v>
      </c>
    </row>
    <row r="73" spans="1:8" hidden="1" x14ac:dyDescent="0.25">
      <c r="A73" s="10">
        <v>72</v>
      </c>
      <c r="B73" s="10" t="s">
        <v>23</v>
      </c>
      <c r="C73" s="10" t="s">
        <v>803</v>
      </c>
      <c r="D73" s="10" t="s">
        <v>34</v>
      </c>
      <c r="E73" s="10" t="s">
        <v>34</v>
      </c>
      <c r="F73" s="10" t="s">
        <v>801</v>
      </c>
      <c r="G73" s="10" t="str">
        <f t="shared" si="0"/>
        <v>Aircraft Cabin Technician (PKWT NP)-Safety Management System</v>
      </c>
    </row>
    <row r="74" spans="1:8" hidden="1" x14ac:dyDescent="0.25">
      <c r="A74" s="10">
        <v>73</v>
      </c>
      <c r="B74" s="10" t="s">
        <v>23</v>
      </c>
      <c r="C74" s="10" t="s">
        <v>799</v>
      </c>
      <c r="D74" s="10" t="s">
        <v>35</v>
      </c>
      <c r="E74" s="10" t="s">
        <v>35</v>
      </c>
      <c r="F74" s="10" t="s">
        <v>788</v>
      </c>
      <c r="G74" s="10" t="str">
        <f t="shared" si="0"/>
        <v>Aircraft Cabin Technician (PKWT NP)-GMF Quality System</v>
      </c>
    </row>
    <row r="75" spans="1:8" hidden="1" x14ac:dyDescent="0.25">
      <c r="B75" s="10" t="s">
        <v>23</v>
      </c>
      <c r="D75" s="10" t="s">
        <v>36</v>
      </c>
      <c r="F75" s="10" t="s">
        <v>788</v>
      </c>
      <c r="G75" s="10" t="str">
        <f t="shared" ref="G75:G81" si="1">B75 &amp; "-" &amp; D75</f>
        <v>Aircraft Cabin Technician (PKWT NP)-CASR Part 145</v>
      </c>
      <c r="H75" s="10" t="s">
        <v>813</v>
      </c>
    </row>
    <row r="76" spans="1:8" hidden="1" x14ac:dyDescent="0.25">
      <c r="B76" s="10" t="s">
        <v>23</v>
      </c>
      <c r="D76" s="10" t="s">
        <v>42</v>
      </c>
      <c r="F76" s="10" t="s">
        <v>788</v>
      </c>
      <c r="G76" s="10" t="str">
        <f t="shared" si="1"/>
        <v>Aircraft Cabin Technician (PKWT NP)-Dangerous Good</v>
      </c>
      <c r="H76" s="10" t="s">
        <v>813</v>
      </c>
    </row>
    <row r="77" spans="1:8" hidden="1" x14ac:dyDescent="0.25">
      <c r="B77" s="10" t="s">
        <v>23</v>
      </c>
      <c r="D77" s="10" t="s">
        <v>38</v>
      </c>
      <c r="F77" s="10" t="s">
        <v>788</v>
      </c>
      <c r="G77" s="10" t="str">
        <f t="shared" si="1"/>
        <v>Aircraft Cabin Technician (PKWT NP)-EASA Part 145</v>
      </c>
      <c r="H77" s="10" t="s">
        <v>813</v>
      </c>
    </row>
    <row r="78" spans="1:8" hidden="1" x14ac:dyDescent="0.25">
      <c r="B78" s="10" t="s">
        <v>23</v>
      </c>
      <c r="D78" s="10" t="s">
        <v>39</v>
      </c>
      <c r="F78" s="10" t="s">
        <v>788</v>
      </c>
      <c r="G78" s="10" t="str">
        <f>B78 &amp; "-" &amp; D78</f>
        <v>Aircraft Cabin Technician (PKWT NP)-EASA Part M</v>
      </c>
      <c r="H78" s="10" t="s">
        <v>813</v>
      </c>
    </row>
    <row r="79" spans="1:8" hidden="1" x14ac:dyDescent="0.25">
      <c r="B79" s="10" t="s">
        <v>23</v>
      </c>
      <c r="D79" s="10" t="s">
        <v>41</v>
      </c>
      <c r="F79" s="10" t="s">
        <v>788</v>
      </c>
      <c r="G79" s="10" t="str">
        <f t="shared" si="1"/>
        <v>Aircraft Cabin Technician (PKWT NP)-EWIS</v>
      </c>
      <c r="H79" s="10" t="s">
        <v>813</v>
      </c>
    </row>
    <row r="80" spans="1:8" hidden="1" x14ac:dyDescent="0.25">
      <c r="B80" s="10" t="s">
        <v>23</v>
      </c>
      <c r="D80" s="10" t="s">
        <v>37</v>
      </c>
      <c r="F80" s="10" t="s">
        <v>788</v>
      </c>
      <c r="G80" s="10" t="str">
        <f t="shared" si="1"/>
        <v>Aircraft Cabin Technician (PKWT NP)-FAR Part 145</v>
      </c>
      <c r="H80" s="10" t="s">
        <v>813</v>
      </c>
    </row>
    <row r="81" spans="1:8" hidden="1" x14ac:dyDescent="0.25">
      <c r="B81" s="10" t="s">
        <v>23</v>
      </c>
      <c r="D81" s="10" t="s">
        <v>40</v>
      </c>
      <c r="F81" s="10" t="s">
        <v>788</v>
      </c>
      <c r="G81" s="10" t="str">
        <f t="shared" si="1"/>
        <v>Aircraft Cabin Technician (PKWT NP)-Fuel Tank Safety</v>
      </c>
      <c r="H81" s="10" t="s">
        <v>813</v>
      </c>
    </row>
    <row r="82" spans="1:8" hidden="1" x14ac:dyDescent="0.25">
      <c r="A82" s="10">
        <v>74</v>
      </c>
      <c r="B82" s="10" t="s">
        <v>814</v>
      </c>
      <c r="C82" s="10" t="s">
        <v>790</v>
      </c>
      <c r="D82" s="10" t="s">
        <v>174</v>
      </c>
      <c r="E82" s="10" t="s">
        <v>174</v>
      </c>
      <c r="F82" s="10" t="s">
        <v>788</v>
      </c>
      <c r="G82" s="10" t="str">
        <f t="shared" si="0"/>
        <v>Aircraft Maintenance Engineer-Basic Inspection</v>
      </c>
    </row>
    <row r="83" spans="1:8" hidden="1" x14ac:dyDescent="0.25">
      <c r="A83" s="10">
        <v>75</v>
      </c>
      <c r="B83" s="10" t="s">
        <v>814</v>
      </c>
      <c r="C83" s="10" t="s">
        <v>806</v>
      </c>
      <c r="D83" s="10" t="s">
        <v>175</v>
      </c>
      <c r="E83" s="10" t="s">
        <v>815</v>
      </c>
      <c r="F83" s="10" t="s">
        <v>788</v>
      </c>
      <c r="G83" s="10" t="str">
        <f t="shared" si="0"/>
        <v>Aircraft Maintenance Engineer-Basic Supervisory Training</v>
      </c>
    </row>
    <row r="84" spans="1:8" hidden="1" x14ac:dyDescent="0.25">
      <c r="A84" s="10">
        <v>76</v>
      </c>
      <c r="B84" s="10" t="s">
        <v>814</v>
      </c>
      <c r="C84" s="10" t="s">
        <v>791</v>
      </c>
      <c r="D84" s="10" t="s">
        <v>36</v>
      </c>
      <c r="E84" s="10" t="s">
        <v>36</v>
      </c>
      <c r="F84" s="10" t="s">
        <v>801</v>
      </c>
      <c r="G84" s="10" t="str">
        <f t="shared" si="0"/>
        <v>Aircraft Maintenance Engineer-CASR Part 145</v>
      </c>
    </row>
    <row r="85" spans="1:8" hidden="1" x14ac:dyDescent="0.25">
      <c r="A85" s="10">
        <v>77</v>
      </c>
      <c r="B85" s="10" t="s">
        <v>814</v>
      </c>
      <c r="C85" s="10" t="s">
        <v>816</v>
      </c>
      <c r="D85" s="10" t="s">
        <v>176</v>
      </c>
      <c r="E85" s="10" t="s">
        <v>176</v>
      </c>
      <c r="F85" s="10" t="s">
        <v>788</v>
      </c>
      <c r="G85" s="10" t="str">
        <f t="shared" si="0"/>
        <v>Aircraft Maintenance Engineer-Certifying Staff</v>
      </c>
    </row>
    <row r="86" spans="1:8" hidden="1" x14ac:dyDescent="0.25">
      <c r="A86" s="10">
        <v>78</v>
      </c>
      <c r="B86" s="10" t="s">
        <v>814</v>
      </c>
      <c r="C86" s="10" t="s">
        <v>792</v>
      </c>
      <c r="D86" s="10" t="s">
        <v>42</v>
      </c>
      <c r="E86" s="10" t="s">
        <v>42</v>
      </c>
      <c r="F86" s="10" t="s">
        <v>788</v>
      </c>
      <c r="G86" s="10" t="str">
        <f t="shared" si="0"/>
        <v>Aircraft Maintenance Engineer-Dangerous Good</v>
      </c>
    </row>
    <row r="87" spans="1:8" hidden="1" x14ac:dyDescent="0.25">
      <c r="A87" s="10">
        <v>79</v>
      </c>
      <c r="B87" s="10" t="s">
        <v>814</v>
      </c>
      <c r="C87" s="10" t="s">
        <v>793</v>
      </c>
      <c r="D87" s="10" t="s">
        <v>38</v>
      </c>
      <c r="E87" s="10" t="s">
        <v>38</v>
      </c>
      <c r="F87" s="10" t="s">
        <v>801</v>
      </c>
      <c r="G87" s="10" t="str">
        <f t="shared" si="0"/>
        <v>Aircraft Maintenance Engineer-EASA Part 145</v>
      </c>
    </row>
    <row r="88" spans="1:8" hidden="1" x14ac:dyDescent="0.25">
      <c r="A88" s="10">
        <v>80</v>
      </c>
      <c r="B88" s="10" t="s">
        <v>814</v>
      </c>
      <c r="C88" s="10" t="s">
        <v>794</v>
      </c>
      <c r="D88" s="10" t="s">
        <v>39</v>
      </c>
      <c r="E88" s="10" t="s">
        <v>795</v>
      </c>
      <c r="F88" s="10" t="s">
        <v>801</v>
      </c>
      <c r="G88" s="10" t="str">
        <f t="shared" si="0"/>
        <v>Aircraft Maintenance Engineer-EASA Part M</v>
      </c>
    </row>
    <row r="89" spans="1:8" hidden="1" x14ac:dyDescent="0.25">
      <c r="A89" s="10">
        <v>81</v>
      </c>
      <c r="B89" s="10" t="s">
        <v>814</v>
      </c>
      <c r="C89" s="10" t="s">
        <v>796</v>
      </c>
      <c r="D89" s="10" t="s">
        <v>41</v>
      </c>
      <c r="E89" s="10" t="s">
        <v>41</v>
      </c>
      <c r="F89" s="10" t="s">
        <v>801</v>
      </c>
      <c r="G89" s="10" t="str">
        <f t="shared" si="0"/>
        <v>Aircraft Maintenance Engineer-EWIS</v>
      </c>
    </row>
    <row r="90" spans="1:8" hidden="1" x14ac:dyDescent="0.25">
      <c r="A90" s="10">
        <v>82</v>
      </c>
      <c r="B90" s="10" t="s">
        <v>814</v>
      </c>
      <c r="C90" s="10" t="s">
        <v>797</v>
      </c>
      <c r="D90" s="10" t="s">
        <v>37</v>
      </c>
      <c r="E90" s="10" t="s">
        <v>37</v>
      </c>
      <c r="F90" s="10" t="s">
        <v>801</v>
      </c>
      <c r="G90" s="10" t="str">
        <f t="shared" si="0"/>
        <v>Aircraft Maintenance Engineer-FAR Part 145</v>
      </c>
    </row>
    <row r="91" spans="1:8" hidden="1" x14ac:dyDescent="0.25">
      <c r="A91" s="10">
        <v>83</v>
      </c>
      <c r="B91" s="10" t="s">
        <v>814</v>
      </c>
      <c r="C91" s="10" t="s">
        <v>798</v>
      </c>
      <c r="D91" s="10" t="s">
        <v>40</v>
      </c>
      <c r="E91" s="10" t="s">
        <v>40</v>
      </c>
      <c r="F91" s="10" t="s">
        <v>801</v>
      </c>
      <c r="G91" s="10" t="str">
        <f t="shared" si="0"/>
        <v>Aircraft Maintenance Engineer-Fuel Tank Safety</v>
      </c>
    </row>
    <row r="92" spans="1:8" hidden="1" x14ac:dyDescent="0.25">
      <c r="A92" s="10">
        <v>84</v>
      </c>
      <c r="B92" s="10" t="s">
        <v>814</v>
      </c>
      <c r="C92" s="10" t="s">
        <v>807</v>
      </c>
      <c r="D92" s="10" t="s">
        <v>177</v>
      </c>
      <c r="E92" s="10" t="s">
        <v>177</v>
      </c>
      <c r="F92" s="10" t="s">
        <v>788</v>
      </c>
      <c r="G92" s="10" t="str">
        <f t="shared" si="0"/>
        <v>Aircraft Maintenance Engineer-Fundamental Troubleshooting</v>
      </c>
    </row>
    <row r="93" spans="1:8" hidden="1" x14ac:dyDescent="0.25">
      <c r="A93" s="10">
        <v>85</v>
      </c>
      <c r="B93" s="10" t="s">
        <v>814</v>
      </c>
      <c r="C93" s="10" t="s">
        <v>799</v>
      </c>
      <c r="D93" s="10" t="s">
        <v>35</v>
      </c>
      <c r="E93" s="10" t="s">
        <v>35</v>
      </c>
      <c r="F93" s="10" t="s">
        <v>801</v>
      </c>
      <c r="G93" s="10" t="str">
        <f t="shared" si="0"/>
        <v>Aircraft Maintenance Engineer-GMF Quality System</v>
      </c>
    </row>
    <row r="94" spans="1:8" hidden="1" x14ac:dyDescent="0.25">
      <c r="A94" s="10">
        <v>86</v>
      </c>
      <c r="B94" s="10" t="s">
        <v>814</v>
      </c>
      <c r="C94" s="10" t="s">
        <v>800</v>
      </c>
      <c r="D94" s="10" t="s">
        <v>33</v>
      </c>
      <c r="E94" s="10" t="s">
        <v>33</v>
      </c>
      <c r="F94" s="10" t="s">
        <v>801</v>
      </c>
      <c r="G94" s="10" t="str">
        <f t="shared" si="0"/>
        <v>Aircraft Maintenance Engineer-Human Factor</v>
      </c>
    </row>
    <row r="95" spans="1:8" hidden="1" x14ac:dyDescent="0.25">
      <c r="A95" s="10">
        <v>87</v>
      </c>
      <c r="B95" s="10" t="s">
        <v>814</v>
      </c>
      <c r="C95" s="10" t="s">
        <v>802</v>
      </c>
      <c r="D95" s="10" t="s">
        <v>201</v>
      </c>
      <c r="E95" s="10" t="s">
        <v>201</v>
      </c>
      <c r="F95" s="10" t="s">
        <v>788</v>
      </c>
      <c r="G95" s="10" t="str">
        <f t="shared" si="0"/>
        <v>Aircraft Maintenance Engineer-Orientation Training</v>
      </c>
    </row>
    <row r="96" spans="1:8" hidden="1" x14ac:dyDescent="0.25">
      <c r="A96" s="10">
        <v>88</v>
      </c>
      <c r="B96" s="10" t="s">
        <v>814</v>
      </c>
      <c r="C96" s="10" t="s">
        <v>803</v>
      </c>
      <c r="D96" s="10" t="s">
        <v>34</v>
      </c>
      <c r="E96" s="10" t="s">
        <v>34</v>
      </c>
      <c r="F96" s="10" t="s">
        <v>801</v>
      </c>
      <c r="G96" s="10" t="str">
        <f t="shared" si="0"/>
        <v>Aircraft Maintenance Engineer-Safety Management System</v>
      </c>
    </row>
    <row r="97" spans="1:7" hidden="1" x14ac:dyDescent="0.25">
      <c r="A97" s="10">
        <v>89</v>
      </c>
      <c r="B97" s="10" t="s">
        <v>814</v>
      </c>
      <c r="C97" s="10" t="s">
        <v>808</v>
      </c>
      <c r="D97" s="10" t="s">
        <v>199</v>
      </c>
      <c r="E97" s="10" t="s">
        <v>199</v>
      </c>
      <c r="F97" s="10" t="s">
        <v>788</v>
      </c>
      <c r="G97" s="10" t="str">
        <f t="shared" si="0"/>
        <v>Aircraft Maintenance Engineer-SWIFT Training</v>
      </c>
    </row>
    <row r="98" spans="1:7" hidden="1" x14ac:dyDescent="0.25">
      <c r="A98" s="10">
        <v>90</v>
      </c>
      <c r="B98" s="10" t="s">
        <v>814</v>
      </c>
      <c r="C98" s="10" t="s">
        <v>817</v>
      </c>
      <c r="D98" s="10" t="s">
        <v>60</v>
      </c>
      <c r="E98" s="10" t="s">
        <v>60</v>
      </c>
      <c r="F98" s="10" t="s">
        <v>788</v>
      </c>
      <c r="G98" s="10" t="str">
        <f t="shared" si="0"/>
        <v>Aircraft Maintenance Engineer-Type Rating Level III Training</v>
      </c>
    </row>
    <row r="99" spans="1:7" hidden="1" x14ac:dyDescent="0.25">
      <c r="A99" s="10">
        <v>91</v>
      </c>
      <c r="B99" s="10" t="s">
        <v>818</v>
      </c>
      <c r="C99" s="10" t="s">
        <v>789</v>
      </c>
      <c r="D99" s="10" t="s">
        <v>181</v>
      </c>
      <c r="E99" s="10" t="s">
        <v>181</v>
      </c>
      <c r="F99" s="10" t="s">
        <v>788</v>
      </c>
      <c r="G99" s="10" t="str">
        <f t="shared" si="0"/>
        <v>Aircraft Maintenance Planner-Aircraft Familiarization</v>
      </c>
    </row>
    <row r="100" spans="1:7" hidden="1" x14ac:dyDescent="0.25">
      <c r="A100" s="10">
        <v>92</v>
      </c>
      <c r="B100" s="10" t="s">
        <v>818</v>
      </c>
      <c r="C100" s="10" t="s">
        <v>819</v>
      </c>
      <c r="D100" s="10" t="s">
        <v>179</v>
      </c>
      <c r="E100" s="10" t="s">
        <v>179</v>
      </c>
      <c r="F100" s="10" t="s">
        <v>788</v>
      </c>
      <c r="G100" s="10" t="str">
        <f t="shared" ref="G100:G190" si="2">B100 &amp; "-" &amp; D100</f>
        <v>Aircraft Maintenance Planner-Basic Planning</v>
      </c>
    </row>
    <row r="101" spans="1:7" hidden="1" x14ac:dyDescent="0.25">
      <c r="A101" s="10">
        <v>93</v>
      </c>
      <c r="B101" s="10" t="s">
        <v>818</v>
      </c>
      <c r="C101" s="10" t="s">
        <v>791</v>
      </c>
      <c r="D101" s="10" t="s">
        <v>36</v>
      </c>
      <c r="E101" s="10" t="s">
        <v>36</v>
      </c>
      <c r="F101" s="10" t="s">
        <v>801</v>
      </c>
      <c r="G101" s="10" t="str">
        <f t="shared" si="2"/>
        <v>Aircraft Maintenance Planner-CASR Part 145</v>
      </c>
    </row>
    <row r="102" spans="1:7" hidden="1" x14ac:dyDescent="0.25">
      <c r="A102" s="10">
        <v>94</v>
      </c>
      <c r="B102" s="10" t="s">
        <v>818</v>
      </c>
      <c r="C102" s="10" t="s">
        <v>792</v>
      </c>
      <c r="D102" s="10" t="s">
        <v>42</v>
      </c>
      <c r="E102" s="10" t="s">
        <v>42</v>
      </c>
      <c r="F102" s="10" t="s">
        <v>788</v>
      </c>
      <c r="G102" s="10" t="str">
        <f t="shared" si="2"/>
        <v>Aircraft Maintenance Planner-Dangerous Good</v>
      </c>
    </row>
    <row r="103" spans="1:7" hidden="1" x14ac:dyDescent="0.25">
      <c r="A103" s="10">
        <v>95</v>
      </c>
      <c r="B103" s="10" t="s">
        <v>818</v>
      </c>
      <c r="C103" s="10" t="s">
        <v>793</v>
      </c>
      <c r="D103" s="10" t="s">
        <v>38</v>
      </c>
      <c r="E103" s="10" t="s">
        <v>38</v>
      </c>
      <c r="F103" s="10" t="s">
        <v>801</v>
      </c>
      <c r="G103" s="10" t="str">
        <f t="shared" si="2"/>
        <v>Aircraft Maintenance Planner-EASA Part 145</v>
      </c>
    </row>
    <row r="104" spans="1:7" hidden="1" x14ac:dyDescent="0.25">
      <c r="A104" s="10">
        <v>96</v>
      </c>
      <c r="B104" s="10" t="s">
        <v>818</v>
      </c>
      <c r="C104" s="10" t="s">
        <v>794</v>
      </c>
      <c r="D104" s="10" t="s">
        <v>39</v>
      </c>
      <c r="E104" s="10" t="s">
        <v>795</v>
      </c>
      <c r="F104" s="10" t="s">
        <v>801</v>
      </c>
      <c r="G104" s="10" t="str">
        <f t="shared" si="2"/>
        <v>Aircraft Maintenance Planner-EASA Part M</v>
      </c>
    </row>
    <row r="105" spans="1:7" hidden="1" x14ac:dyDescent="0.25">
      <c r="A105" s="10">
        <v>97</v>
      </c>
      <c r="B105" s="10" t="s">
        <v>818</v>
      </c>
      <c r="C105" s="10" t="s">
        <v>796</v>
      </c>
      <c r="D105" s="10" t="s">
        <v>41</v>
      </c>
      <c r="E105" s="10" t="s">
        <v>41</v>
      </c>
      <c r="F105" s="10" t="s">
        <v>788</v>
      </c>
      <c r="G105" s="10" t="str">
        <f t="shared" si="2"/>
        <v>Aircraft Maintenance Planner-EWIS</v>
      </c>
    </row>
    <row r="106" spans="1:7" hidden="1" x14ac:dyDescent="0.25">
      <c r="A106" s="10">
        <v>98</v>
      </c>
      <c r="B106" s="10" t="s">
        <v>818</v>
      </c>
      <c r="C106" s="10" t="s">
        <v>797</v>
      </c>
      <c r="D106" s="10" t="s">
        <v>37</v>
      </c>
      <c r="E106" s="10" t="s">
        <v>37</v>
      </c>
      <c r="F106" s="10" t="s">
        <v>801</v>
      </c>
      <c r="G106" s="10" t="str">
        <f t="shared" si="2"/>
        <v>Aircraft Maintenance Planner-FAR Part 145</v>
      </c>
    </row>
    <row r="107" spans="1:7" hidden="1" x14ac:dyDescent="0.25">
      <c r="A107" s="10">
        <v>99</v>
      </c>
      <c r="B107" s="10" t="s">
        <v>818</v>
      </c>
      <c r="C107" s="10" t="s">
        <v>798</v>
      </c>
      <c r="D107" s="10" t="s">
        <v>40</v>
      </c>
      <c r="E107" s="10" t="s">
        <v>40</v>
      </c>
      <c r="F107" s="10" t="s">
        <v>788</v>
      </c>
      <c r="G107" s="10" t="str">
        <f t="shared" si="2"/>
        <v>Aircraft Maintenance Planner-Fuel Tank Safety</v>
      </c>
    </row>
    <row r="108" spans="1:7" hidden="1" x14ac:dyDescent="0.25">
      <c r="A108" s="10">
        <v>100</v>
      </c>
      <c r="B108" s="10" t="s">
        <v>818</v>
      </c>
      <c r="C108" s="10" t="s">
        <v>799</v>
      </c>
      <c r="D108" s="10" t="s">
        <v>35</v>
      </c>
      <c r="E108" s="10" t="s">
        <v>35</v>
      </c>
      <c r="F108" s="10" t="s">
        <v>788</v>
      </c>
      <c r="G108" s="10" t="str">
        <f t="shared" si="2"/>
        <v>Aircraft Maintenance Planner-GMF Quality System</v>
      </c>
    </row>
    <row r="109" spans="1:7" hidden="1" x14ac:dyDescent="0.25">
      <c r="A109" s="10">
        <v>101</v>
      </c>
      <c r="B109" s="10" t="s">
        <v>818</v>
      </c>
      <c r="C109" s="10" t="s">
        <v>800</v>
      </c>
      <c r="D109" s="10" t="s">
        <v>33</v>
      </c>
      <c r="E109" s="10" t="s">
        <v>33</v>
      </c>
      <c r="F109" s="10" t="s">
        <v>801</v>
      </c>
      <c r="G109" s="10" t="str">
        <f t="shared" si="2"/>
        <v>Aircraft Maintenance Planner-Human Factor</v>
      </c>
    </row>
    <row r="110" spans="1:7" hidden="1" x14ac:dyDescent="0.25">
      <c r="A110" s="10">
        <v>102</v>
      </c>
      <c r="B110" s="10" t="s">
        <v>818</v>
      </c>
      <c r="C110" s="10" t="s">
        <v>802</v>
      </c>
      <c r="D110" s="10" t="s">
        <v>201</v>
      </c>
      <c r="E110" s="10" t="s">
        <v>201</v>
      </c>
      <c r="F110" s="10" t="s">
        <v>788</v>
      </c>
      <c r="G110" s="10" t="str">
        <f t="shared" si="2"/>
        <v>Aircraft Maintenance Planner-Orientation Training</v>
      </c>
    </row>
    <row r="111" spans="1:7" hidden="1" x14ac:dyDescent="0.25">
      <c r="A111" s="10">
        <v>103</v>
      </c>
      <c r="B111" s="10" t="s">
        <v>818</v>
      </c>
      <c r="C111" s="10" t="s">
        <v>803</v>
      </c>
      <c r="D111" s="10" t="s">
        <v>34</v>
      </c>
      <c r="E111" s="10" t="s">
        <v>34</v>
      </c>
      <c r="F111" s="10" t="s">
        <v>801</v>
      </c>
      <c r="G111" s="10" t="str">
        <f t="shared" si="2"/>
        <v>Aircraft Maintenance Planner-Safety Management System</v>
      </c>
    </row>
    <row r="112" spans="1:7" hidden="1" x14ac:dyDescent="0.25">
      <c r="A112" s="10">
        <v>104</v>
      </c>
      <c r="B112" s="10" t="s">
        <v>818</v>
      </c>
      <c r="C112" s="10" t="s">
        <v>808</v>
      </c>
      <c r="D112" s="10" t="s">
        <v>199</v>
      </c>
      <c r="E112" s="10" t="s">
        <v>199</v>
      </c>
      <c r="F112" s="10" t="s">
        <v>788</v>
      </c>
      <c r="G112" s="10" t="str">
        <f t="shared" si="2"/>
        <v>Aircraft Maintenance Planner-SWIFT Training</v>
      </c>
    </row>
    <row r="113" spans="1:7" hidden="1" x14ac:dyDescent="0.25">
      <c r="A113" s="10">
        <v>105</v>
      </c>
      <c r="B113" s="10" t="s">
        <v>820</v>
      </c>
      <c r="C113" s="10" t="s">
        <v>789</v>
      </c>
      <c r="D113" s="10" t="s">
        <v>181</v>
      </c>
      <c r="E113" s="10" t="s">
        <v>181</v>
      </c>
      <c r="F113" s="10" t="s">
        <v>788</v>
      </c>
      <c r="G113" s="10" t="str">
        <f t="shared" si="2"/>
        <v>Production Support Officer-Aircraft Familiarization</v>
      </c>
    </row>
    <row r="114" spans="1:7" hidden="1" x14ac:dyDescent="0.25">
      <c r="A114" s="10">
        <v>106</v>
      </c>
      <c r="B114" s="10" t="s">
        <v>820</v>
      </c>
      <c r="C114" s="10" t="s">
        <v>819</v>
      </c>
      <c r="D114" s="10" t="s">
        <v>179</v>
      </c>
      <c r="E114" s="10" t="s">
        <v>179</v>
      </c>
      <c r="F114" s="10" t="s">
        <v>788</v>
      </c>
      <c r="G114" s="10" t="str">
        <f t="shared" si="2"/>
        <v>Production Support Officer-Basic Planning</v>
      </c>
    </row>
    <row r="115" spans="1:7" hidden="1" x14ac:dyDescent="0.25">
      <c r="A115" s="10">
        <v>107</v>
      </c>
      <c r="B115" s="10" t="s">
        <v>820</v>
      </c>
      <c r="C115" s="10" t="s">
        <v>791</v>
      </c>
      <c r="D115" s="10" t="s">
        <v>36</v>
      </c>
      <c r="E115" s="10" t="s">
        <v>36</v>
      </c>
      <c r="F115" s="10" t="s">
        <v>801</v>
      </c>
      <c r="G115" s="10" t="str">
        <f t="shared" si="2"/>
        <v>Production Support Officer-CASR Part 145</v>
      </c>
    </row>
    <row r="116" spans="1:7" hidden="1" x14ac:dyDescent="0.25">
      <c r="A116" s="10">
        <v>109</v>
      </c>
      <c r="B116" s="10" t="s">
        <v>820</v>
      </c>
      <c r="C116" s="10" t="s">
        <v>793</v>
      </c>
      <c r="D116" s="10" t="s">
        <v>38</v>
      </c>
      <c r="E116" s="10" t="s">
        <v>38</v>
      </c>
      <c r="F116" s="10" t="s">
        <v>801</v>
      </c>
      <c r="G116" s="10" t="str">
        <f t="shared" si="2"/>
        <v>Production Support Officer-EASA Part 145</v>
      </c>
    </row>
    <row r="117" spans="1:7" hidden="1" x14ac:dyDescent="0.25">
      <c r="A117" s="10">
        <v>110</v>
      </c>
      <c r="B117" s="10" t="s">
        <v>820</v>
      </c>
      <c r="C117" s="10" t="s">
        <v>794</v>
      </c>
      <c r="D117" s="10" t="s">
        <v>39</v>
      </c>
      <c r="E117" s="10" t="s">
        <v>795</v>
      </c>
      <c r="F117" s="10" t="s">
        <v>801</v>
      </c>
      <c r="G117" s="10" t="str">
        <f t="shared" si="2"/>
        <v>Production Support Officer-EASA Part M</v>
      </c>
    </row>
    <row r="118" spans="1:7" hidden="1" x14ac:dyDescent="0.25">
      <c r="A118" s="10">
        <v>112</v>
      </c>
      <c r="B118" s="10" t="s">
        <v>820</v>
      </c>
      <c r="C118" s="10" t="s">
        <v>797</v>
      </c>
      <c r="D118" s="10" t="s">
        <v>37</v>
      </c>
      <c r="E118" s="10" t="s">
        <v>37</v>
      </c>
      <c r="F118" s="10" t="s">
        <v>801</v>
      </c>
      <c r="G118" s="10" t="str">
        <f t="shared" si="2"/>
        <v>Production Support Officer-FAR Part 145</v>
      </c>
    </row>
    <row r="119" spans="1:7" hidden="1" x14ac:dyDescent="0.25">
      <c r="A119" s="10">
        <v>114</v>
      </c>
      <c r="B119" s="10" t="s">
        <v>820</v>
      </c>
      <c r="C119" s="10" t="s">
        <v>799</v>
      </c>
      <c r="D119" s="10" t="s">
        <v>35</v>
      </c>
      <c r="E119" s="10" t="s">
        <v>35</v>
      </c>
      <c r="F119" s="10" t="s">
        <v>788</v>
      </c>
      <c r="G119" s="10" t="str">
        <f t="shared" si="2"/>
        <v>Production Support Officer-GMF Quality System</v>
      </c>
    </row>
    <row r="120" spans="1:7" hidden="1" x14ac:dyDescent="0.25">
      <c r="A120" s="10">
        <v>115</v>
      </c>
      <c r="B120" s="10" t="s">
        <v>820</v>
      </c>
      <c r="C120" s="10" t="s">
        <v>800</v>
      </c>
      <c r="D120" s="10" t="s">
        <v>33</v>
      </c>
      <c r="E120" s="10" t="s">
        <v>33</v>
      </c>
      <c r="F120" s="10" t="s">
        <v>801</v>
      </c>
      <c r="G120" s="10" t="str">
        <f t="shared" si="2"/>
        <v>Production Support Officer-Human Factor</v>
      </c>
    </row>
    <row r="121" spans="1:7" hidden="1" x14ac:dyDescent="0.25">
      <c r="A121" s="10">
        <v>116</v>
      </c>
      <c r="B121" s="10" t="s">
        <v>820</v>
      </c>
      <c r="C121" s="10" t="s">
        <v>802</v>
      </c>
      <c r="D121" s="10" t="s">
        <v>201</v>
      </c>
      <c r="E121" s="10" t="s">
        <v>201</v>
      </c>
      <c r="F121" s="10" t="s">
        <v>788</v>
      </c>
      <c r="G121" s="10" t="str">
        <f t="shared" si="2"/>
        <v>Production Support Officer-Orientation Training</v>
      </c>
    </row>
    <row r="122" spans="1:7" hidden="1" x14ac:dyDescent="0.25">
      <c r="A122" s="10">
        <v>117</v>
      </c>
      <c r="B122" s="10" t="s">
        <v>820</v>
      </c>
      <c r="C122" s="10" t="s">
        <v>803</v>
      </c>
      <c r="D122" s="10" t="s">
        <v>34</v>
      </c>
      <c r="E122" s="10" t="s">
        <v>34</v>
      </c>
      <c r="F122" s="10" t="s">
        <v>801</v>
      </c>
      <c r="G122" s="10" t="str">
        <f t="shared" si="2"/>
        <v>Production Support Officer-Safety Management System</v>
      </c>
    </row>
    <row r="123" spans="1:7" hidden="1" x14ac:dyDescent="0.25">
      <c r="A123" s="10">
        <v>118</v>
      </c>
      <c r="B123" s="10" t="s">
        <v>820</v>
      </c>
      <c r="C123" s="10" t="s">
        <v>808</v>
      </c>
      <c r="D123" s="10" t="s">
        <v>199</v>
      </c>
      <c r="E123" s="10" t="s">
        <v>199</v>
      </c>
      <c r="F123" s="10" t="s">
        <v>788</v>
      </c>
      <c r="G123" s="10" t="str">
        <f t="shared" si="2"/>
        <v>Production Support Officer-SWIFT Training</v>
      </c>
    </row>
    <row r="124" spans="1:7" hidden="1" x14ac:dyDescent="0.25">
      <c r="A124" s="10">
        <v>119</v>
      </c>
      <c r="B124" s="10" t="s">
        <v>821</v>
      </c>
      <c r="C124" s="10" t="s">
        <v>789</v>
      </c>
      <c r="D124" s="10" t="s">
        <v>181</v>
      </c>
      <c r="E124" s="10" t="s">
        <v>181</v>
      </c>
      <c r="F124" s="10" t="s">
        <v>788</v>
      </c>
      <c r="G124" s="10" t="str">
        <f t="shared" si="2"/>
        <v>Aircraft Maintenance Planning Engineer-Aircraft Familiarization</v>
      </c>
    </row>
    <row r="125" spans="1:7" hidden="1" x14ac:dyDescent="0.25">
      <c r="A125" s="10">
        <v>120</v>
      </c>
      <c r="B125" s="10" t="s">
        <v>821</v>
      </c>
      <c r="C125" s="10" t="s">
        <v>822</v>
      </c>
      <c r="D125" s="10" t="s">
        <v>180</v>
      </c>
      <c r="E125" s="10" t="s">
        <v>180</v>
      </c>
      <c r="F125" s="10" t="s">
        <v>788</v>
      </c>
      <c r="G125" s="10" t="str">
        <f t="shared" si="2"/>
        <v>Aircraft Maintenance Planning Engineer-Basic Engineering</v>
      </c>
    </row>
    <row r="126" spans="1:7" hidden="1" x14ac:dyDescent="0.25">
      <c r="A126" s="10">
        <v>121</v>
      </c>
      <c r="B126" s="10" t="s">
        <v>821</v>
      </c>
      <c r="C126" s="10" t="s">
        <v>791</v>
      </c>
      <c r="D126" s="10" t="s">
        <v>36</v>
      </c>
      <c r="E126" s="10" t="s">
        <v>36</v>
      </c>
      <c r="F126" s="10" t="s">
        <v>801</v>
      </c>
      <c r="G126" s="10" t="str">
        <f t="shared" si="2"/>
        <v>Aircraft Maintenance Planning Engineer-CASR Part 145</v>
      </c>
    </row>
    <row r="127" spans="1:7" hidden="1" x14ac:dyDescent="0.25">
      <c r="A127" s="10">
        <v>122</v>
      </c>
      <c r="B127" s="10" t="s">
        <v>821</v>
      </c>
      <c r="C127" s="10" t="s">
        <v>792</v>
      </c>
      <c r="D127" s="10" t="s">
        <v>42</v>
      </c>
      <c r="E127" s="10" t="s">
        <v>42</v>
      </c>
      <c r="F127" s="10" t="s">
        <v>788</v>
      </c>
      <c r="G127" s="10" t="str">
        <f t="shared" si="2"/>
        <v>Aircraft Maintenance Planning Engineer-Dangerous Good</v>
      </c>
    </row>
    <row r="128" spans="1:7" hidden="1" x14ac:dyDescent="0.25">
      <c r="A128" s="10">
        <v>123</v>
      </c>
      <c r="B128" s="10" t="s">
        <v>821</v>
      </c>
      <c r="C128" s="10" t="s">
        <v>793</v>
      </c>
      <c r="D128" s="10" t="s">
        <v>38</v>
      </c>
      <c r="E128" s="10" t="s">
        <v>38</v>
      </c>
      <c r="F128" s="10" t="s">
        <v>801</v>
      </c>
      <c r="G128" s="10" t="str">
        <f t="shared" si="2"/>
        <v>Aircraft Maintenance Planning Engineer-EASA Part 145</v>
      </c>
    </row>
    <row r="129" spans="1:7" hidden="1" x14ac:dyDescent="0.25">
      <c r="A129" s="10">
        <v>124</v>
      </c>
      <c r="B129" s="10" t="s">
        <v>821</v>
      </c>
      <c r="C129" s="10" t="s">
        <v>794</v>
      </c>
      <c r="D129" s="10" t="s">
        <v>39</v>
      </c>
      <c r="E129" s="10" t="s">
        <v>795</v>
      </c>
      <c r="F129" s="10" t="s">
        <v>801</v>
      </c>
      <c r="G129" s="10" t="str">
        <f t="shared" si="2"/>
        <v>Aircraft Maintenance Planning Engineer-EASA Part M</v>
      </c>
    </row>
    <row r="130" spans="1:7" hidden="1" x14ac:dyDescent="0.25">
      <c r="A130" s="10">
        <v>125</v>
      </c>
      <c r="B130" s="10" t="s">
        <v>821</v>
      </c>
      <c r="C130" s="10" t="s">
        <v>796</v>
      </c>
      <c r="D130" s="10" t="s">
        <v>41</v>
      </c>
      <c r="E130" s="10" t="s">
        <v>41</v>
      </c>
      <c r="F130" s="10" t="s">
        <v>788</v>
      </c>
      <c r="G130" s="10" t="str">
        <f t="shared" si="2"/>
        <v>Aircraft Maintenance Planning Engineer-EWIS</v>
      </c>
    </row>
    <row r="131" spans="1:7" hidden="1" x14ac:dyDescent="0.25">
      <c r="A131" s="10">
        <v>126</v>
      </c>
      <c r="B131" s="10" t="s">
        <v>821</v>
      </c>
      <c r="C131" s="10" t="s">
        <v>797</v>
      </c>
      <c r="D131" s="10" t="s">
        <v>37</v>
      </c>
      <c r="E131" s="10" t="s">
        <v>37</v>
      </c>
      <c r="F131" s="10" t="s">
        <v>801</v>
      </c>
      <c r="G131" s="10" t="str">
        <f t="shared" si="2"/>
        <v>Aircraft Maintenance Planning Engineer-FAR Part 145</v>
      </c>
    </row>
    <row r="132" spans="1:7" hidden="1" x14ac:dyDescent="0.25">
      <c r="A132" s="10">
        <v>127</v>
      </c>
      <c r="B132" s="10" t="s">
        <v>821</v>
      </c>
      <c r="C132" s="10" t="s">
        <v>798</v>
      </c>
      <c r="D132" s="10" t="s">
        <v>40</v>
      </c>
      <c r="E132" s="10" t="s">
        <v>40</v>
      </c>
      <c r="F132" s="10" t="s">
        <v>788</v>
      </c>
      <c r="G132" s="10" t="str">
        <f t="shared" si="2"/>
        <v>Aircraft Maintenance Planning Engineer-Fuel Tank Safety</v>
      </c>
    </row>
    <row r="133" spans="1:7" hidden="1" x14ac:dyDescent="0.25">
      <c r="A133" s="10">
        <v>128</v>
      </c>
      <c r="B133" s="10" t="s">
        <v>821</v>
      </c>
      <c r="C133" s="10" t="s">
        <v>799</v>
      </c>
      <c r="D133" s="10" t="s">
        <v>35</v>
      </c>
      <c r="E133" s="10" t="s">
        <v>35</v>
      </c>
      <c r="F133" s="10" t="s">
        <v>788</v>
      </c>
      <c r="G133" s="10" t="str">
        <f t="shared" si="2"/>
        <v>Aircraft Maintenance Planning Engineer-GMF Quality System</v>
      </c>
    </row>
    <row r="134" spans="1:7" hidden="1" x14ac:dyDescent="0.25">
      <c r="A134" s="10">
        <v>129</v>
      </c>
      <c r="B134" s="10" t="s">
        <v>821</v>
      </c>
      <c r="C134" s="10" t="s">
        <v>800</v>
      </c>
      <c r="D134" s="10" t="s">
        <v>33</v>
      </c>
      <c r="E134" s="10" t="s">
        <v>33</v>
      </c>
      <c r="F134" s="10" t="s">
        <v>801</v>
      </c>
      <c r="G134" s="10" t="str">
        <f t="shared" si="2"/>
        <v>Aircraft Maintenance Planning Engineer-Human Factor</v>
      </c>
    </row>
    <row r="135" spans="1:7" hidden="1" x14ac:dyDescent="0.25">
      <c r="A135" s="10">
        <v>130</v>
      </c>
      <c r="B135" s="10" t="s">
        <v>821</v>
      </c>
      <c r="C135" s="10" t="s">
        <v>802</v>
      </c>
      <c r="D135" s="10" t="s">
        <v>201</v>
      </c>
      <c r="E135" s="10" t="s">
        <v>201</v>
      </c>
      <c r="F135" s="10" t="s">
        <v>788</v>
      </c>
      <c r="G135" s="10" t="str">
        <f t="shared" si="2"/>
        <v>Aircraft Maintenance Planning Engineer-Orientation Training</v>
      </c>
    </row>
    <row r="136" spans="1:7" hidden="1" x14ac:dyDescent="0.25">
      <c r="A136" s="10">
        <v>131</v>
      </c>
      <c r="B136" s="10" t="s">
        <v>821</v>
      </c>
      <c r="C136" s="10" t="s">
        <v>803</v>
      </c>
      <c r="D136" s="10" t="s">
        <v>34</v>
      </c>
      <c r="E136" s="10" t="s">
        <v>34</v>
      </c>
      <c r="F136" s="10" t="s">
        <v>801</v>
      </c>
      <c r="G136" s="10" t="str">
        <f t="shared" si="2"/>
        <v>Aircraft Maintenance Planning Engineer-Safety Management System</v>
      </c>
    </row>
    <row r="137" spans="1:7" hidden="1" x14ac:dyDescent="0.25">
      <c r="A137" s="10">
        <v>132</v>
      </c>
      <c r="B137" s="10" t="s">
        <v>821</v>
      </c>
      <c r="C137" s="10" t="s">
        <v>808</v>
      </c>
      <c r="D137" s="10" t="s">
        <v>199</v>
      </c>
      <c r="E137" s="10" t="s">
        <v>199</v>
      </c>
      <c r="F137" s="10" t="s">
        <v>788</v>
      </c>
      <c r="G137" s="10" t="str">
        <f t="shared" si="2"/>
        <v>Aircraft Maintenance Planning Engineer-SWIFT Training</v>
      </c>
    </row>
    <row r="138" spans="1:7" hidden="1" x14ac:dyDescent="0.25">
      <c r="A138" s="10">
        <v>133</v>
      </c>
      <c r="B138" s="10" t="s">
        <v>823</v>
      </c>
      <c r="C138" s="10" t="s">
        <v>811</v>
      </c>
      <c r="D138" s="10" t="s">
        <v>173</v>
      </c>
      <c r="E138" s="10" t="s">
        <v>812</v>
      </c>
      <c r="F138" s="10" t="s">
        <v>788</v>
      </c>
      <c r="G138" s="10" t="str">
        <f t="shared" si="2"/>
        <v>Aircraft Maintenance Technician-ADTH</v>
      </c>
    </row>
    <row r="139" spans="1:7" hidden="1" x14ac:dyDescent="0.25">
      <c r="A139" s="10">
        <v>134</v>
      </c>
      <c r="B139" s="10" t="s">
        <v>823</v>
      </c>
      <c r="C139" s="10" t="s">
        <v>791</v>
      </c>
      <c r="D139" s="10" t="s">
        <v>36</v>
      </c>
      <c r="E139" s="10" t="s">
        <v>36</v>
      </c>
      <c r="F139" s="10" t="s">
        <v>801</v>
      </c>
      <c r="G139" s="10" t="str">
        <f t="shared" si="2"/>
        <v>Aircraft Maintenance Technician-CASR Part 145</v>
      </c>
    </row>
    <row r="140" spans="1:7" hidden="1" x14ac:dyDescent="0.25">
      <c r="A140" s="10">
        <v>135</v>
      </c>
      <c r="B140" s="10" t="s">
        <v>823</v>
      </c>
      <c r="C140" s="10" t="s">
        <v>792</v>
      </c>
      <c r="D140" s="10" t="s">
        <v>42</v>
      </c>
      <c r="E140" s="10" t="s">
        <v>42</v>
      </c>
      <c r="F140" s="10" t="s">
        <v>788</v>
      </c>
      <c r="G140" s="10" t="str">
        <f t="shared" si="2"/>
        <v>Aircraft Maintenance Technician-Dangerous Good</v>
      </c>
    </row>
    <row r="141" spans="1:7" hidden="1" x14ac:dyDescent="0.25">
      <c r="A141" s="10">
        <v>136</v>
      </c>
      <c r="B141" s="10" t="s">
        <v>823</v>
      </c>
      <c r="C141" s="10" t="s">
        <v>793</v>
      </c>
      <c r="D141" s="10" t="s">
        <v>38</v>
      </c>
      <c r="E141" s="10" t="s">
        <v>38</v>
      </c>
      <c r="F141" s="10" t="s">
        <v>801</v>
      </c>
      <c r="G141" s="10" t="str">
        <f t="shared" si="2"/>
        <v>Aircraft Maintenance Technician-EASA Part 145</v>
      </c>
    </row>
    <row r="142" spans="1:7" hidden="1" x14ac:dyDescent="0.25">
      <c r="A142" s="10">
        <v>137</v>
      </c>
      <c r="B142" s="10" t="s">
        <v>823</v>
      </c>
      <c r="C142" s="10" t="s">
        <v>794</v>
      </c>
      <c r="D142" s="10" t="s">
        <v>39</v>
      </c>
      <c r="E142" s="10" t="s">
        <v>39</v>
      </c>
      <c r="F142" s="10" t="s">
        <v>801</v>
      </c>
      <c r="G142" s="10" t="str">
        <f t="shared" si="2"/>
        <v>Aircraft Maintenance Technician-EASA Part M</v>
      </c>
    </row>
    <row r="143" spans="1:7" hidden="1" x14ac:dyDescent="0.25">
      <c r="A143" s="10">
        <v>138</v>
      </c>
      <c r="B143" s="10" t="s">
        <v>823</v>
      </c>
      <c r="C143" s="10" t="s">
        <v>796</v>
      </c>
      <c r="D143" s="10" t="s">
        <v>41</v>
      </c>
      <c r="E143" s="10" t="s">
        <v>41</v>
      </c>
      <c r="F143" s="10" t="s">
        <v>801</v>
      </c>
      <c r="G143" s="10" t="str">
        <f t="shared" si="2"/>
        <v>Aircraft Maintenance Technician-EWIS</v>
      </c>
    </row>
    <row r="144" spans="1:7" hidden="1" x14ac:dyDescent="0.25">
      <c r="A144" s="10">
        <v>139</v>
      </c>
      <c r="B144" s="10" t="s">
        <v>823</v>
      </c>
      <c r="C144" s="10" t="s">
        <v>797</v>
      </c>
      <c r="D144" s="10" t="s">
        <v>37</v>
      </c>
      <c r="E144" s="10" t="s">
        <v>37</v>
      </c>
      <c r="F144" s="10" t="s">
        <v>801</v>
      </c>
      <c r="G144" s="10" t="str">
        <f t="shared" si="2"/>
        <v>Aircraft Maintenance Technician-FAR Part 145</v>
      </c>
    </row>
    <row r="145" spans="1:8" hidden="1" x14ac:dyDescent="0.25">
      <c r="A145" s="10">
        <v>140</v>
      </c>
      <c r="B145" s="10" t="s">
        <v>823</v>
      </c>
      <c r="C145" s="10" t="s">
        <v>798</v>
      </c>
      <c r="D145" s="10" t="s">
        <v>40</v>
      </c>
      <c r="E145" s="10" t="s">
        <v>40</v>
      </c>
      <c r="F145" s="10" t="s">
        <v>801</v>
      </c>
      <c r="G145" s="10" t="str">
        <f t="shared" si="2"/>
        <v>Aircraft Maintenance Technician-Fuel Tank Safety</v>
      </c>
    </row>
    <row r="146" spans="1:8" hidden="1" x14ac:dyDescent="0.25">
      <c r="A146" s="10">
        <v>141</v>
      </c>
      <c r="B146" s="10" t="s">
        <v>823</v>
      </c>
      <c r="C146" s="10" t="s">
        <v>799</v>
      </c>
      <c r="D146" s="10" t="s">
        <v>35</v>
      </c>
      <c r="E146" s="10" t="s">
        <v>35</v>
      </c>
      <c r="F146" s="10" t="s">
        <v>801</v>
      </c>
      <c r="G146" s="10" t="str">
        <f t="shared" si="2"/>
        <v>Aircraft Maintenance Technician-GMF Quality System</v>
      </c>
    </row>
    <row r="147" spans="1:8" hidden="1" x14ac:dyDescent="0.25">
      <c r="A147" s="10">
        <v>142</v>
      </c>
      <c r="B147" s="10" t="s">
        <v>823</v>
      </c>
      <c r="C147" s="10" t="s">
        <v>800</v>
      </c>
      <c r="D147" s="10" t="s">
        <v>33</v>
      </c>
      <c r="E147" s="10" t="s">
        <v>33</v>
      </c>
      <c r="F147" s="10" t="s">
        <v>801</v>
      </c>
      <c r="G147" s="10" t="str">
        <f t="shared" si="2"/>
        <v>Aircraft Maintenance Technician-Human Factor</v>
      </c>
    </row>
    <row r="148" spans="1:8" hidden="1" x14ac:dyDescent="0.25">
      <c r="A148" s="10">
        <v>143</v>
      </c>
      <c r="B148" s="10" t="s">
        <v>823</v>
      </c>
      <c r="C148" s="10" t="s">
        <v>802</v>
      </c>
      <c r="D148" s="10" t="s">
        <v>201</v>
      </c>
      <c r="E148" s="10" t="s">
        <v>201</v>
      </c>
      <c r="F148" s="10" t="s">
        <v>788</v>
      </c>
      <c r="G148" s="10" t="str">
        <f t="shared" si="2"/>
        <v>Aircraft Maintenance Technician-Orientation Training</v>
      </c>
    </row>
    <row r="149" spans="1:8" hidden="1" x14ac:dyDescent="0.25">
      <c r="A149" s="10">
        <v>144</v>
      </c>
      <c r="B149" s="10" t="s">
        <v>823</v>
      </c>
      <c r="C149" s="10" t="s">
        <v>803</v>
      </c>
      <c r="D149" s="10" t="s">
        <v>34</v>
      </c>
      <c r="E149" s="10" t="s">
        <v>34</v>
      </c>
      <c r="F149" s="10" t="s">
        <v>801</v>
      </c>
      <c r="G149" s="10" t="str">
        <f t="shared" si="2"/>
        <v>Aircraft Maintenance Technician-Safety Management System</v>
      </c>
    </row>
    <row r="150" spans="1:8" hidden="1" x14ac:dyDescent="0.25">
      <c r="A150" s="10">
        <v>145</v>
      </c>
      <c r="B150" s="10" t="s">
        <v>824</v>
      </c>
      <c r="C150" s="10" t="s">
        <v>800</v>
      </c>
      <c r="D150" s="10" t="s">
        <v>33</v>
      </c>
      <c r="E150" s="10" t="s">
        <v>33</v>
      </c>
      <c r="F150" s="10" t="s">
        <v>801</v>
      </c>
      <c r="G150" s="10" t="str">
        <f t="shared" si="2"/>
        <v>Aircraft Maintenance Technician (PKWT NP)-Human Factor</v>
      </c>
    </row>
    <row r="151" spans="1:8" hidden="1" x14ac:dyDescent="0.25">
      <c r="A151" s="10">
        <v>146</v>
      </c>
      <c r="B151" s="10" t="s">
        <v>824</v>
      </c>
      <c r="C151" s="10" t="s">
        <v>803</v>
      </c>
      <c r="D151" s="10" t="s">
        <v>34</v>
      </c>
      <c r="E151" s="10" t="s">
        <v>34</v>
      </c>
      <c r="F151" s="10" t="s">
        <v>801</v>
      </c>
      <c r="G151" s="10" t="str">
        <f t="shared" si="2"/>
        <v>Aircraft Maintenance Technician (PKWT NP)-Safety Management System</v>
      </c>
    </row>
    <row r="152" spans="1:8" hidden="1" x14ac:dyDescent="0.25">
      <c r="A152" s="10">
        <v>147</v>
      </c>
      <c r="B152" s="10" t="s">
        <v>824</v>
      </c>
      <c r="C152" s="10" t="s">
        <v>799</v>
      </c>
      <c r="D152" s="10" t="s">
        <v>35</v>
      </c>
      <c r="E152" s="10" t="s">
        <v>35</v>
      </c>
      <c r="F152" s="10" t="s">
        <v>788</v>
      </c>
      <c r="G152" s="10" t="str">
        <f t="shared" si="2"/>
        <v>Aircraft Maintenance Technician (PKWT NP)-GMF Quality System</v>
      </c>
    </row>
    <row r="153" spans="1:8" hidden="1" x14ac:dyDescent="0.25">
      <c r="B153" s="10" t="s">
        <v>824</v>
      </c>
      <c r="D153" s="10" t="s">
        <v>36</v>
      </c>
      <c r="F153" s="10" t="s">
        <v>788</v>
      </c>
      <c r="G153" s="10" t="str">
        <f t="shared" ref="G153:G159" si="3">B153 &amp; "-" &amp; D153</f>
        <v>Aircraft Maintenance Technician (PKWT NP)-CASR Part 145</v>
      </c>
      <c r="H153" s="10" t="s">
        <v>813</v>
      </c>
    </row>
    <row r="154" spans="1:8" hidden="1" x14ac:dyDescent="0.25">
      <c r="B154" s="10" t="s">
        <v>824</v>
      </c>
      <c r="D154" s="10" t="s">
        <v>42</v>
      </c>
      <c r="F154" s="10" t="s">
        <v>788</v>
      </c>
      <c r="G154" s="10" t="str">
        <f t="shared" si="3"/>
        <v>Aircraft Maintenance Technician (PKWT NP)-Dangerous Good</v>
      </c>
      <c r="H154" s="10" t="s">
        <v>813</v>
      </c>
    </row>
    <row r="155" spans="1:8" hidden="1" x14ac:dyDescent="0.25">
      <c r="B155" s="10" t="s">
        <v>824</v>
      </c>
      <c r="D155" s="10" t="s">
        <v>38</v>
      </c>
      <c r="F155" s="10" t="s">
        <v>788</v>
      </c>
      <c r="G155" s="10" t="str">
        <f t="shared" si="3"/>
        <v>Aircraft Maintenance Technician (PKWT NP)-EASA Part 145</v>
      </c>
      <c r="H155" s="10" t="s">
        <v>813</v>
      </c>
    </row>
    <row r="156" spans="1:8" hidden="1" x14ac:dyDescent="0.25">
      <c r="B156" s="10" t="s">
        <v>824</v>
      </c>
      <c r="D156" s="10" t="s">
        <v>39</v>
      </c>
      <c r="F156" s="10" t="s">
        <v>788</v>
      </c>
      <c r="G156" s="10" t="str">
        <f t="shared" si="3"/>
        <v>Aircraft Maintenance Technician (PKWT NP)-EASA Part M</v>
      </c>
      <c r="H156" s="10" t="s">
        <v>813</v>
      </c>
    </row>
    <row r="157" spans="1:8" hidden="1" x14ac:dyDescent="0.25">
      <c r="B157" s="10" t="s">
        <v>824</v>
      </c>
      <c r="D157" s="10" t="s">
        <v>41</v>
      </c>
      <c r="F157" s="10" t="s">
        <v>788</v>
      </c>
      <c r="G157" s="10" t="str">
        <f t="shared" si="3"/>
        <v>Aircraft Maintenance Technician (PKWT NP)-EWIS</v>
      </c>
      <c r="H157" s="10" t="s">
        <v>813</v>
      </c>
    </row>
    <row r="158" spans="1:8" hidden="1" x14ac:dyDescent="0.25">
      <c r="B158" s="10" t="s">
        <v>824</v>
      </c>
      <c r="D158" s="10" t="s">
        <v>37</v>
      </c>
      <c r="F158" s="10" t="s">
        <v>788</v>
      </c>
      <c r="G158" s="10" t="str">
        <f t="shared" si="3"/>
        <v>Aircraft Maintenance Technician (PKWT NP)-FAR Part 145</v>
      </c>
      <c r="H158" s="10" t="s">
        <v>813</v>
      </c>
    </row>
    <row r="159" spans="1:8" hidden="1" x14ac:dyDescent="0.25">
      <c r="B159" s="10" t="s">
        <v>824</v>
      </c>
      <c r="D159" s="10" t="s">
        <v>40</v>
      </c>
      <c r="F159" s="10" t="s">
        <v>788</v>
      </c>
      <c r="G159" s="10" t="str">
        <f t="shared" si="3"/>
        <v>Aircraft Maintenance Technician (PKWT NP)-Fuel Tank Safety</v>
      </c>
      <c r="H159" s="10" t="s">
        <v>813</v>
      </c>
    </row>
    <row r="160" spans="1:8" hidden="1" x14ac:dyDescent="0.25">
      <c r="B160" s="10" t="s">
        <v>825</v>
      </c>
      <c r="D160" s="10" t="s">
        <v>201</v>
      </c>
      <c r="F160" s="10" t="s">
        <v>788</v>
      </c>
      <c r="G160" s="10" t="str">
        <f t="shared" ref="G160:G168" si="4">B160 &amp; "-" &amp; D160</f>
        <v>Manager Cabin on Duty-Orientation Training</v>
      </c>
    </row>
    <row r="161" spans="1:7" hidden="1" x14ac:dyDescent="0.25">
      <c r="B161" s="10" t="s">
        <v>825</v>
      </c>
      <c r="D161" s="10" t="s">
        <v>60</v>
      </c>
      <c r="F161" s="10" t="s">
        <v>788</v>
      </c>
      <c r="G161" s="10" t="str">
        <f>B161 &amp; "-" &amp; D161</f>
        <v>Manager Cabin on Duty-Type Rating Level III Training</v>
      </c>
    </row>
    <row r="162" spans="1:7" hidden="1" x14ac:dyDescent="0.25">
      <c r="B162" s="10" t="s">
        <v>825</v>
      </c>
      <c r="D162" s="10" t="s">
        <v>33</v>
      </c>
      <c r="F162" s="10" t="s">
        <v>801</v>
      </c>
      <c r="G162" s="10" t="str">
        <f>B162 &amp; "-" &amp; D162</f>
        <v>Manager Cabin on Duty-Human Factor</v>
      </c>
    </row>
    <row r="163" spans="1:7" hidden="1" x14ac:dyDescent="0.25">
      <c r="B163" s="10" t="s">
        <v>825</v>
      </c>
      <c r="D163" s="10" t="s">
        <v>34</v>
      </c>
      <c r="F163" s="10" t="s">
        <v>801</v>
      </c>
      <c r="G163" s="10" t="str">
        <f t="shared" si="4"/>
        <v>Manager Cabin on Duty-Safety Management System</v>
      </c>
    </row>
    <row r="164" spans="1:7" hidden="1" x14ac:dyDescent="0.25">
      <c r="B164" s="10" t="s">
        <v>825</v>
      </c>
      <c r="D164" s="10" t="s">
        <v>36</v>
      </c>
      <c r="F164" s="10" t="s">
        <v>788</v>
      </c>
      <c r="G164" s="10" t="str">
        <f t="shared" si="4"/>
        <v>Manager Cabin on Duty-CASR Part 145</v>
      </c>
    </row>
    <row r="165" spans="1:7" hidden="1" x14ac:dyDescent="0.25">
      <c r="B165" s="10" t="s">
        <v>825</v>
      </c>
      <c r="D165" s="10" t="s">
        <v>38</v>
      </c>
      <c r="F165" s="10" t="s">
        <v>788</v>
      </c>
      <c r="G165" s="10" t="str">
        <f t="shared" si="4"/>
        <v>Manager Cabin on Duty-EASA Part 145</v>
      </c>
    </row>
    <row r="166" spans="1:7" hidden="1" x14ac:dyDescent="0.25">
      <c r="B166" s="10" t="s">
        <v>825</v>
      </c>
      <c r="D166" s="10" t="s">
        <v>39</v>
      </c>
      <c r="F166" s="10" t="s">
        <v>788</v>
      </c>
      <c r="G166" s="10" t="str">
        <f t="shared" si="4"/>
        <v>Manager Cabin on Duty-EASA Part M</v>
      </c>
    </row>
    <row r="167" spans="1:7" hidden="1" x14ac:dyDescent="0.25">
      <c r="B167" s="10" t="s">
        <v>825</v>
      </c>
      <c r="D167" s="10" t="s">
        <v>37</v>
      </c>
      <c r="F167" s="10" t="s">
        <v>788</v>
      </c>
      <c r="G167" s="10" t="str">
        <f t="shared" si="4"/>
        <v>Manager Cabin on Duty-FAR Part 145</v>
      </c>
    </row>
    <row r="168" spans="1:7" hidden="1" x14ac:dyDescent="0.25">
      <c r="B168" s="10" t="s">
        <v>825</v>
      </c>
      <c r="D168" s="10" t="s">
        <v>35</v>
      </c>
      <c r="F168" s="10" t="s">
        <v>788</v>
      </c>
      <c r="G168" s="10" t="str">
        <f t="shared" si="4"/>
        <v>Manager Cabin on Duty-GMF Quality System</v>
      </c>
    </row>
    <row r="169" spans="1:7" hidden="1" x14ac:dyDescent="0.25">
      <c r="B169" s="10" t="s">
        <v>825</v>
      </c>
      <c r="D169" s="10" t="s">
        <v>40</v>
      </c>
      <c r="F169" s="10" t="s">
        <v>788</v>
      </c>
      <c r="G169" s="10" t="str">
        <f>B169 &amp; "-" &amp; D169</f>
        <v>Manager Cabin on Duty-Fuel Tank Safety</v>
      </c>
    </row>
    <row r="170" spans="1:7" hidden="1" x14ac:dyDescent="0.25">
      <c r="B170" s="10" t="s">
        <v>825</v>
      </c>
      <c r="D170" s="10" t="s">
        <v>41</v>
      </c>
      <c r="F170" s="10" t="s">
        <v>788</v>
      </c>
      <c r="G170" s="10" t="str">
        <f>B170 &amp; "-" &amp; D170</f>
        <v>Manager Cabin on Duty-EWIS</v>
      </c>
    </row>
    <row r="171" spans="1:7" hidden="1" x14ac:dyDescent="0.25">
      <c r="B171" s="10" t="s">
        <v>825</v>
      </c>
      <c r="D171" s="10" t="s">
        <v>42</v>
      </c>
      <c r="F171" s="10" t="s">
        <v>788</v>
      </c>
      <c r="G171" s="10" t="str">
        <f>B171 &amp; "-" &amp; D171</f>
        <v>Manager Cabin on Duty-Dangerous Good</v>
      </c>
    </row>
    <row r="172" spans="1:7" hidden="1" x14ac:dyDescent="0.25">
      <c r="A172" s="10">
        <v>148</v>
      </c>
      <c r="B172" s="10" t="s">
        <v>22</v>
      </c>
      <c r="C172" s="10" t="s">
        <v>826</v>
      </c>
      <c r="D172" s="10" t="s">
        <v>187</v>
      </c>
      <c r="E172" s="10" t="s">
        <v>187</v>
      </c>
      <c r="F172" s="10" t="s">
        <v>788</v>
      </c>
      <c r="G172" s="10" t="str">
        <f t="shared" si="2"/>
        <v>Department Head-Aviation Legislation Module 10</v>
      </c>
    </row>
    <row r="173" spans="1:7" hidden="1" x14ac:dyDescent="0.25">
      <c r="A173" s="10">
        <v>149</v>
      </c>
      <c r="B173" s="10" t="s">
        <v>22</v>
      </c>
      <c r="C173" s="10" t="s">
        <v>791</v>
      </c>
      <c r="D173" s="10" t="s">
        <v>36</v>
      </c>
      <c r="E173" s="10" t="s">
        <v>36</v>
      </c>
      <c r="F173" s="10" t="s">
        <v>801</v>
      </c>
      <c r="G173" s="10" t="str">
        <f t="shared" si="2"/>
        <v>Department Head-CASR Part 145</v>
      </c>
    </row>
    <row r="174" spans="1:7" hidden="1" x14ac:dyDescent="0.25">
      <c r="A174" s="10">
        <v>150</v>
      </c>
      <c r="B174" s="10" t="s">
        <v>22</v>
      </c>
      <c r="C174" s="10" t="s">
        <v>793</v>
      </c>
      <c r="D174" s="10" t="s">
        <v>38</v>
      </c>
      <c r="E174" s="10" t="s">
        <v>38</v>
      </c>
      <c r="F174" s="10" t="s">
        <v>801</v>
      </c>
      <c r="G174" s="10" t="str">
        <f t="shared" si="2"/>
        <v>Department Head-EASA Part 145</v>
      </c>
    </row>
    <row r="175" spans="1:7" hidden="1" x14ac:dyDescent="0.25">
      <c r="A175" s="10">
        <v>151</v>
      </c>
      <c r="B175" s="10" t="s">
        <v>22</v>
      </c>
      <c r="C175" s="10" t="s">
        <v>794</v>
      </c>
      <c r="D175" s="10" t="s">
        <v>39</v>
      </c>
      <c r="E175" s="10" t="s">
        <v>39</v>
      </c>
      <c r="F175" s="10" t="s">
        <v>801</v>
      </c>
      <c r="G175" s="10" t="str">
        <f t="shared" si="2"/>
        <v>Department Head-EASA Part M</v>
      </c>
    </row>
    <row r="176" spans="1:7" hidden="1" x14ac:dyDescent="0.25">
      <c r="A176" s="10">
        <v>152</v>
      </c>
      <c r="B176" s="10" t="s">
        <v>22</v>
      </c>
      <c r="C176" s="10" t="s">
        <v>797</v>
      </c>
      <c r="D176" s="10" t="s">
        <v>37</v>
      </c>
      <c r="E176" s="10" t="s">
        <v>37</v>
      </c>
      <c r="F176" s="10" t="s">
        <v>801</v>
      </c>
      <c r="G176" s="10" t="str">
        <f t="shared" si="2"/>
        <v>Department Head-FAR Part 145</v>
      </c>
    </row>
    <row r="177" spans="1:7" hidden="1" x14ac:dyDescent="0.25">
      <c r="A177" s="10">
        <v>153</v>
      </c>
      <c r="B177" s="10" t="s">
        <v>22</v>
      </c>
      <c r="C177" s="10" t="s">
        <v>799</v>
      </c>
      <c r="D177" s="10" t="s">
        <v>35</v>
      </c>
      <c r="E177" s="10" t="s">
        <v>35</v>
      </c>
      <c r="F177" s="10" t="s">
        <v>788</v>
      </c>
      <c r="G177" s="10" t="str">
        <f t="shared" si="2"/>
        <v>Department Head-GMF Quality System</v>
      </c>
    </row>
    <row r="178" spans="1:7" hidden="1" x14ac:dyDescent="0.25">
      <c r="A178" s="10">
        <v>154</v>
      </c>
      <c r="B178" s="10" t="s">
        <v>22</v>
      </c>
      <c r="C178" s="10" t="s">
        <v>800</v>
      </c>
      <c r="D178" s="10" t="s">
        <v>33</v>
      </c>
      <c r="E178" s="10" t="s">
        <v>33</v>
      </c>
      <c r="F178" s="10" t="s">
        <v>801</v>
      </c>
      <c r="G178" s="10" t="str">
        <f t="shared" si="2"/>
        <v>Department Head-Human Factor</v>
      </c>
    </row>
    <row r="179" spans="1:7" hidden="1" x14ac:dyDescent="0.25">
      <c r="A179" s="10">
        <v>155</v>
      </c>
      <c r="B179" s="10" t="s">
        <v>22</v>
      </c>
      <c r="C179" s="10" t="s">
        <v>827</v>
      </c>
      <c r="D179" s="10" t="s">
        <v>188</v>
      </c>
      <c r="E179" s="10" t="s">
        <v>188</v>
      </c>
      <c r="F179" s="10" t="s">
        <v>788</v>
      </c>
      <c r="G179" s="10" t="str">
        <f t="shared" si="2"/>
        <v>Department Head-Leadership Skill Training</v>
      </c>
    </row>
    <row r="180" spans="1:7" hidden="1" x14ac:dyDescent="0.25">
      <c r="A180" s="10">
        <v>156</v>
      </c>
      <c r="B180" s="10" t="s">
        <v>22</v>
      </c>
      <c r="C180" s="10" t="s">
        <v>828</v>
      </c>
      <c r="D180" s="10" t="s">
        <v>190</v>
      </c>
      <c r="E180" s="10" t="s">
        <v>190</v>
      </c>
      <c r="F180" s="10" t="s">
        <v>788</v>
      </c>
      <c r="G180" s="10" t="str">
        <f t="shared" si="2"/>
        <v>Department Head-MRO Finance</v>
      </c>
    </row>
    <row r="181" spans="1:7" hidden="1" x14ac:dyDescent="0.25">
      <c r="A181" s="10">
        <v>157</v>
      </c>
      <c r="B181" s="10" t="s">
        <v>22</v>
      </c>
      <c r="C181" s="10" t="s">
        <v>829</v>
      </c>
      <c r="D181" s="10" t="s">
        <v>189</v>
      </c>
      <c r="E181" s="10" t="s">
        <v>189</v>
      </c>
      <c r="F181" s="10" t="s">
        <v>788</v>
      </c>
      <c r="G181" s="10" t="str">
        <f t="shared" si="2"/>
        <v>Department Head-MRO Management</v>
      </c>
    </row>
    <row r="182" spans="1:7" hidden="1" x14ac:dyDescent="0.25">
      <c r="A182" s="10">
        <v>158</v>
      </c>
      <c r="B182" s="10" t="s">
        <v>22</v>
      </c>
      <c r="C182" s="10" t="s">
        <v>802</v>
      </c>
      <c r="D182" s="10" t="s">
        <v>201</v>
      </c>
      <c r="E182" s="10" t="s">
        <v>201</v>
      </c>
      <c r="F182" s="10" t="s">
        <v>788</v>
      </c>
      <c r="G182" s="10" t="str">
        <f t="shared" si="2"/>
        <v>Department Head-Orientation Training</v>
      </c>
    </row>
    <row r="183" spans="1:7" hidden="1" x14ac:dyDescent="0.25">
      <c r="A183" s="10">
        <v>159</v>
      </c>
      <c r="B183" s="10" t="s">
        <v>22</v>
      </c>
      <c r="C183" s="10" t="s">
        <v>803</v>
      </c>
      <c r="D183" s="10" t="s">
        <v>34</v>
      </c>
      <c r="E183" s="10" t="s">
        <v>34</v>
      </c>
      <c r="F183" s="10" t="s">
        <v>801</v>
      </c>
      <c r="G183" s="10" t="str">
        <f t="shared" si="2"/>
        <v>Department Head-Safety Management System</v>
      </c>
    </row>
    <row r="184" spans="1:7" hidden="1" x14ac:dyDescent="0.25">
      <c r="B184" s="10" t="s">
        <v>22</v>
      </c>
      <c r="D184" s="10" t="s">
        <v>40</v>
      </c>
      <c r="F184" s="10" t="s">
        <v>788</v>
      </c>
      <c r="G184" s="10" t="str">
        <f>B184 &amp; "-" &amp; D184</f>
        <v>Department Head-Fuel Tank Safety</v>
      </c>
    </row>
    <row r="185" spans="1:7" hidden="1" x14ac:dyDescent="0.25">
      <c r="B185" s="10" t="s">
        <v>22</v>
      </c>
      <c r="D185" s="10" t="s">
        <v>41</v>
      </c>
      <c r="F185" s="10" t="s">
        <v>788</v>
      </c>
      <c r="G185" s="10" t="str">
        <f>B185 &amp; "-" &amp; D185</f>
        <v>Department Head-EWIS</v>
      </c>
    </row>
    <row r="186" spans="1:7" hidden="1" x14ac:dyDescent="0.25">
      <c r="B186" s="10" t="s">
        <v>22</v>
      </c>
      <c r="D186" s="10" t="s">
        <v>42</v>
      </c>
      <c r="F186" s="10" t="s">
        <v>788</v>
      </c>
      <c r="G186" s="10" t="str">
        <f>B186 &amp; "-" &amp; D186</f>
        <v>Department Head-Dangerous Good</v>
      </c>
    </row>
    <row r="187" spans="1:7" hidden="1" x14ac:dyDescent="0.25">
      <c r="A187" s="10">
        <v>160</v>
      </c>
      <c r="B187" s="10" t="s">
        <v>21</v>
      </c>
      <c r="C187" s="10" t="s">
        <v>826</v>
      </c>
      <c r="D187" s="10" t="s">
        <v>187</v>
      </c>
      <c r="E187" s="10" t="s">
        <v>187</v>
      </c>
      <c r="F187" s="10" t="s">
        <v>788</v>
      </c>
      <c r="G187" s="10" t="str">
        <f t="shared" si="2"/>
        <v>Division Head-Aviation Legislation Module 10</v>
      </c>
    </row>
    <row r="188" spans="1:7" hidden="1" x14ac:dyDescent="0.25">
      <c r="A188" s="10">
        <v>161</v>
      </c>
      <c r="B188" s="10" t="s">
        <v>21</v>
      </c>
      <c r="C188" s="10" t="s">
        <v>791</v>
      </c>
      <c r="D188" s="10" t="s">
        <v>36</v>
      </c>
      <c r="E188" s="10" t="s">
        <v>36</v>
      </c>
      <c r="F188" s="10" t="s">
        <v>801</v>
      </c>
      <c r="G188" s="10" t="str">
        <f t="shared" si="2"/>
        <v>Division Head-CASR Part 145</v>
      </c>
    </row>
    <row r="189" spans="1:7" hidden="1" x14ac:dyDescent="0.25">
      <c r="A189" s="10">
        <v>162</v>
      </c>
      <c r="B189" s="10" t="s">
        <v>21</v>
      </c>
      <c r="C189" s="10" t="s">
        <v>793</v>
      </c>
      <c r="D189" s="10" t="s">
        <v>38</v>
      </c>
      <c r="E189" s="10" t="s">
        <v>38</v>
      </c>
      <c r="F189" s="10" t="s">
        <v>801</v>
      </c>
      <c r="G189" s="10" t="str">
        <f t="shared" si="2"/>
        <v>Division Head-EASA Part 145</v>
      </c>
    </row>
    <row r="190" spans="1:7" hidden="1" x14ac:dyDescent="0.25">
      <c r="A190" s="10">
        <v>163</v>
      </c>
      <c r="B190" s="10" t="s">
        <v>21</v>
      </c>
      <c r="C190" s="10" t="s">
        <v>794</v>
      </c>
      <c r="D190" s="10" t="s">
        <v>39</v>
      </c>
      <c r="E190" s="10" t="s">
        <v>39</v>
      </c>
      <c r="F190" s="10" t="s">
        <v>801</v>
      </c>
      <c r="G190" s="10" t="str">
        <f t="shared" si="2"/>
        <v>Division Head-EASA Part M</v>
      </c>
    </row>
    <row r="191" spans="1:7" hidden="1" x14ac:dyDescent="0.25">
      <c r="A191" s="10">
        <v>164</v>
      </c>
      <c r="B191" s="10" t="s">
        <v>21</v>
      </c>
      <c r="C191" s="10" t="s">
        <v>797</v>
      </c>
      <c r="D191" s="10" t="s">
        <v>37</v>
      </c>
      <c r="E191" s="10" t="s">
        <v>37</v>
      </c>
      <c r="F191" s="10" t="s">
        <v>801</v>
      </c>
      <c r="G191" s="10" t="str">
        <f t="shared" ref="G191:G272" si="5">B191 &amp; "-" &amp; D191</f>
        <v>Division Head-FAR Part 145</v>
      </c>
    </row>
    <row r="192" spans="1:7" hidden="1" x14ac:dyDescent="0.25">
      <c r="A192" s="10">
        <v>165</v>
      </c>
      <c r="B192" s="10" t="s">
        <v>21</v>
      </c>
      <c r="C192" s="10" t="s">
        <v>799</v>
      </c>
      <c r="D192" s="10" t="s">
        <v>35</v>
      </c>
      <c r="E192" s="10" t="s">
        <v>35</v>
      </c>
      <c r="F192" s="10" t="s">
        <v>788</v>
      </c>
      <c r="G192" s="10" t="str">
        <f t="shared" si="5"/>
        <v>Division Head-GMF Quality System</v>
      </c>
    </row>
    <row r="193" spans="1:7" hidden="1" x14ac:dyDescent="0.25">
      <c r="A193" s="10">
        <v>166</v>
      </c>
      <c r="B193" s="10" t="s">
        <v>21</v>
      </c>
      <c r="C193" s="10" t="s">
        <v>800</v>
      </c>
      <c r="D193" s="10" t="s">
        <v>33</v>
      </c>
      <c r="E193" s="10" t="s">
        <v>33</v>
      </c>
      <c r="F193" s="10" t="s">
        <v>801</v>
      </c>
      <c r="G193" s="10" t="str">
        <f t="shared" si="5"/>
        <v>Division Head-Human Factor</v>
      </c>
    </row>
    <row r="194" spans="1:7" hidden="1" x14ac:dyDescent="0.25">
      <c r="A194" s="10">
        <v>167</v>
      </c>
      <c r="B194" s="10" t="s">
        <v>21</v>
      </c>
      <c r="C194" s="10" t="s">
        <v>827</v>
      </c>
      <c r="D194" s="10" t="s">
        <v>188</v>
      </c>
      <c r="E194" s="10" t="s">
        <v>188</v>
      </c>
      <c r="F194" s="10" t="s">
        <v>788</v>
      </c>
      <c r="G194" s="10" t="str">
        <f t="shared" si="5"/>
        <v>Division Head-Leadership Skill Training</v>
      </c>
    </row>
    <row r="195" spans="1:7" hidden="1" x14ac:dyDescent="0.25">
      <c r="A195" s="10">
        <v>168</v>
      </c>
      <c r="B195" s="10" t="s">
        <v>21</v>
      </c>
      <c r="C195" s="10" t="s">
        <v>802</v>
      </c>
      <c r="D195" s="10" t="s">
        <v>201</v>
      </c>
      <c r="E195" s="10" t="s">
        <v>201</v>
      </c>
      <c r="F195" s="10" t="s">
        <v>788</v>
      </c>
      <c r="G195" s="10" t="str">
        <f t="shared" si="5"/>
        <v>Division Head-Orientation Training</v>
      </c>
    </row>
    <row r="196" spans="1:7" hidden="1" x14ac:dyDescent="0.25">
      <c r="A196" s="10">
        <v>169</v>
      </c>
      <c r="B196" s="10" t="s">
        <v>21</v>
      </c>
      <c r="C196" s="10" t="s">
        <v>803</v>
      </c>
      <c r="D196" s="10" t="s">
        <v>34</v>
      </c>
      <c r="E196" s="10" t="s">
        <v>34</v>
      </c>
      <c r="F196" s="10" t="s">
        <v>801</v>
      </c>
      <c r="G196" s="10" t="str">
        <f t="shared" si="5"/>
        <v>Division Head-Safety Management System</v>
      </c>
    </row>
    <row r="197" spans="1:7" hidden="1" x14ac:dyDescent="0.25">
      <c r="B197" s="10" t="s">
        <v>21</v>
      </c>
      <c r="D197" s="10" t="s">
        <v>40</v>
      </c>
      <c r="F197" s="10" t="s">
        <v>788</v>
      </c>
      <c r="G197" s="10" t="str">
        <f>B197 &amp; "-" &amp; D197</f>
        <v>Division Head-Fuel Tank Safety</v>
      </c>
    </row>
    <row r="198" spans="1:7" hidden="1" x14ac:dyDescent="0.25">
      <c r="B198" s="10" t="s">
        <v>21</v>
      </c>
      <c r="D198" s="10" t="s">
        <v>41</v>
      </c>
      <c r="F198" s="10" t="s">
        <v>788</v>
      </c>
      <c r="G198" s="10" t="str">
        <f>B198 &amp; "-" &amp; D198</f>
        <v>Division Head-EWIS</v>
      </c>
    </row>
    <row r="199" spans="1:7" hidden="1" x14ac:dyDescent="0.25">
      <c r="B199" s="10" t="s">
        <v>21</v>
      </c>
      <c r="D199" s="10" t="s">
        <v>42</v>
      </c>
      <c r="F199" s="10" t="s">
        <v>788</v>
      </c>
      <c r="G199" s="10" t="str">
        <f>B199 &amp; "-" &amp; D199</f>
        <v>Division Head-Dangerous Good</v>
      </c>
    </row>
    <row r="200" spans="1:7" hidden="1" x14ac:dyDescent="0.25">
      <c r="A200" s="10">
        <v>170</v>
      </c>
      <c r="B200" s="10" t="s">
        <v>19</v>
      </c>
      <c r="D200" s="10" t="s">
        <v>33</v>
      </c>
      <c r="E200" s="10" t="s">
        <v>33</v>
      </c>
      <c r="F200" s="10" t="s">
        <v>801</v>
      </c>
      <c r="G200" s="10" t="str">
        <f t="shared" si="5"/>
        <v>Group Head-Human Factor</v>
      </c>
    </row>
    <row r="201" spans="1:7" hidden="1" x14ac:dyDescent="0.25">
      <c r="A201" s="10">
        <v>171</v>
      </c>
      <c r="B201" s="10" t="s">
        <v>19</v>
      </c>
      <c r="D201" s="10" t="s">
        <v>34</v>
      </c>
      <c r="E201" s="10" t="s">
        <v>34</v>
      </c>
      <c r="F201" s="10" t="s">
        <v>801</v>
      </c>
      <c r="G201" s="10" t="str">
        <f t="shared" si="5"/>
        <v>Group Head-Safety Management System</v>
      </c>
    </row>
    <row r="202" spans="1:7" hidden="1" x14ac:dyDescent="0.25">
      <c r="B202" s="10" t="s">
        <v>19</v>
      </c>
      <c r="D202" s="10" t="s">
        <v>35</v>
      </c>
      <c r="F202" s="10" t="s">
        <v>788</v>
      </c>
      <c r="G202" s="10" t="str">
        <f t="shared" ref="G202:G209" si="6">B202 &amp; "-" &amp; D202</f>
        <v>Group Head-GMF Quality System</v>
      </c>
    </row>
    <row r="203" spans="1:7" hidden="1" x14ac:dyDescent="0.25">
      <c r="B203" s="10" t="s">
        <v>19</v>
      </c>
      <c r="D203" s="10" t="s">
        <v>36</v>
      </c>
      <c r="F203" s="10" t="s">
        <v>788</v>
      </c>
      <c r="G203" s="10" t="str">
        <f t="shared" si="6"/>
        <v>Group Head-CASR Part 145</v>
      </c>
    </row>
    <row r="204" spans="1:7" hidden="1" x14ac:dyDescent="0.25">
      <c r="B204" s="10" t="s">
        <v>19</v>
      </c>
      <c r="D204" s="10" t="s">
        <v>38</v>
      </c>
      <c r="F204" s="10" t="s">
        <v>788</v>
      </c>
      <c r="G204" s="10" t="str">
        <f t="shared" si="6"/>
        <v>Group Head-EASA Part 145</v>
      </c>
    </row>
    <row r="205" spans="1:7" hidden="1" x14ac:dyDescent="0.25">
      <c r="B205" s="10" t="s">
        <v>19</v>
      </c>
      <c r="D205" s="10" t="s">
        <v>39</v>
      </c>
      <c r="F205" s="10" t="s">
        <v>788</v>
      </c>
      <c r="G205" s="10" t="str">
        <f t="shared" si="6"/>
        <v>Group Head-EASA Part M</v>
      </c>
    </row>
    <row r="206" spans="1:7" hidden="1" x14ac:dyDescent="0.25">
      <c r="B206" s="10" t="s">
        <v>19</v>
      </c>
      <c r="D206" s="10" t="s">
        <v>37</v>
      </c>
      <c r="F206" s="10" t="s">
        <v>788</v>
      </c>
      <c r="G206" s="10" t="str">
        <f t="shared" si="6"/>
        <v>Group Head-FAR Part 145</v>
      </c>
    </row>
    <row r="207" spans="1:7" hidden="1" x14ac:dyDescent="0.25">
      <c r="B207" s="10" t="s">
        <v>19</v>
      </c>
      <c r="D207" s="10" t="s">
        <v>40</v>
      </c>
      <c r="F207" s="10" t="s">
        <v>788</v>
      </c>
      <c r="G207" s="10" t="str">
        <f t="shared" si="6"/>
        <v>Group Head-Fuel Tank Safety</v>
      </c>
    </row>
    <row r="208" spans="1:7" hidden="1" x14ac:dyDescent="0.25">
      <c r="B208" s="10" t="s">
        <v>19</v>
      </c>
      <c r="D208" s="10" t="s">
        <v>41</v>
      </c>
      <c r="F208" s="10" t="s">
        <v>788</v>
      </c>
      <c r="G208" s="10" t="str">
        <f t="shared" si="6"/>
        <v>Group Head-EWIS</v>
      </c>
    </row>
    <row r="209" spans="1:7" hidden="1" x14ac:dyDescent="0.25">
      <c r="B209" s="10" t="s">
        <v>19</v>
      </c>
      <c r="D209" s="10" t="s">
        <v>42</v>
      </c>
      <c r="F209" s="10" t="s">
        <v>788</v>
      </c>
      <c r="G209" s="10" t="str">
        <f t="shared" si="6"/>
        <v>Group Head-Dangerous Good</v>
      </c>
    </row>
    <row r="210" spans="1:7" hidden="1" x14ac:dyDescent="0.25">
      <c r="A210" s="10">
        <v>172</v>
      </c>
      <c r="B210" s="10" t="s">
        <v>830</v>
      </c>
      <c r="C210" s="10" t="s">
        <v>790</v>
      </c>
      <c r="D210" s="10" t="s">
        <v>174</v>
      </c>
      <c r="E210" s="10" t="s">
        <v>174</v>
      </c>
      <c r="F210" s="10" t="s">
        <v>788</v>
      </c>
      <c r="G210" s="10" t="str">
        <f t="shared" si="5"/>
        <v>Senior Aircraft Cabin Controller-Basic Inspection</v>
      </c>
    </row>
    <row r="211" spans="1:7" hidden="1" x14ac:dyDescent="0.25">
      <c r="A211" s="10">
        <v>174</v>
      </c>
      <c r="B211" s="10" t="s">
        <v>830</v>
      </c>
      <c r="C211" s="10" t="s">
        <v>791</v>
      </c>
      <c r="D211" s="10" t="s">
        <v>36</v>
      </c>
      <c r="E211" s="10" t="s">
        <v>36</v>
      </c>
      <c r="F211" s="10" t="s">
        <v>788</v>
      </c>
      <c r="G211" s="10" t="str">
        <f t="shared" si="5"/>
        <v>Senior Aircraft Cabin Controller-CASR Part 145</v>
      </c>
    </row>
    <row r="212" spans="1:7" hidden="1" x14ac:dyDescent="0.25">
      <c r="A212" s="10">
        <v>175</v>
      </c>
      <c r="B212" s="10" t="s">
        <v>830</v>
      </c>
      <c r="C212" s="10" t="s">
        <v>792</v>
      </c>
      <c r="D212" s="10" t="s">
        <v>42</v>
      </c>
      <c r="E212" s="10" t="s">
        <v>42</v>
      </c>
      <c r="F212" s="10" t="s">
        <v>788</v>
      </c>
      <c r="G212" s="10" t="str">
        <f t="shared" si="5"/>
        <v>Senior Aircraft Cabin Controller-Dangerous Good</v>
      </c>
    </row>
    <row r="213" spans="1:7" hidden="1" x14ac:dyDescent="0.25">
      <c r="A213" s="10">
        <v>176</v>
      </c>
      <c r="B213" s="10" t="s">
        <v>830</v>
      </c>
      <c r="C213" s="10" t="s">
        <v>793</v>
      </c>
      <c r="D213" s="10" t="s">
        <v>38</v>
      </c>
      <c r="E213" s="10" t="s">
        <v>38</v>
      </c>
      <c r="F213" s="10" t="s">
        <v>788</v>
      </c>
      <c r="G213" s="10" t="str">
        <f t="shared" si="5"/>
        <v>Senior Aircraft Cabin Controller-EASA Part 145</v>
      </c>
    </row>
    <row r="214" spans="1:7" hidden="1" x14ac:dyDescent="0.25">
      <c r="A214" s="10">
        <v>177</v>
      </c>
      <c r="B214" s="10" t="s">
        <v>830</v>
      </c>
      <c r="C214" s="10" t="s">
        <v>794</v>
      </c>
      <c r="D214" s="10" t="s">
        <v>39</v>
      </c>
      <c r="E214" s="10" t="s">
        <v>39</v>
      </c>
      <c r="F214" s="10" t="s">
        <v>788</v>
      </c>
      <c r="G214" s="10" t="str">
        <f t="shared" si="5"/>
        <v>Senior Aircraft Cabin Controller-EASA Part M</v>
      </c>
    </row>
    <row r="215" spans="1:7" hidden="1" x14ac:dyDescent="0.25">
      <c r="A215" s="10">
        <v>178</v>
      </c>
      <c r="B215" s="10" t="s">
        <v>830</v>
      </c>
      <c r="C215" s="10" t="s">
        <v>796</v>
      </c>
      <c r="D215" s="10" t="s">
        <v>41</v>
      </c>
      <c r="E215" s="10" t="s">
        <v>41</v>
      </c>
      <c r="F215" s="10" t="s">
        <v>788</v>
      </c>
      <c r="G215" s="10" t="str">
        <f t="shared" si="5"/>
        <v>Senior Aircraft Cabin Controller-EWIS</v>
      </c>
    </row>
    <row r="216" spans="1:7" hidden="1" x14ac:dyDescent="0.25">
      <c r="A216" s="10">
        <v>179</v>
      </c>
      <c r="B216" s="10" t="s">
        <v>830</v>
      </c>
      <c r="C216" s="10" t="s">
        <v>797</v>
      </c>
      <c r="D216" s="10" t="s">
        <v>37</v>
      </c>
      <c r="E216" s="10" t="s">
        <v>37</v>
      </c>
      <c r="F216" s="10" t="s">
        <v>788</v>
      </c>
      <c r="G216" s="10" t="str">
        <f t="shared" si="5"/>
        <v>Senior Aircraft Cabin Controller-FAR Part 145</v>
      </c>
    </row>
    <row r="217" spans="1:7" hidden="1" x14ac:dyDescent="0.25">
      <c r="A217" s="10">
        <v>180</v>
      </c>
      <c r="B217" s="10" t="s">
        <v>830</v>
      </c>
      <c r="C217" s="10" t="s">
        <v>798</v>
      </c>
      <c r="D217" s="10" t="s">
        <v>40</v>
      </c>
      <c r="E217" s="10" t="s">
        <v>40</v>
      </c>
      <c r="F217" s="10" t="s">
        <v>788</v>
      </c>
      <c r="G217" s="10" t="str">
        <f t="shared" si="5"/>
        <v>Senior Aircraft Cabin Controller-Fuel Tank Safety</v>
      </c>
    </row>
    <row r="218" spans="1:7" hidden="1" x14ac:dyDescent="0.25">
      <c r="A218" s="10">
        <v>181</v>
      </c>
      <c r="B218" s="10" t="s">
        <v>830</v>
      </c>
      <c r="C218" s="10" t="s">
        <v>799</v>
      </c>
      <c r="D218" s="10" t="s">
        <v>35</v>
      </c>
      <c r="E218" s="10" t="s">
        <v>35</v>
      </c>
      <c r="F218" s="10" t="s">
        <v>788</v>
      </c>
      <c r="G218" s="10" t="str">
        <f t="shared" si="5"/>
        <v>Senior Aircraft Cabin Controller-GMF Quality System</v>
      </c>
    </row>
    <row r="219" spans="1:7" hidden="1" x14ac:dyDescent="0.25">
      <c r="A219" s="10">
        <v>182</v>
      </c>
      <c r="B219" s="10" t="s">
        <v>830</v>
      </c>
      <c r="C219" s="10" t="s">
        <v>800</v>
      </c>
      <c r="D219" s="10" t="s">
        <v>33</v>
      </c>
      <c r="E219" s="10" t="s">
        <v>33</v>
      </c>
      <c r="F219" s="10" t="s">
        <v>801</v>
      </c>
      <c r="G219" s="10" t="str">
        <f t="shared" si="5"/>
        <v>Senior Aircraft Cabin Controller-Human Factor</v>
      </c>
    </row>
    <row r="220" spans="1:7" hidden="1" x14ac:dyDescent="0.25">
      <c r="A220" s="10">
        <v>183</v>
      </c>
      <c r="B220" s="10" t="s">
        <v>830</v>
      </c>
      <c r="C220" s="10" t="s">
        <v>802</v>
      </c>
      <c r="D220" s="10" t="s">
        <v>201</v>
      </c>
      <c r="E220" s="10" t="s">
        <v>201</v>
      </c>
      <c r="F220" s="10" t="s">
        <v>788</v>
      </c>
      <c r="G220" s="10" t="str">
        <f t="shared" si="5"/>
        <v>Senior Aircraft Cabin Controller-Orientation Training</v>
      </c>
    </row>
    <row r="221" spans="1:7" hidden="1" x14ac:dyDescent="0.25">
      <c r="A221" s="10">
        <v>184</v>
      </c>
      <c r="B221" s="10" t="s">
        <v>830</v>
      </c>
      <c r="C221" s="10" t="s">
        <v>831</v>
      </c>
      <c r="D221" s="10" t="s">
        <v>191</v>
      </c>
      <c r="E221" s="10" t="s">
        <v>191</v>
      </c>
      <c r="F221" s="10" t="s">
        <v>788</v>
      </c>
      <c r="G221" s="10" t="str">
        <f t="shared" si="5"/>
        <v>Senior Aircraft Cabin Controller-Project Management basic</v>
      </c>
    </row>
    <row r="222" spans="1:7" hidden="1" x14ac:dyDescent="0.25">
      <c r="A222" s="10">
        <v>185</v>
      </c>
      <c r="B222" s="10" t="s">
        <v>830</v>
      </c>
      <c r="C222" s="10" t="s">
        <v>803</v>
      </c>
      <c r="D222" s="10" t="s">
        <v>34</v>
      </c>
      <c r="E222" s="10" t="s">
        <v>34</v>
      </c>
      <c r="F222" s="10" t="s">
        <v>801</v>
      </c>
      <c r="G222" s="10" t="str">
        <f t="shared" si="5"/>
        <v>Senior Aircraft Cabin Controller-Safety Management System</v>
      </c>
    </row>
    <row r="223" spans="1:7" hidden="1" x14ac:dyDescent="0.25">
      <c r="A223" s="10">
        <v>186</v>
      </c>
      <c r="B223" s="10" t="s">
        <v>832</v>
      </c>
      <c r="C223" s="10" t="s">
        <v>790</v>
      </c>
      <c r="D223" s="10" t="s">
        <v>174</v>
      </c>
      <c r="E223" s="10" t="s">
        <v>174</v>
      </c>
      <c r="F223" s="10" t="s">
        <v>788</v>
      </c>
      <c r="G223" s="10" t="str">
        <f t="shared" si="5"/>
        <v>Senior Aircraft Cabin Engineer-Basic Inspection</v>
      </c>
    </row>
    <row r="224" spans="1:7" hidden="1" x14ac:dyDescent="0.25">
      <c r="A224" s="10">
        <v>187</v>
      </c>
      <c r="B224" s="10" t="s">
        <v>832</v>
      </c>
      <c r="C224" s="10" t="s">
        <v>806</v>
      </c>
      <c r="D224" s="10" t="s">
        <v>175</v>
      </c>
      <c r="E224" s="10" t="s">
        <v>175</v>
      </c>
      <c r="F224" s="10" t="s">
        <v>788</v>
      </c>
      <c r="G224" s="10" t="str">
        <f t="shared" si="5"/>
        <v>Senior Aircraft Cabin Engineer-Basic Supervisory Training</v>
      </c>
    </row>
    <row r="225" spans="1:7" hidden="1" x14ac:dyDescent="0.25">
      <c r="A225" s="10">
        <v>188</v>
      </c>
      <c r="B225" s="10" t="s">
        <v>832</v>
      </c>
      <c r="C225" s="10" t="s">
        <v>791</v>
      </c>
      <c r="D225" s="10" t="s">
        <v>36</v>
      </c>
      <c r="E225" s="10" t="s">
        <v>36</v>
      </c>
      <c r="F225" s="10" t="s">
        <v>801</v>
      </c>
      <c r="G225" s="10" t="str">
        <f t="shared" si="5"/>
        <v>Senior Aircraft Cabin Engineer-CASR Part 145</v>
      </c>
    </row>
    <row r="226" spans="1:7" hidden="1" x14ac:dyDescent="0.25">
      <c r="A226" s="10">
        <v>189</v>
      </c>
      <c r="B226" s="10" t="s">
        <v>832</v>
      </c>
      <c r="C226" s="10" t="s">
        <v>792</v>
      </c>
      <c r="D226" s="10" t="s">
        <v>42</v>
      </c>
      <c r="E226" s="10" t="s">
        <v>42</v>
      </c>
      <c r="F226" s="10" t="s">
        <v>788</v>
      </c>
      <c r="G226" s="10" t="str">
        <f t="shared" si="5"/>
        <v>Senior Aircraft Cabin Engineer-Dangerous Good</v>
      </c>
    </row>
    <row r="227" spans="1:7" hidden="1" x14ac:dyDescent="0.25">
      <c r="A227" s="10">
        <v>190</v>
      </c>
      <c r="B227" s="10" t="s">
        <v>832</v>
      </c>
      <c r="C227" s="10" t="s">
        <v>793</v>
      </c>
      <c r="D227" s="10" t="s">
        <v>38</v>
      </c>
      <c r="E227" s="10" t="s">
        <v>38</v>
      </c>
      <c r="F227" s="10" t="s">
        <v>801</v>
      </c>
      <c r="G227" s="10" t="str">
        <f t="shared" si="5"/>
        <v>Senior Aircraft Cabin Engineer-EASA Part 145</v>
      </c>
    </row>
    <row r="228" spans="1:7" hidden="1" x14ac:dyDescent="0.25">
      <c r="A228" s="10">
        <v>191</v>
      </c>
      <c r="B228" s="10" t="s">
        <v>832</v>
      </c>
      <c r="C228" s="10" t="s">
        <v>794</v>
      </c>
      <c r="D228" s="10" t="s">
        <v>39</v>
      </c>
      <c r="E228" s="10" t="s">
        <v>39</v>
      </c>
      <c r="F228" s="10" t="s">
        <v>801</v>
      </c>
      <c r="G228" s="10" t="str">
        <f t="shared" si="5"/>
        <v>Senior Aircraft Cabin Engineer-EASA Part M</v>
      </c>
    </row>
    <row r="229" spans="1:7" hidden="1" x14ac:dyDescent="0.25">
      <c r="A229" s="10">
        <v>192</v>
      </c>
      <c r="B229" s="10" t="s">
        <v>832</v>
      </c>
      <c r="C229" s="10" t="s">
        <v>796</v>
      </c>
      <c r="D229" s="10" t="s">
        <v>41</v>
      </c>
      <c r="E229" s="10" t="s">
        <v>41</v>
      </c>
      <c r="F229" s="10" t="s">
        <v>801</v>
      </c>
      <c r="G229" s="10" t="str">
        <f t="shared" si="5"/>
        <v>Senior Aircraft Cabin Engineer-EWIS</v>
      </c>
    </row>
    <row r="230" spans="1:7" hidden="1" x14ac:dyDescent="0.25">
      <c r="A230" s="10">
        <v>193</v>
      </c>
      <c r="B230" s="10" t="s">
        <v>832</v>
      </c>
      <c r="C230" s="10" t="s">
        <v>797</v>
      </c>
      <c r="D230" s="10" t="s">
        <v>37</v>
      </c>
      <c r="E230" s="10" t="s">
        <v>37</v>
      </c>
      <c r="F230" s="10" t="s">
        <v>801</v>
      </c>
      <c r="G230" s="10" t="str">
        <f t="shared" si="5"/>
        <v>Senior Aircraft Cabin Engineer-FAR Part 145</v>
      </c>
    </row>
    <row r="231" spans="1:7" hidden="1" x14ac:dyDescent="0.25">
      <c r="A231" s="10">
        <v>194</v>
      </c>
      <c r="B231" s="10" t="s">
        <v>832</v>
      </c>
      <c r="C231" s="10" t="s">
        <v>798</v>
      </c>
      <c r="D231" s="10" t="s">
        <v>40</v>
      </c>
      <c r="E231" s="10" t="s">
        <v>40</v>
      </c>
      <c r="F231" s="10" t="s">
        <v>801</v>
      </c>
      <c r="G231" s="10" t="str">
        <f t="shared" si="5"/>
        <v>Senior Aircraft Cabin Engineer-Fuel Tank Safety</v>
      </c>
    </row>
    <row r="232" spans="1:7" hidden="1" x14ac:dyDescent="0.25">
      <c r="A232" s="10">
        <v>195</v>
      </c>
      <c r="B232" s="10" t="s">
        <v>832</v>
      </c>
      <c r="C232" s="10" t="s">
        <v>807</v>
      </c>
      <c r="D232" s="10" t="s">
        <v>177</v>
      </c>
      <c r="E232" s="10" t="s">
        <v>177</v>
      </c>
      <c r="F232" s="10" t="s">
        <v>788</v>
      </c>
      <c r="G232" s="10" t="str">
        <f t="shared" si="5"/>
        <v>Senior Aircraft Cabin Engineer-Fundamental Troubleshooting</v>
      </c>
    </row>
    <row r="233" spans="1:7" hidden="1" x14ac:dyDescent="0.25">
      <c r="A233" s="10">
        <v>196</v>
      </c>
      <c r="B233" s="10" t="s">
        <v>832</v>
      </c>
      <c r="C233" s="10" t="s">
        <v>799</v>
      </c>
      <c r="D233" s="10" t="s">
        <v>35</v>
      </c>
      <c r="E233" s="10" t="s">
        <v>35</v>
      </c>
      <c r="F233" s="10" t="s">
        <v>801</v>
      </c>
      <c r="G233" s="10" t="str">
        <f t="shared" si="5"/>
        <v>Senior Aircraft Cabin Engineer-GMF Quality System</v>
      </c>
    </row>
    <row r="234" spans="1:7" hidden="1" x14ac:dyDescent="0.25">
      <c r="A234" s="10">
        <v>197</v>
      </c>
      <c r="B234" s="10" t="s">
        <v>832</v>
      </c>
      <c r="C234" s="10" t="s">
        <v>800</v>
      </c>
      <c r="D234" s="10" t="s">
        <v>33</v>
      </c>
      <c r="E234" s="10" t="s">
        <v>33</v>
      </c>
      <c r="F234" s="10" t="s">
        <v>801</v>
      </c>
      <c r="G234" s="10" t="str">
        <f t="shared" si="5"/>
        <v>Senior Aircraft Cabin Engineer-Human Factor</v>
      </c>
    </row>
    <row r="235" spans="1:7" hidden="1" x14ac:dyDescent="0.25">
      <c r="A235" s="10">
        <v>198</v>
      </c>
      <c r="B235" s="10" t="s">
        <v>832</v>
      </c>
      <c r="C235" s="10" t="s">
        <v>802</v>
      </c>
      <c r="D235" s="10" t="s">
        <v>201</v>
      </c>
      <c r="E235" s="10" t="s">
        <v>201</v>
      </c>
      <c r="F235" s="10" t="s">
        <v>788</v>
      </c>
      <c r="G235" s="10" t="str">
        <f t="shared" si="5"/>
        <v>Senior Aircraft Cabin Engineer-Orientation Training</v>
      </c>
    </row>
    <row r="236" spans="1:7" hidden="1" x14ac:dyDescent="0.25">
      <c r="A236" s="10">
        <v>199</v>
      </c>
      <c r="B236" s="10" t="s">
        <v>832</v>
      </c>
      <c r="C236" s="10" t="s">
        <v>803</v>
      </c>
      <c r="D236" s="10" t="s">
        <v>34</v>
      </c>
      <c r="E236" s="10" t="s">
        <v>34</v>
      </c>
      <c r="F236" s="10" t="s">
        <v>801</v>
      </c>
      <c r="G236" s="10" t="str">
        <f t="shared" si="5"/>
        <v>Senior Aircraft Cabin Engineer-Safety Management System</v>
      </c>
    </row>
    <row r="237" spans="1:7" hidden="1" x14ac:dyDescent="0.25">
      <c r="A237" s="10">
        <v>200</v>
      </c>
      <c r="B237" s="10" t="s">
        <v>832</v>
      </c>
      <c r="C237" s="10" t="s">
        <v>808</v>
      </c>
      <c r="D237" s="10" t="s">
        <v>199</v>
      </c>
      <c r="E237" s="10" t="s">
        <v>199</v>
      </c>
      <c r="F237" s="10" t="s">
        <v>788</v>
      </c>
      <c r="G237" s="10" t="str">
        <f t="shared" si="5"/>
        <v>Senior Aircraft Cabin Engineer-SWIFT Training</v>
      </c>
    </row>
    <row r="238" spans="1:7" x14ac:dyDescent="0.25">
      <c r="A238" s="10">
        <v>201</v>
      </c>
      <c r="B238" s="10" t="s">
        <v>833</v>
      </c>
      <c r="C238" s="10" t="s">
        <v>790</v>
      </c>
      <c r="D238" s="10" t="s">
        <v>174</v>
      </c>
      <c r="E238" s="10" t="s">
        <v>174</v>
      </c>
      <c r="F238" s="10" t="s">
        <v>788</v>
      </c>
      <c r="G238" s="10" t="str">
        <f t="shared" si="5"/>
        <v>Senior Aircraft Cabin Technician-Basic Inspection</v>
      </c>
    </row>
    <row r="239" spans="1:7" x14ac:dyDescent="0.25">
      <c r="A239" s="10">
        <v>202</v>
      </c>
      <c r="B239" s="10" t="s">
        <v>833</v>
      </c>
      <c r="C239" s="10" t="s">
        <v>791</v>
      </c>
      <c r="D239" s="10" t="s">
        <v>36</v>
      </c>
      <c r="E239" s="10" t="s">
        <v>36</v>
      </c>
      <c r="F239" s="10" t="s">
        <v>801</v>
      </c>
      <c r="G239" s="10" t="str">
        <f t="shared" si="5"/>
        <v>Senior Aircraft Cabin Technician-CASR Part 145</v>
      </c>
    </row>
    <row r="240" spans="1:7" x14ac:dyDescent="0.25">
      <c r="A240" s="10">
        <v>203</v>
      </c>
      <c r="B240" s="10" t="s">
        <v>833</v>
      </c>
      <c r="C240" s="10" t="s">
        <v>792</v>
      </c>
      <c r="D240" s="10" t="s">
        <v>42</v>
      </c>
      <c r="E240" s="10" t="s">
        <v>42</v>
      </c>
      <c r="F240" s="10" t="s">
        <v>788</v>
      </c>
      <c r="G240" s="10" t="str">
        <f t="shared" si="5"/>
        <v>Senior Aircraft Cabin Technician-Dangerous Good</v>
      </c>
    </row>
    <row r="241" spans="1:7" x14ac:dyDescent="0.25">
      <c r="A241" s="10">
        <v>204</v>
      </c>
      <c r="B241" s="10" t="s">
        <v>833</v>
      </c>
      <c r="C241" s="10" t="s">
        <v>793</v>
      </c>
      <c r="D241" s="10" t="s">
        <v>38</v>
      </c>
      <c r="E241" s="10" t="s">
        <v>38</v>
      </c>
      <c r="F241" s="10" t="s">
        <v>801</v>
      </c>
      <c r="G241" s="10" t="str">
        <f t="shared" si="5"/>
        <v>Senior Aircraft Cabin Technician-EASA Part 145</v>
      </c>
    </row>
    <row r="242" spans="1:7" x14ac:dyDescent="0.25">
      <c r="A242" s="10">
        <v>205</v>
      </c>
      <c r="B242" s="10" t="s">
        <v>833</v>
      </c>
      <c r="C242" s="10" t="s">
        <v>794</v>
      </c>
      <c r="D242" s="10" t="s">
        <v>39</v>
      </c>
      <c r="E242" s="10" t="s">
        <v>39</v>
      </c>
      <c r="F242" s="10" t="s">
        <v>801</v>
      </c>
      <c r="G242" s="10" t="str">
        <f t="shared" si="5"/>
        <v>Senior Aircraft Cabin Technician-EASA Part M</v>
      </c>
    </row>
    <row r="243" spans="1:7" x14ac:dyDescent="0.25">
      <c r="A243" s="10">
        <v>206</v>
      </c>
      <c r="B243" s="10" t="s">
        <v>833</v>
      </c>
      <c r="C243" s="10" t="s">
        <v>796</v>
      </c>
      <c r="D243" s="10" t="s">
        <v>41</v>
      </c>
      <c r="E243" s="10" t="s">
        <v>41</v>
      </c>
      <c r="F243" s="10" t="s">
        <v>801</v>
      </c>
      <c r="G243" s="10" t="str">
        <f t="shared" si="5"/>
        <v>Senior Aircraft Cabin Technician-EWIS</v>
      </c>
    </row>
    <row r="244" spans="1:7" x14ac:dyDescent="0.25">
      <c r="A244" s="10">
        <v>207</v>
      </c>
      <c r="B244" s="10" t="s">
        <v>833</v>
      </c>
      <c r="C244" s="10" t="s">
        <v>797</v>
      </c>
      <c r="D244" s="10" t="s">
        <v>37</v>
      </c>
      <c r="E244" s="10" t="s">
        <v>37</v>
      </c>
      <c r="F244" s="10" t="s">
        <v>801</v>
      </c>
      <c r="G244" s="10" t="str">
        <f t="shared" si="5"/>
        <v>Senior Aircraft Cabin Technician-FAR Part 145</v>
      </c>
    </row>
    <row r="245" spans="1:7" x14ac:dyDescent="0.25">
      <c r="A245" s="10">
        <v>208</v>
      </c>
      <c r="B245" s="10" t="s">
        <v>833</v>
      </c>
      <c r="C245" s="10" t="s">
        <v>798</v>
      </c>
      <c r="D245" s="10" t="s">
        <v>40</v>
      </c>
      <c r="E245" s="10" t="s">
        <v>40</v>
      </c>
      <c r="F245" s="10" t="s">
        <v>801</v>
      </c>
      <c r="G245" s="10" t="str">
        <f t="shared" si="5"/>
        <v>Senior Aircraft Cabin Technician-Fuel Tank Safety</v>
      </c>
    </row>
    <row r="246" spans="1:7" x14ac:dyDescent="0.25">
      <c r="A246" s="10">
        <v>209</v>
      </c>
      <c r="B246" s="10" t="s">
        <v>833</v>
      </c>
      <c r="C246" s="10" t="s">
        <v>799</v>
      </c>
      <c r="D246" s="10" t="s">
        <v>35</v>
      </c>
      <c r="E246" s="10" t="s">
        <v>35</v>
      </c>
      <c r="F246" s="10" t="s">
        <v>801</v>
      </c>
      <c r="G246" s="10" t="str">
        <f t="shared" si="5"/>
        <v>Senior Aircraft Cabin Technician-GMF Quality System</v>
      </c>
    </row>
    <row r="247" spans="1:7" x14ac:dyDescent="0.25">
      <c r="A247" s="10">
        <v>210</v>
      </c>
      <c r="B247" s="10" t="s">
        <v>833</v>
      </c>
      <c r="C247" s="10" t="s">
        <v>800</v>
      </c>
      <c r="D247" s="10" t="s">
        <v>33</v>
      </c>
      <c r="E247" s="10" t="s">
        <v>33</v>
      </c>
      <c r="F247" s="10" t="s">
        <v>801</v>
      </c>
      <c r="G247" s="10" t="str">
        <f t="shared" si="5"/>
        <v>Senior Aircraft Cabin Technician-Human Factor</v>
      </c>
    </row>
    <row r="248" spans="1:7" x14ac:dyDescent="0.25">
      <c r="A248" s="10">
        <v>211</v>
      </c>
      <c r="B248" s="10" t="s">
        <v>833</v>
      </c>
      <c r="C248" s="10" t="s">
        <v>802</v>
      </c>
      <c r="D248" s="10" t="s">
        <v>201</v>
      </c>
      <c r="E248" s="10" t="s">
        <v>201</v>
      </c>
      <c r="F248" s="10" t="s">
        <v>788</v>
      </c>
      <c r="G248" s="10" t="str">
        <f t="shared" si="5"/>
        <v>Senior Aircraft Cabin Technician-Orientation Training</v>
      </c>
    </row>
    <row r="249" spans="1:7" x14ac:dyDescent="0.25">
      <c r="A249" s="10">
        <v>212</v>
      </c>
      <c r="B249" s="10" t="s">
        <v>833</v>
      </c>
      <c r="C249" s="10" t="s">
        <v>803</v>
      </c>
      <c r="D249" s="10" t="s">
        <v>34</v>
      </c>
      <c r="E249" s="10" t="s">
        <v>34</v>
      </c>
      <c r="F249" s="10" t="s">
        <v>801</v>
      </c>
      <c r="G249" s="10" t="str">
        <f t="shared" si="5"/>
        <v>Senior Aircraft Cabin Technician-Safety Management System</v>
      </c>
    </row>
    <row r="250" spans="1:7" x14ac:dyDescent="0.25">
      <c r="A250" s="10">
        <v>213</v>
      </c>
      <c r="B250" s="10" t="s">
        <v>833</v>
      </c>
      <c r="C250" s="10" t="s">
        <v>808</v>
      </c>
      <c r="D250" s="10" t="s">
        <v>199</v>
      </c>
      <c r="E250" s="10" t="s">
        <v>199</v>
      </c>
      <c r="F250" s="10" t="s">
        <v>788</v>
      </c>
      <c r="G250" s="10" t="str">
        <f t="shared" si="5"/>
        <v>Senior Aircraft Cabin Technician-SWIFT Training</v>
      </c>
    </row>
    <row r="251" spans="1:7" hidden="1" x14ac:dyDescent="0.25">
      <c r="A251" s="10">
        <v>214</v>
      </c>
      <c r="B251" s="10" t="s">
        <v>834</v>
      </c>
      <c r="C251" s="10" t="s">
        <v>790</v>
      </c>
      <c r="D251" s="10" t="s">
        <v>174</v>
      </c>
      <c r="E251" s="10" t="s">
        <v>174</v>
      </c>
      <c r="F251" s="10" t="s">
        <v>788</v>
      </c>
      <c r="G251" s="10" t="str">
        <f t="shared" si="5"/>
        <v>Trainee for Senior Aircraft Cabin Technician-Basic Inspection</v>
      </c>
    </row>
    <row r="252" spans="1:7" hidden="1" x14ac:dyDescent="0.25">
      <c r="A252" s="10">
        <v>215</v>
      </c>
      <c r="B252" s="10" t="s">
        <v>834</v>
      </c>
      <c r="C252" s="10" t="s">
        <v>791</v>
      </c>
      <c r="D252" s="10" t="s">
        <v>36</v>
      </c>
      <c r="E252" s="10" t="s">
        <v>36</v>
      </c>
      <c r="F252" s="10" t="s">
        <v>801</v>
      </c>
      <c r="G252" s="10" t="str">
        <f t="shared" si="5"/>
        <v>Trainee for Senior Aircraft Cabin Technician-CASR Part 145</v>
      </c>
    </row>
    <row r="253" spans="1:7" hidden="1" x14ac:dyDescent="0.25">
      <c r="A253" s="10">
        <v>216</v>
      </c>
      <c r="B253" s="10" t="s">
        <v>834</v>
      </c>
      <c r="C253" s="10" t="s">
        <v>792</v>
      </c>
      <c r="D253" s="10" t="s">
        <v>42</v>
      </c>
      <c r="E253" s="10" t="s">
        <v>42</v>
      </c>
      <c r="F253" s="10" t="s">
        <v>788</v>
      </c>
      <c r="G253" s="10" t="str">
        <f t="shared" si="5"/>
        <v>Trainee for Senior Aircraft Cabin Technician-Dangerous Good</v>
      </c>
    </row>
    <row r="254" spans="1:7" hidden="1" x14ac:dyDescent="0.25">
      <c r="A254" s="10">
        <v>217</v>
      </c>
      <c r="B254" s="10" t="s">
        <v>834</v>
      </c>
      <c r="C254" s="10" t="s">
        <v>793</v>
      </c>
      <c r="D254" s="10" t="s">
        <v>38</v>
      </c>
      <c r="E254" s="10" t="s">
        <v>38</v>
      </c>
      <c r="F254" s="10" t="s">
        <v>801</v>
      </c>
      <c r="G254" s="10" t="str">
        <f t="shared" si="5"/>
        <v>Trainee for Senior Aircraft Cabin Technician-EASA Part 145</v>
      </c>
    </row>
    <row r="255" spans="1:7" hidden="1" x14ac:dyDescent="0.25">
      <c r="A255" s="10">
        <v>218</v>
      </c>
      <c r="B255" s="10" t="s">
        <v>834</v>
      </c>
      <c r="C255" s="10" t="s">
        <v>794</v>
      </c>
      <c r="D255" s="10" t="s">
        <v>39</v>
      </c>
      <c r="E255" s="10" t="s">
        <v>39</v>
      </c>
      <c r="F255" s="10" t="s">
        <v>801</v>
      </c>
      <c r="G255" s="10" t="str">
        <f t="shared" si="5"/>
        <v>Trainee for Senior Aircraft Cabin Technician-EASA Part M</v>
      </c>
    </row>
    <row r="256" spans="1:7" hidden="1" x14ac:dyDescent="0.25">
      <c r="A256" s="10">
        <v>219</v>
      </c>
      <c r="B256" s="10" t="s">
        <v>834</v>
      </c>
      <c r="C256" s="10" t="s">
        <v>796</v>
      </c>
      <c r="D256" s="10" t="s">
        <v>41</v>
      </c>
      <c r="E256" s="10" t="s">
        <v>41</v>
      </c>
      <c r="F256" s="10" t="s">
        <v>801</v>
      </c>
      <c r="G256" s="10" t="str">
        <f t="shared" si="5"/>
        <v>Trainee for Senior Aircraft Cabin Technician-EWIS</v>
      </c>
    </row>
    <row r="257" spans="1:7" hidden="1" x14ac:dyDescent="0.25">
      <c r="A257" s="10">
        <v>220</v>
      </c>
      <c r="B257" s="10" t="s">
        <v>834</v>
      </c>
      <c r="C257" s="10" t="s">
        <v>797</v>
      </c>
      <c r="D257" s="10" t="s">
        <v>37</v>
      </c>
      <c r="E257" s="10" t="s">
        <v>37</v>
      </c>
      <c r="F257" s="10" t="s">
        <v>801</v>
      </c>
      <c r="G257" s="10" t="str">
        <f t="shared" si="5"/>
        <v>Trainee for Senior Aircraft Cabin Technician-FAR Part 145</v>
      </c>
    </row>
    <row r="258" spans="1:7" hidden="1" x14ac:dyDescent="0.25">
      <c r="A258" s="10">
        <v>221</v>
      </c>
      <c r="B258" s="10" t="s">
        <v>834</v>
      </c>
      <c r="C258" s="10" t="s">
        <v>798</v>
      </c>
      <c r="D258" s="10" t="s">
        <v>40</v>
      </c>
      <c r="E258" s="10" t="s">
        <v>40</v>
      </c>
      <c r="F258" s="10" t="s">
        <v>801</v>
      </c>
      <c r="G258" s="10" t="str">
        <f t="shared" si="5"/>
        <v>Trainee for Senior Aircraft Cabin Technician-Fuel Tank Safety</v>
      </c>
    </row>
    <row r="259" spans="1:7" hidden="1" x14ac:dyDescent="0.25">
      <c r="A259" s="10">
        <v>222</v>
      </c>
      <c r="B259" s="10" t="s">
        <v>834</v>
      </c>
      <c r="C259" s="10" t="s">
        <v>799</v>
      </c>
      <c r="D259" s="10" t="s">
        <v>35</v>
      </c>
      <c r="E259" s="10" t="s">
        <v>35</v>
      </c>
      <c r="F259" s="10" t="s">
        <v>801</v>
      </c>
      <c r="G259" s="10" t="str">
        <f t="shared" si="5"/>
        <v>Trainee for Senior Aircraft Cabin Technician-GMF Quality System</v>
      </c>
    </row>
    <row r="260" spans="1:7" hidden="1" x14ac:dyDescent="0.25">
      <c r="A260" s="10">
        <v>223</v>
      </c>
      <c r="B260" s="10" t="s">
        <v>834</v>
      </c>
      <c r="C260" s="10" t="s">
        <v>800</v>
      </c>
      <c r="D260" s="10" t="s">
        <v>33</v>
      </c>
      <c r="E260" s="10" t="s">
        <v>33</v>
      </c>
      <c r="F260" s="10" t="s">
        <v>801</v>
      </c>
      <c r="G260" s="10" t="str">
        <f t="shared" si="5"/>
        <v>Trainee for Senior Aircraft Cabin Technician-Human Factor</v>
      </c>
    </row>
    <row r="261" spans="1:7" hidden="1" x14ac:dyDescent="0.25">
      <c r="A261" s="10">
        <v>224</v>
      </c>
      <c r="B261" s="10" t="s">
        <v>834</v>
      </c>
      <c r="C261" s="10" t="s">
        <v>802</v>
      </c>
      <c r="D261" s="10" t="s">
        <v>201</v>
      </c>
      <c r="E261" s="10" t="s">
        <v>201</v>
      </c>
      <c r="F261" s="10" t="s">
        <v>788</v>
      </c>
      <c r="G261" s="10" t="str">
        <f t="shared" si="5"/>
        <v>Trainee for Senior Aircraft Cabin Technician-Orientation Training</v>
      </c>
    </row>
    <row r="262" spans="1:7" hidden="1" x14ac:dyDescent="0.25">
      <c r="A262" s="10">
        <v>225</v>
      </c>
      <c r="B262" s="10" t="s">
        <v>834</v>
      </c>
      <c r="C262" s="10" t="s">
        <v>803</v>
      </c>
      <c r="D262" s="10" t="s">
        <v>34</v>
      </c>
      <c r="E262" s="10" t="s">
        <v>34</v>
      </c>
      <c r="F262" s="10" t="s">
        <v>801</v>
      </c>
      <c r="G262" s="10" t="str">
        <f t="shared" si="5"/>
        <v>Trainee for Senior Aircraft Cabin Technician-Safety Management System</v>
      </c>
    </row>
    <row r="263" spans="1:7" hidden="1" x14ac:dyDescent="0.25">
      <c r="A263" s="10">
        <v>226</v>
      </c>
      <c r="B263" s="10" t="s">
        <v>834</v>
      </c>
      <c r="C263" s="10" t="s">
        <v>808</v>
      </c>
      <c r="D263" s="10" t="s">
        <v>199</v>
      </c>
      <c r="E263" s="10" t="s">
        <v>199</v>
      </c>
      <c r="F263" s="10" t="s">
        <v>788</v>
      </c>
      <c r="G263" s="10" t="str">
        <f t="shared" si="5"/>
        <v>Trainee for Senior Aircraft Cabin Technician-SWIFT Training</v>
      </c>
    </row>
    <row r="264" spans="1:7" hidden="1" x14ac:dyDescent="0.25">
      <c r="A264" s="10">
        <v>227</v>
      </c>
      <c r="B264" s="10" t="s">
        <v>835</v>
      </c>
      <c r="C264" s="10" t="s">
        <v>790</v>
      </c>
      <c r="D264" s="10" t="s">
        <v>174</v>
      </c>
      <c r="E264" s="10" t="s">
        <v>174</v>
      </c>
      <c r="F264" s="10" t="s">
        <v>788</v>
      </c>
      <c r="G264" s="10" t="str">
        <f t="shared" si="5"/>
        <v>Senior Aircraft Maintenance Engineer-Basic Inspection</v>
      </c>
    </row>
    <row r="265" spans="1:7" hidden="1" x14ac:dyDescent="0.25">
      <c r="A265" s="10">
        <v>228</v>
      </c>
      <c r="B265" s="10" t="s">
        <v>835</v>
      </c>
      <c r="C265" s="10" t="s">
        <v>806</v>
      </c>
      <c r="D265" s="10" t="s">
        <v>175</v>
      </c>
      <c r="E265" s="10" t="s">
        <v>815</v>
      </c>
      <c r="F265" s="10" t="s">
        <v>788</v>
      </c>
      <c r="G265" s="10" t="str">
        <f t="shared" si="5"/>
        <v>Senior Aircraft Maintenance Engineer-Basic Supervisory Training</v>
      </c>
    </row>
    <row r="266" spans="1:7" hidden="1" x14ac:dyDescent="0.25">
      <c r="A266" s="10">
        <v>229</v>
      </c>
      <c r="B266" s="10" t="s">
        <v>835</v>
      </c>
      <c r="C266" s="10" t="s">
        <v>791</v>
      </c>
      <c r="D266" s="10" t="s">
        <v>36</v>
      </c>
      <c r="E266" s="10" t="s">
        <v>36</v>
      </c>
      <c r="F266" s="10" t="s">
        <v>801</v>
      </c>
      <c r="G266" s="10" t="str">
        <f t="shared" si="5"/>
        <v>Senior Aircraft Maintenance Engineer-CASR Part 145</v>
      </c>
    </row>
    <row r="267" spans="1:7" hidden="1" x14ac:dyDescent="0.25">
      <c r="A267" s="10">
        <v>230</v>
      </c>
      <c r="B267" s="10" t="s">
        <v>835</v>
      </c>
      <c r="C267" s="10" t="s">
        <v>816</v>
      </c>
      <c r="D267" s="10" t="s">
        <v>176</v>
      </c>
      <c r="E267" s="10" t="s">
        <v>176</v>
      </c>
      <c r="F267" s="10" t="s">
        <v>788</v>
      </c>
      <c r="G267" s="10" t="str">
        <f t="shared" si="5"/>
        <v>Senior Aircraft Maintenance Engineer-Certifying Staff</v>
      </c>
    </row>
    <row r="268" spans="1:7" hidden="1" x14ac:dyDescent="0.25">
      <c r="A268" s="10">
        <v>231</v>
      </c>
      <c r="B268" s="10" t="s">
        <v>835</v>
      </c>
      <c r="C268" s="10" t="s">
        <v>792</v>
      </c>
      <c r="D268" s="10" t="s">
        <v>42</v>
      </c>
      <c r="E268" s="10" t="s">
        <v>42</v>
      </c>
      <c r="F268" s="10" t="s">
        <v>788</v>
      </c>
      <c r="G268" s="10" t="str">
        <f t="shared" si="5"/>
        <v>Senior Aircraft Maintenance Engineer-Dangerous Good</v>
      </c>
    </row>
    <row r="269" spans="1:7" hidden="1" x14ac:dyDescent="0.25">
      <c r="A269" s="10">
        <v>232</v>
      </c>
      <c r="B269" s="10" t="s">
        <v>835</v>
      </c>
      <c r="C269" s="10" t="s">
        <v>793</v>
      </c>
      <c r="D269" s="10" t="s">
        <v>38</v>
      </c>
      <c r="E269" s="10" t="s">
        <v>38</v>
      </c>
      <c r="F269" s="10" t="s">
        <v>801</v>
      </c>
      <c r="G269" s="10" t="str">
        <f t="shared" si="5"/>
        <v>Senior Aircraft Maintenance Engineer-EASA Part 145</v>
      </c>
    </row>
    <row r="270" spans="1:7" hidden="1" x14ac:dyDescent="0.25">
      <c r="A270" s="10">
        <v>233</v>
      </c>
      <c r="B270" s="10" t="s">
        <v>835</v>
      </c>
      <c r="C270" s="10" t="s">
        <v>794</v>
      </c>
      <c r="D270" s="10" t="s">
        <v>39</v>
      </c>
      <c r="E270" s="10" t="s">
        <v>39</v>
      </c>
      <c r="F270" s="10" t="s">
        <v>801</v>
      </c>
      <c r="G270" s="10" t="str">
        <f t="shared" si="5"/>
        <v>Senior Aircraft Maintenance Engineer-EASA Part M</v>
      </c>
    </row>
    <row r="271" spans="1:7" hidden="1" x14ac:dyDescent="0.25">
      <c r="A271" s="10">
        <v>234</v>
      </c>
      <c r="B271" s="10" t="s">
        <v>835</v>
      </c>
      <c r="C271" s="10" t="s">
        <v>797</v>
      </c>
      <c r="D271" s="10" t="s">
        <v>37</v>
      </c>
      <c r="E271" s="10" t="s">
        <v>37</v>
      </c>
      <c r="F271" s="10" t="s">
        <v>801</v>
      </c>
      <c r="G271" s="10" t="str">
        <f t="shared" si="5"/>
        <v>Senior Aircraft Maintenance Engineer-FAR Part 145</v>
      </c>
    </row>
    <row r="272" spans="1:7" hidden="1" x14ac:dyDescent="0.25">
      <c r="A272" s="10">
        <v>235</v>
      </c>
      <c r="B272" s="10" t="s">
        <v>835</v>
      </c>
      <c r="C272" s="10" t="s">
        <v>798</v>
      </c>
      <c r="D272" s="10" t="s">
        <v>40</v>
      </c>
      <c r="E272" s="10" t="s">
        <v>40</v>
      </c>
      <c r="F272" s="10" t="s">
        <v>801</v>
      </c>
      <c r="G272" s="10" t="str">
        <f t="shared" si="5"/>
        <v>Senior Aircraft Maintenance Engineer-Fuel Tank Safety</v>
      </c>
    </row>
    <row r="273" spans="1:7" hidden="1" x14ac:dyDescent="0.25">
      <c r="B273" s="10" t="s">
        <v>835</v>
      </c>
      <c r="D273" s="10" t="s">
        <v>41</v>
      </c>
      <c r="F273" s="10" t="s">
        <v>801</v>
      </c>
      <c r="G273" s="10" t="str">
        <f>B273 &amp; "-" &amp; D273</f>
        <v>Senior Aircraft Maintenance Engineer-EWIS</v>
      </c>
    </row>
    <row r="274" spans="1:7" hidden="1" x14ac:dyDescent="0.25">
      <c r="A274" s="10">
        <v>236</v>
      </c>
      <c r="B274" s="10" t="s">
        <v>835</v>
      </c>
      <c r="C274" s="10" t="s">
        <v>807</v>
      </c>
      <c r="D274" s="10" t="s">
        <v>177</v>
      </c>
      <c r="E274" s="10" t="s">
        <v>177</v>
      </c>
      <c r="F274" s="10" t="s">
        <v>788</v>
      </c>
      <c r="G274" s="10" t="str">
        <f t="shared" ref="G274:G337" si="7">B274 &amp; "-" &amp; D274</f>
        <v>Senior Aircraft Maintenance Engineer-Fundamental Troubleshooting</v>
      </c>
    </row>
    <row r="275" spans="1:7" hidden="1" x14ac:dyDescent="0.25">
      <c r="A275" s="10">
        <v>237</v>
      </c>
      <c r="B275" s="10" t="s">
        <v>835</v>
      </c>
      <c r="C275" s="10" t="s">
        <v>799</v>
      </c>
      <c r="D275" s="10" t="s">
        <v>35</v>
      </c>
      <c r="E275" s="10" t="s">
        <v>35</v>
      </c>
      <c r="F275" s="10" t="s">
        <v>801</v>
      </c>
      <c r="G275" s="10" t="str">
        <f t="shared" si="7"/>
        <v>Senior Aircraft Maintenance Engineer-GMF Quality System</v>
      </c>
    </row>
    <row r="276" spans="1:7" hidden="1" x14ac:dyDescent="0.25">
      <c r="A276" s="10">
        <v>238</v>
      </c>
      <c r="B276" s="10" t="s">
        <v>835</v>
      </c>
      <c r="C276" s="10" t="s">
        <v>800</v>
      </c>
      <c r="D276" s="10" t="s">
        <v>33</v>
      </c>
      <c r="E276" s="10" t="s">
        <v>33</v>
      </c>
      <c r="F276" s="10" t="s">
        <v>801</v>
      </c>
      <c r="G276" s="10" t="str">
        <f t="shared" si="7"/>
        <v>Senior Aircraft Maintenance Engineer-Human Factor</v>
      </c>
    </row>
    <row r="277" spans="1:7" hidden="1" x14ac:dyDescent="0.25">
      <c r="A277" s="10">
        <v>239</v>
      </c>
      <c r="B277" s="10" t="s">
        <v>835</v>
      </c>
      <c r="C277" s="10" t="s">
        <v>802</v>
      </c>
      <c r="D277" s="10" t="s">
        <v>201</v>
      </c>
      <c r="E277" s="10" t="s">
        <v>201</v>
      </c>
      <c r="F277" s="10" t="s">
        <v>788</v>
      </c>
      <c r="G277" s="10" t="str">
        <f t="shared" si="7"/>
        <v>Senior Aircraft Maintenance Engineer-Orientation Training</v>
      </c>
    </row>
    <row r="278" spans="1:7" hidden="1" x14ac:dyDescent="0.25">
      <c r="A278" s="10">
        <v>240</v>
      </c>
      <c r="B278" s="10" t="s">
        <v>835</v>
      </c>
      <c r="C278" s="10" t="s">
        <v>803</v>
      </c>
      <c r="D278" s="10" t="s">
        <v>34</v>
      </c>
      <c r="E278" s="10" t="s">
        <v>34</v>
      </c>
      <c r="F278" s="10" t="s">
        <v>801</v>
      </c>
      <c r="G278" s="10" t="str">
        <f t="shared" si="7"/>
        <v>Senior Aircraft Maintenance Engineer-Safety Management System</v>
      </c>
    </row>
    <row r="279" spans="1:7" hidden="1" x14ac:dyDescent="0.25">
      <c r="A279" s="10">
        <v>241</v>
      </c>
      <c r="B279" s="10" t="s">
        <v>835</v>
      </c>
      <c r="C279" s="10" t="s">
        <v>808</v>
      </c>
      <c r="D279" s="10" t="s">
        <v>199</v>
      </c>
      <c r="E279" s="10" t="s">
        <v>199</v>
      </c>
      <c r="F279" s="10" t="s">
        <v>788</v>
      </c>
      <c r="G279" s="10" t="str">
        <f t="shared" si="7"/>
        <v>Senior Aircraft Maintenance Engineer-SWIFT Training</v>
      </c>
    </row>
    <row r="280" spans="1:7" hidden="1" x14ac:dyDescent="0.25">
      <c r="A280" s="10">
        <v>242</v>
      </c>
      <c r="B280" s="10" t="s">
        <v>835</v>
      </c>
      <c r="C280" s="10" t="s">
        <v>817</v>
      </c>
      <c r="D280" s="10" t="s">
        <v>60</v>
      </c>
      <c r="E280" s="10" t="s">
        <v>60</v>
      </c>
      <c r="F280" s="10" t="s">
        <v>788</v>
      </c>
      <c r="G280" s="10" t="str">
        <f t="shared" si="7"/>
        <v>Senior Aircraft Maintenance Engineer-Type Rating Level III Training</v>
      </c>
    </row>
    <row r="281" spans="1:7" hidden="1" x14ac:dyDescent="0.25">
      <c r="A281" s="10">
        <v>243</v>
      </c>
      <c r="B281" s="10" t="s">
        <v>836</v>
      </c>
      <c r="C281" s="10" t="s">
        <v>789</v>
      </c>
      <c r="D281" s="10" t="s">
        <v>181</v>
      </c>
      <c r="E281" s="10" t="s">
        <v>181</v>
      </c>
      <c r="F281" s="10" t="s">
        <v>788</v>
      </c>
      <c r="G281" s="10" t="str">
        <f t="shared" si="7"/>
        <v>Senior Aircraft Maintenance Planner-Aircraft Familiarization</v>
      </c>
    </row>
    <row r="282" spans="1:7" hidden="1" x14ac:dyDescent="0.25">
      <c r="A282" s="10">
        <v>244</v>
      </c>
      <c r="B282" s="10" t="s">
        <v>836</v>
      </c>
      <c r="C282" s="10" t="s">
        <v>819</v>
      </c>
      <c r="D282" s="10" t="s">
        <v>179</v>
      </c>
      <c r="E282" s="10" t="s">
        <v>179</v>
      </c>
      <c r="F282" s="10" t="s">
        <v>788</v>
      </c>
      <c r="G282" s="10" t="str">
        <f t="shared" si="7"/>
        <v>Senior Aircraft Maintenance Planner-Basic Planning</v>
      </c>
    </row>
    <row r="283" spans="1:7" hidden="1" x14ac:dyDescent="0.25">
      <c r="A283" s="10">
        <v>245</v>
      </c>
      <c r="B283" s="10" t="s">
        <v>836</v>
      </c>
      <c r="C283" s="10" t="s">
        <v>791</v>
      </c>
      <c r="D283" s="10" t="s">
        <v>36</v>
      </c>
      <c r="E283" s="10" t="s">
        <v>36</v>
      </c>
      <c r="F283" s="10" t="s">
        <v>801</v>
      </c>
      <c r="G283" s="10" t="str">
        <f t="shared" si="7"/>
        <v>Senior Aircraft Maintenance Planner-CASR Part 145</v>
      </c>
    </row>
    <row r="284" spans="1:7" hidden="1" x14ac:dyDescent="0.25">
      <c r="A284" s="10">
        <v>246</v>
      </c>
      <c r="B284" s="10" t="s">
        <v>836</v>
      </c>
      <c r="C284" s="10" t="s">
        <v>792</v>
      </c>
      <c r="D284" s="10" t="s">
        <v>42</v>
      </c>
      <c r="E284" s="10" t="s">
        <v>42</v>
      </c>
      <c r="F284" s="10" t="s">
        <v>788</v>
      </c>
      <c r="G284" s="10" t="str">
        <f t="shared" si="7"/>
        <v>Senior Aircraft Maintenance Planner-Dangerous Good</v>
      </c>
    </row>
    <row r="285" spans="1:7" hidden="1" x14ac:dyDescent="0.25">
      <c r="A285" s="10">
        <v>247</v>
      </c>
      <c r="B285" s="10" t="s">
        <v>836</v>
      </c>
      <c r="C285" s="10" t="s">
        <v>793</v>
      </c>
      <c r="D285" s="10" t="s">
        <v>38</v>
      </c>
      <c r="E285" s="10" t="s">
        <v>38</v>
      </c>
      <c r="F285" s="10" t="s">
        <v>801</v>
      </c>
      <c r="G285" s="10" t="str">
        <f t="shared" si="7"/>
        <v>Senior Aircraft Maintenance Planner-EASA Part 145</v>
      </c>
    </row>
    <row r="286" spans="1:7" hidden="1" x14ac:dyDescent="0.25">
      <c r="A286" s="10">
        <v>248</v>
      </c>
      <c r="B286" s="10" t="s">
        <v>836</v>
      </c>
      <c r="C286" s="10" t="s">
        <v>794</v>
      </c>
      <c r="D286" s="10" t="s">
        <v>39</v>
      </c>
      <c r="E286" s="10" t="s">
        <v>39</v>
      </c>
      <c r="F286" s="10" t="s">
        <v>801</v>
      </c>
      <c r="G286" s="10" t="str">
        <f t="shared" si="7"/>
        <v>Senior Aircraft Maintenance Planner-EASA Part M</v>
      </c>
    </row>
    <row r="287" spans="1:7" hidden="1" x14ac:dyDescent="0.25">
      <c r="A287" s="10">
        <v>249</v>
      </c>
      <c r="B287" s="10" t="s">
        <v>836</v>
      </c>
      <c r="C287" s="10" t="s">
        <v>796</v>
      </c>
      <c r="D287" s="10" t="s">
        <v>41</v>
      </c>
      <c r="E287" s="10" t="s">
        <v>41</v>
      </c>
      <c r="F287" s="10" t="s">
        <v>788</v>
      </c>
      <c r="G287" s="10" t="str">
        <f t="shared" si="7"/>
        <v>Senior Aircraft Maintenance Planner-EWIS</v>
      </c>
    </row>
    <row r="288" spans="1:7" hidden="1" x14ac:dyDescent="0.25">
      <c r="A288" s="10">
        <v>250</v>
      </c>
      <c r="B288" s="10" t="s">
        <v>836</v>
      </c>
      <c r="C288" s="10" t="s">
        <v>797</v>
      </c>
      <c r="D288" s="10" t="s">
        <v>37</v>
      </c>
      <c r="E288" s="10" t="s">
        <v>37</v>
      </c>
      <c r="F288" s="10" t="s">
        <v>801</v>
      </c>
      <c r="G288" s="10" t="str">
        <f t="shared" si="7"/>
        <v>Senior Aircraft Maintenance Planner-FAR Part 145</v>
      </c>
    </row>
    <row r="289" spans="1:7" hidden="1" x14ac:dyDescent="0.25">
      <c r="A289" s="10">
        <v>251</v>
      </c>
      <c r="B289" s="10" t="s">
        <v>836</v>
      </c>
      <c r="C289" s="10" t="s">
        <v>798</v>
      </c>
      <c r="D289" s="10" t="s">
        <v>40</v>
      </c>
      <c r="E289" s="10" t="s">
        <v>40</v>
      </c>
      <c r="F289" s="10" t="s">
        <v>788</v>
      </c>
      <c r="G289" s="10" t="str">
        <f t="shared" si="7"/>
        <v>Senior Aircraft Maintenance Planner-Fuel Tank Safety</v>
      </c>
    </row>
    <row r="290" spans="1:7" hidden="1" x14ac:dyDescent="0.25">
      <c r="A290" s="10">
        <v>252</v>
      </c>
      <c r="B290" s="10" t="s">
        <v>836</v>
      </c>
      <c r="C290" s="10" t="s">
        <v>799</v>
      </c>
      <c r="D290" s="10" t="s">
        <v>35</v>
      </c>
      <c r="E290" s="10" t="s">
        <v>35</v>
      </c>
      <c r="F290" s="10" t="s">
        <v>788</v>
      </c>
      <c r="G290" s="10" t="str">
        <f t="shared" si="7"/>
        <v>Senior Aircraft Maintenance Planner-GMF Quality System</v>
      </c>
    </row>
    <row r="291" spans="1:7" hidden="1" x14ac:dyDescent="0.25">
      <c r="A291" s="10">
        <v>253</v>
      </c>
      <c r="B291" s="10" t="s">
        <v>836</v>
      </c>
      <c r="C291" s="10" t="s">
        <v>800</v>
      </c>
      <c r="D291" s="10" t="s">
        <v>33</v>
      </c>
      <c r="E291" s="10" t="s">
        <v>33</v>
      </c>
      <c r="F291" s="10" t="s">
        <v>801</v>
      </c>
      <c r="G291" s="10" t="str">
        <f t="shared" si="7"/>
        <v>Senior Aircraft Maintenance Planner-Human Factor</v>
      </c>
    </row>
    <row r="292" spans="1:7" hidden="1" x14ac:dyDescent="0.25">
      <c r="A292" s="10">
        <v>254</v>
      </c>
      <c r="B292" s="10" t="s">
        <v>836</v>
      </c>
      <c r="C292" s="10" t="s">
        <v>802</v>
      </c>
      <c r="D292" s="10" t="s">
        <v>201</v>
      </c>
      <c r="E292" s="10" t="s">
        <v>201</v>
      </c>
      <c r="F292" s="10" t="s">
        <v>788</v>
      </c>
      <c r="G292" s="10" t="str">
        <f t="shared" si="7"/>
        <v>Senior Aircraft Maintenance Planner-Orientation Training</v>
      </c>
    </row>
    <row r="293" spans="1:7" hidden="1" x14ac:dyDescent="0.25">
      <c r="A293" s="10">
        <v>255</v>
      </c>
      <c r="B293" s="10" t="s">
        <v>836</v>
      </c>
      <c r="C293" s="10" t="s">
        <v>837</v>
      </c>
      <c r="D293" s="10" t="s">
        <v>191</v>
      </c>
      <c r="E293" s="10" t="s">
        <v>191</v>
      </c>
      <c r="F293" s="10" t="s">
        <v>788</v>
      </c>
      <c r="G293" s="10" t="str">
        <f t="shared" si="7"/>
        <v>Senior Aircraft Maintenance Planner-Project Management basic</v>
      </c>
    </row>
    <row r="294" spans="1:7" hidden="1" x14ac:dyDescent="0.25">
      <c r="A294" s="10">
        <v>256</v>
      </c>
      <c r="B294" s="10" t="s">
        <v>836</v>
      </c>
      <c r="C294" s="10" t="s">
        <v>803</v>
      </c>
      <c r="D294" s="10" t="s">
        <v>34</v>
      </c>
      <c r="E294" s="10" t="s">
        <v>34</v>
      </c>
      <c r="F294" s="10" t="s">
        <v>801</v>
      </c>
      <c r="G294" s="10" t="str">
        <f t="shared" si="7"/>
        <v>Senior Aircraft Maintenance Planner-Safety Management System</v>
      </c>
    </row>
    <row r="295" spans="1:7" hidden="1" x14ac:dyDescent="0.25">
      <c r="A295" s="10">
        <v>257</v>
      </c>
      <c r="B295" s="10" t="s">
        <v>836</v>
      </c>
      <c r="C295" s="10" t="s">
        <v>808</v>
      </c>
      <c r="D295" s="10" t="s">
        <v>199</v>
      </c>
      <c r="E295" s="10" t="s">
        <v>199</v>
      </c>
      <c r="F295" s="10" t="s">
        <v>788</v>
      </c>
      <c r="G295" s="10" t="str">
        <f t="shared" si="7"/>
        <v>Senior Aircraft Maintenance Planner-SWIFT Training</v>
      </c>
    </row>
    <row r="296" spans="1:7" hidden="1" x14ac:dyDescent="0.25">
      <c r="A296" s="10">
        <v>258</v>
      </c>
      <c r="B296" s="10" t="s">
        <v>836</v>
      </c>
      <c r="C296" s="10" t="s">
        <v>831</v>
      </c>
      <c r="D296" s="10" t="s">
        <v>178</v>
      </c>
      <c r="E296" s="10" t="s">
        <v>178</v>
      </c>
      <c r="F296" s="10" t="s">
        <v>788</v>
      </c>
      <c r="G296" s="10" t="str">
        <f t="shared" si="7"/>
        <v>Senior Aircraft Maintenance Planner-Training of Trainer</v>
      </c>
    </row>
    <row r="297" spans="1:7" hidden="1" x14ac:dyDescent="0.25">
      <c r="A297" s="10">
        <v>259</v>
      </c>
      <c r="B297" s="10" t="s">
        <v>838</v>
      </c>
      <c r="C297" s="10" t="s">
        <v>789</v>
      </c>
      <c r="D297" s="10" t="s">
        <v>181</v>
      </c>
      <c r="E297" s="10" t="s">
        <v>181</v>
      </c>
      <c r="F297" s="10" t="s">
        <v>788</v>
      </c>
      <c r="G297" s="10" t="str">
        <f t="shared" si="7"/>
        <v>Senior Aircraft Maintenance Planning Engineer-Aircraft Familiarization</v>
      </c>
    </row>
    <row r="298" spans="1:7" hidden="1" x14ac:dyDescent="0.25">
      <c r="A298" s="10">
        <v>260</v>
      </c>
      <c r="B298" s="10" t="s">
        <v>838</v>
      </c>
      <c r="C298" s="10" t="s">
        <v>822</v>
      </c>
      <c r="D298" s="10" t="s">
        <v>180</v>
      </c>
      <c r="E298" s="10" t="s">
        <v>180</v>
      </c>
      <c r="F298" s="10" t="s">
        <v>788</v>
      </c>
      <c r="G298" s="10" t="str">
        <f t="shared" si="7"/>
        <v>Senior Aircraft Maintenance Planning Engineer-Basic Engineering</v>
      </c>
    </row>
    <row r="299" spans="1:7" hidden="1" x14ac:dyDescent="0.25">
      <c r="A299" s="10">
        <v>261</v>
      </c>
      <c r="B299" s="10" t="s">
        <v>838</v>
      </c>
      <c r="C299" s="10" t="s">
        <v>791</v>
      </c>
      <c r="D299" s="10" t="s">
        <v>36</v>
      </c>
      <c r="E299" s="10" t="s">
        <v>36</v>
      </c>
      <c r="F299" s="10" t="s">
        <v>801</v>
      </c>
      <c r="G299" s="10" t="str">
        <f t="shared" si="7"/>
        <v>Senior Aircraft Maintenance Planning Engineer-CASR Part 145</v>
      </c>
    </row>
    <row r="300" spans="1:7" hidden="1" x14ac:dyDescent="0.25">
      <c r="A300" s="10">
        <v>262</v>
      </c>
      <c r="B300" s="10" t="s">
        <v>838</v>
      </c>
      <c r="C300" s="10" t="s">
        <v>792</v>
      </c>
      <c r="D300" s="10" t="s">
        <v>42</v>
      </c>
      <c r="E300" s="10" t="s">
        <v>42</v>
      </c>
      <c r="F300" s="10" t="s">
        <v>788</v>
      </c>
      <c r="G300" s="10" t="str">
        <f t="shared" si="7"/>
        <v>Senior Aircraft Maintenance Planning Engineer-Dangerous Good</v>
      </c>
    </row>
    <row r="301" spans="1:7" hidden="1" x14ac:dyDescent="0.25">
      <c r="A301" s="10">
        <v>263</v>
      </c>
      <c r="B301" s="10" t="s">
        <v>838</v>
      </c>
      <c r="C301" s="10" t="s">
        <v>793</v>
      </c>
      <c r="D301" s="10" t="s">
        <v>38</v>
      </c>
      <c r="E301" s="10" t="s">
        <v>38</v>
      </c>
      <c r="F301" s="10" t="s">
        <v>801</v>
      </c>
      <c r="G301" s="10" t="str">
        <f t="shared" si="7"/>
        <v>Senior Aircraft Maintenance Planning Engineer-EASA Part 145</v>
      </c>
    </row>
    <row r="302" spans="1:7" hidden="1" x14ac:dyDescent="0.25">
      <c r="A302" s="10">
        <v>264</v>
      </c>
      <c r="B302" s="10" t="s">
        <v>838</v>
      </c>
      <c r="C302" s="10" t="s">
        <v>794</v>
      </c>
      <c r="D302" s="10" t="s">
        <v>39</v>
      </c>
      <c r="E302" s="10" t="s">
        <v>39</v>
      </c>
      <c r="F302" s="10" t="s">
        <v>801</v>
      </c>
      <c r="G302" s="10" t="str">
        <f t="shared" si="7"/>
        <v>Senior Aircraft Maintenance Planning Engineer-EASA Part M</v>
      </c>
    </row>
    <row r="303" spans="1:7" hidden="1" x14ac:dyDescent="0.25">
      <c r="A303" s="10">
        <v>265</v>
      </c>
      <c r="B303" s="10" t="s">
        <v>838</v>
      </c>
      <c r="C303" s="10" t="s">
        <v>796</v>
      </c>
      <c r="D303" s="10" t="s">
        <v>41</v>
      </c>
      <c r="E303" s="10" t="s">
        <v>41</v>
      </c>
      <c r="F303" s="10" t="s">
        <v>788</v>
      </c>
      <c r="G303" s="10" t="str">
        <f t="shared" si="7"/>
        <v>Senior Aircraft Maintenance Planning Engineer-EWIS</v>
      </c>
    </row>
    <row r="304" spans="1:7" hidden="1" x14ac:dyDescent="0.25">
      <c r="A304" s="10">
        <v>266</v>
      </c>
      <c r="B304" s="10" t="s">
        <v>838</v>
      </c>
      <c r="C304" s="10" t="s">
        <v>797</v>
      </c>
      <c r="D304" s="10" t="s">
        <v>37</v>
      </c>
      <c r="E304" s="10" t="s">
        <v>37</v>
      </c>
      <c r="F304" s="10" t="s">
        <v>801</v>
      </c>
      <c r="G304" s="10" t="str">
        <f t="shared" si="7"/>
        <v>Senior Aircraft Maintenance Planning Engineer-FAR Part 145</v>
      </c>
    </row>
    <row r="305" spans="1:8" hidden="1" x14ac:dyDescent="0.25">
      <c r="A305" s="10">
        <v>267</v>
      </c>
      <c r="B305" s="10" t="s">
        <v>838</v>
      </c>
      <c r="C305" s="10" t="s">
        <v>798</v>
      </c>
      <c r="D305" s="10" t="s">
        <v>40</v>
      </c>
      <c r="E305" s="10" t="s">
        <v>40</v>
      </c>
      <c r="F305" s="10" t="s">
        <v>788</v>
      </c>
      <c r="G305" s="10" t="str">
        <f t="shared" si="7"/>
        <v>Senior Aircraft Maintenance Planning Engineer-Fuel Tank Safety</v>
      </c>
    </row>
    <row r="306" spans="1:8" hidden="1" x14ac:dyDescent="0.25">
      <c r="A306" s="10">
        <v>268</v>
      </c>
      <c r="B306" s="10" t="s">
        <v>838</v>
      </c>
      <c r="C306" s="10" t="s">
        <v>799</v>
      </c>
      <c r="D306" s="10" t="s">
        <v>35</v>
      </c>
      <c r="E306" s="10" t="s">
        <v>35</v>
      </c>
      <c r="F306" s="10" t="s">
        <v>788</v>
      </c>
      <c r="G306" s="10" t="str">
        <f t="shared" si="7"/>
        <v>Senior Aircraft Maintenance Planning Engineer-GMF Quality System</v>
      </c>
    </row>
    <row r="307" spans="1:8" hidden="1" x14ac:dyDescent="0.25">
      <c r="A307" s="10">
        <v>269</v>
      </c>
      <c r="B307" s="10" t="s">
        <v>838</v>
      </c>
      <c r="C307" s="10" t="s">
        <v>800</v>
      </c>
      <c r="D307" s="10" t="s">
        <v>33</v>
      </c>
      <c r="E307" s="10" t="s">
        <v>33</v>
      </c>
      <c r="F307" s="10" t="s">
        <v>801</v>
      </c>
      <c r="G307" s="10" t="str">
        <f t="shared" si="7"/>
        <v>Senior Aircraft Maintenance Planning Engineer-Human Factor</v>
      </c>
    </row>
    <row r="308" spans="1:8" hidden="1" x14ac:dyDescent="0.25">
      <c r="A308" s="10">
        <v>270</v>
      </c>
      <c r="B308" s="10" t="s">
        <v>838</v>
      </c>
      <c r="C308" s="10" t="s">
        <v>802</v>
      </c>
      <c r="D308" s="10" t="s">
        <v>201</v>
      </c>
      <c r="E308" s="10" t="s">
        <v>201</v>
      </c>
      <c r="F308" s="10" t="s">
        <v>788</v>
      </c>
      <c r="G308" s="10" t="str">
        <f t="shared" si="7"/>
        <v>Senior Aircraft Maintenance Planning Engineer-Orientation Training</v>
      </c>
    </row>
    <row r="309" spans="1:8" hidden="1" x14ac:dyDescent="0.25">
      <c r="A309" s="10">
        <v>271</v>
      </c>
      <c r="B309" s="10" t="s">
        <v>838</v>
      </c>
      <c r="C309" s="10" t="s">
        <v>831</v>
      </c>
      <c r="D309" s="10" t="s">
        <v>191</v>
      </c>
      <c r="E309" s="10" t="s">
        <v>191</v>
      </c>
      <c r="F309" s="10" t="s">
        <v>788</v>
      </c>
      <c r="G309" s="10" t="str">
        <f t="shared" si="7"/>
        <v>Senior Aircraft Maintenance Planning Engineer-Project Management basic</v>
      </c>
    </row>
    <row r="310" spans="1:8" hidden="1" x14ac:dyDescent="0.25">
      <c r="A310" s="10">
        <v>272</v>
      </c>
      <c r="B310" s="10" t="s">
        <v>838</v>
      </c>
      <c r="C310" s="10" t="s">
        <v>803</v>
      </c>
      <c r="D310" s="10" t="s">
        <v>34</v>
      </c>
      <c r="E310" s="10" t="s">
        <v>34</v>
      </c>
      <c r="F310" s="10" t="s">
        <v>801</v>
      </c>
      <c r="G310" s="10" t="str">
        <f t="shared" si="7"/>
        <v>Senior Aircraft Maintenance Planning Engineer-Safety Management System</v>
      </c>
    </row>
    <row r="311" spans="1:8" hidden="1" x14ac:dyDescent="0.25">
      <c r="A311" s="10">
        <v>273</v>
      </c>
      <c r="B311" s="10" t="s">
        <v>838</v>
      </c>
      <c r="C311" s="10" t="s">
        <v>808</v>
      </c>
      <c r="D311" s="10" t="s">
        <v>199</v>
      </c>
      <c r="E311" s="10" t="s">
        <v>199</v>
      </c>
      <c r="F311" s="10" t="s">
        <v>788</v>
      </c>
      <c r="G311" s="10" t="str">
        <f t="shared" si="7"/>
        <v>Senior Aircraft Maintenance Planning Engineer-SWIFT Training</v>
      </c>
    </row>
    <row r="312" spans="1:8" hidden="1" x14ac:dyDescent="0.25">
      <c r="A312" s="10">
        <v>274</v>
      </c>
      <c r="B312" s="10" t="s">
        <v>838</v>
      </c>
      <c r="C312" s="10" t="s">
        <v>831</v>
      </c>
      <c r="D312" s="10" t="s">
        <v>178</v>
      </c>
      <c r="E312" s="10" t="s">
        <v>178</v>
      </c>
      <c r="F312" s="10" t="s">
        <v>788</v>
      </c>
      <c r="G312" s="10" t="str">
        <f t="shared" si="7"/>
        <v>Senior Aircraft Maintenance Planning Engineer-Training of Trainer</v>
      </c>
    </row>
    <row r="313" spans="1:8" hidden="1" x14ac:dyDescent="0.25">
      <c r="A313" s="10">
        <v>275</v>
      </c>
      <c r="B313" s="10" t="s">
        <v>11</v>
      </c>
      <c r="D313" s="10" t="s">
        <v>33</v>
      </c>
      <c r="F313" s="10" t="s">
        <v>801</v>
      </c>
      <c r="G313" s="10" t="str">
        <f t="shared" si="7"/>
        <v>ASSISTANT STAFF OFFICER-Human Factor</v>
      </c>
    </row>
    <row r="314" spans="1:8" hidden="1" x14ac:dyDescent="0.25">
      <c r="A314" s="10">
        <v>276</v>
      </c>
      <c r="B314" s="10" t="s">
        <v>11</v>
      </c>
      <c r="D314" s="10" t="s">
        <v>34</v>
      </c>
      <c r="F314" s="10" t="s">
        <v>801</v>
      </c>
      <c r="G314" s="10" t="str">
        <f t="shared" si="7"/>
        <v>ASSISTANT STAFF OFFICER-Safety Management System</v>
      </c>
    </row>
    <row r="315" spans="1:8" hidden="1" x14ac:dyDescent="0.25">
      <c r="A315" s="10">
        <v>277</v>
      </c>
      <c r="B315" s="10" t="s">
        <v>11</v>
      </c>
      <c r="D315" s="10" t="s">
        <v>35</v>
      </c>
      <c r="F315" s="10" t="s">
        <v>788</v>
      </c>
      <c r="G315" s="10" t="str">
        <f t="shared" si="7"/>
        <v>ASSISTANT STAFF OFFICER-GMF Quality System</v>
      </c>
    </row>
    <row r="316" spans="1:8" hidden="1" x14ac:dyDescent="0.25">
      <c r="B316" s="10" t="s">
        <v>11</v>
      </c>
      <c r="D316" s="10" t="s">
        <v>36</v>
      </c>
      <c r="F316" s="10" t="s">
        <v>788</v>
      </c>
      <c r="G316" s="10" t="str">
        <f t="shared" ref="G316:G322" si="8">B316 &amp; "-" &amp; D316</f>
        <v>ASSISTANT STAFF OFFICER-CASR Part 145</v>
      </c>
      <c r="H316" s="10" t="s">
        <v>813</v>
      </c>
    </row>
    <row r="317" spans="1:8" hidden="1" x14ac:dyDescent="0.25">
      <c r="B317" s="10" t="s">
        <v>11</v>
      </c>
      <c r="D317" s="10" t="s">
        <v>42</v>
      </c>
      <c r="F317" s="10" t="s">
        <v>788</v>
      </c>
      <c r="G317" s="10" t="str">
        <f t="shared" si="8"/>
        <v>ASSISTANT STAFF OFFICER-Dangerous Good</v>
      </c>
      <c r="H317" s="10" t="s">
        <v>813</v>
      </c>
    </row>
    <row r="318" spans="1:8" hidden="1" x14ac:dyDescent="0.25">
      <c r="B318" s="10" t="s">
        <v>11</v>
      </c>
      <c r="D318" s="10" t="s">
        <v>38</v>
      </c>
      <c r="F318" s="10" t="s">
        <v>788</v>
      </c>
      <c r="G318" s="10" t="str">
        <f t="shared" si="8"/>
        <v>ASSISTANT STAFF OFFICER-EASA Part 145</v>
      </c>
      <c r="H318" s="10" t="s">
        <v>813</v>
      </c>
    </row>
    <row r="319" spans="1:8" hidden="1" x14ac:dyDescent="0.25">
      <c r="B319" s="10" t="s">
        <v>11</v>
      </c>
      <c r="D319" s="10" t="s">
        <v>39</v>
      </c>
      <c r="F319" s="10" t="s">
        <v>788</v>
      </c>
      <c r="G319" s="10" t="str">
        <f t="shared" si="8"/>
        <v>ASSISTANT STAFF OFFICER-EASA Part M</v>
      </c>
      <c r="H319" s="10" t="s">
        <v>813</v>
      </c>
    </row>
    <row r="320" spans="1:8" hidden="1" x14ac:dyDescent="0.25">
      <c r="B320" s="10" t="s">
        <v>11</v>
      </c>
      <c r="D320" s="10" t="s">
        <v>41</v>
      </c>
      <c r="F320" s="10" t="s">
        <v>788</v>
      </c>
      <c r="G320" s="10" t="str">
        <f t="shared" si="8"/>
        <v>ASSISTANT STAFF OFFICER-EWIS</v>
      </c>
      <c r="H320" s="10" t="s">
        <v>813</v>
      </c>
    </row>
    <row r="321" spans="1:8" hidden="1" x14ac:dyDescent="0.25">
      <c r="B321" s="10" t="s">
        <v>11</v>
      </c>
      <c r="D321" s="10" t="s">
        <v>37</v>
      </c>
      <c r="F321" s="10" t="s">
        <v>788</v>
      </c>
      <c r="G321" s="10" t="str">
        <f t="shared" si="8"/>
        <v>ASSISTANT STAFF OFFICER-FAR Part 145</v>
      </c>
      <c r="H321" s="10" t="s">
        <v>813</v>
      </c>
    </row>
    <row r="322" spans="1:8" hidden="1" x14ac:dyDescent="0.25">
      <c r="B322" s="10" t="s">
        <v>11</v>
      </c>
      <c r="D322" s="10" t="s">
        <v>40</v>
      </c>
      <c r="F322" s="10" t="s">
        <v>788</v>
      </c>
      <c r="G322" s="10" t="str">
        <f t="shared" si="8"/>
        <v>ASSISTANT STAFF OFFICER-Fuel Tank Safety</v>
      </c>
      <c r="H322" s="10" t="s">
        <v>813</v>
      </c>
    </row>
    <row r="323" spans="1:8" hidden="1" x14ac:dyDescent="0.25">
      <c r="A323" s="10">
        <v>278</v>
      </c>
      <c r="B323" s="10" t="s">
        <v>839</v>
      </c>
      <c r="C323" s="10" t="s">
        <v>811</v>
      </c>
      <c r="D323" s="10" t="s">
        <v>173</v>
      </c>
      <c r="E323" s="10" t="s">
        <v>812</v>
      </c>
      <c r="F323" s="10" t="s">
        <v>788</v>
      </c>
      <c r="G323" s="10" t="str">
        <f t="shared" si="7"/>
        <v>Senior Aircraft Maintenance Technician-ADTH</v>
      </c>
    </row>
    <row r="324" spans="1:8" hidden="1" x14ac:dyDescent="0.25">
      <c r="A324" s="10">
        <v>279</v>
      </c>
      <c r="B324" s="10" t="s">
        <v>839</v>
      </c>
      <c r="C324" s="10" t="s">
        <v>790</v>
      </c>
      <c r="D324" s="10" t="s">
        <v>174</v>
      </c>
      <c r="E324" s="10" t="s">
        <v>174</v>
      </c>
      <c r="F324" s="10" t="s">
        <v>788</v>
      </c>
      <c r="G324" s="10" t="str">
        <f t="shared" si="7"/>
        <v>Senior Aircraft Maintenance Technician-Basic Inspection</v>
      </c>
    </row>
    <row r="325" spans="1:8" hidden="1" x14ac:dyDescent="0.25">
      <c r="A325" s="10">
        <v>280</v>
      </c>
      <c r="B325" s="10" t="s">
        <v>839</v>
      </c>
      <c r="C325" s="10" t="s">
        <v>791</v>
      </c>
      <c r="D325" s="10" t="s">
        <v>36</v>
      </c>
      <c r="E325" s="10" t="s">
        <v>36</v>
      </c>
      <c r="F325" s="10" t="s">
        <v>801</v>
      </c>
      <c r="G325" s="10" t="str">
        <f t="shared" si="7"/>
        <v>Senior Aircraft Maintenance Technician-CASR Part 145</v>
      </c>
    </row>
    <row r="326" spans="1:8" hidden="1" x14ac:dyDescent="0.25">
      <c r="A326" s="10">
        <v>281</v>
      </c>
      <c r="B326" s="10" t="s">
        <v>839</v>
      </c>
      <c r="C326" s="10" t="s">
        <v>792</v>
      </c>
      <c r="D326" s="10" t="s">
        <v>42</v>
      </c>
      <c r="E326" s="10" t="s">
        <v>42</v>
      </c>
      <c r="F326" s="10" t="s">
        <v>788</v>
      </c>
      <c r="G326" s="10" t="str">
        <f t="shared" si="7"/>
        <v>Senior Aircraft Maintenance Technician-Dangerous Good</v>
      </c>
    </row>
    <row r="327" spans="1:8" hidden="1" x14ac:dyDescent="0.25">
      <c r="A327" s="10">
        <v>282</v>
      </c>
      <c r="B327" s="10" t="s">
        <v>839</v>
      </c>
      <c r="C327" s="10" t="s">
        <v>793</v>
      </c>
      <c r="D327" s="10" t="s">
        <v>38</v>
      </c>
      <c r="E327" s="10" t="s">
        <v>38</v>
      </c>
      <c r="F327" s="10" t="s">
        <v>801</v>
      </c>
      <c r="G327" s="10" t="str">
        <f t="shared" si="7"/>
        <v>Senior Aircraft Maintenance Technician-EASA Part 145</v>
      </c>
    </row>
    <row r="328" spans="1:8" hidden="1" x14ac:dyDescent="0.25">
      <c r="A328" s="10">
        <v>283</v>
      </c>
      <c r="B328" s="10" t="s">
        <v>839</v>
      </c>
      <c r="C328" s="10" t="s">
        <v>794</v>
      </c>
      <c r="D328" s="10" t="s">
        <v>39</v>
      </c>
      <c r="E328" s="10" t="s">
        <v>39</v>
      </c>
      <c r="F328" s="10" t="s">
        <v>801</v>
      </c>
      <c r="G328" s="10" t="str">
        <f t="shared" si="7"/>
        <v>Senior Aircraft Maintenance Technician-EASA Part M</v>
      </c>
    </row>
    <row r="329" spans="1:8" hidden="1" x14ac:dyDescent="0.25">
      <c r="A329" s="10">
        <v>284</v>
      </c>
      <c r="B329" s="10" t="s">
        <v>839</v>
      </c>
      <c r="C329" s="10" t="s">
        <v>796</v>
      </c>
      <c r="D329" s="10" t="s">
        <v>41</v>
      </c>
      <c r="E329" s="10" t="s">
        <v>41</v>
      </c>
      <c r="F329" s="10" t="s">
        <v>801</v>
      </c>
      <c r="G329" s="10" t="str">
        <f t="shared" si="7"/>
        <v>Senior Aircraft Maintenance Technician-EWIS</v>
      </c>
    </row>
    <row r="330" spans="1:8" hidden="1" x14ac:dyDescent="0.25">
      <c r="A330" s="10">
        <v>285</v>
      </c>
      <c r="B330" s="10" t="s">
        <v>839</v>
      </c>
      <c r="C330" s="10" t="s">
        <v>797</v>
      </c>
      <c r="D330" s="10" t="s">
        <v>37</v>
      </c>
      <c r="E330" s="10" t="s">
        <v>37</v>
      </c>
      <c r="F330" s="10" t="s">
        <v>801</v>
      </c>
      <c r="G330" s="10" t="str">
        <f t="shared" si="7"/>
        <v>Senior Aircraft Maintenance Technician-FAR Part 145</v>
      </c>
    </row>
    <row r="331" spans="1:8" hidden="1" x14ac:dyDescent="0.25">
      <c r="A331" s="10">
        <v>286</v>
      </c>
      <c r="B331" s="10" t="s">
        <v>839</v>
      </c>
      <c r="C331" s="10" t="s">
        <v>798</v>
      </c>
      <c r="D331" s="10" t="s">
        <v>40</v>
      </c>
      <c r="E331" s="10" t="s">
        <v>40</v>
      </c>
      <c r="F331" s="10" t="s">
        <v>801</v>
      </c>
      <c r="G331" s="10" t="str">
        <f t="shared" si="7"/>
        <v>Senior Aircraft Maintenance Technician-Fuel Tank Safety</v>
      </c>
    </row>
    <row r="332" spans="1:8" hidden="1" x14ac:dyDescent="0.25">
      <c r="A332" s="10">
        <v>287</v>
      </c>
      <c r="B332" s="10" t="s">
        <v>839</v>
      </c>
      <c r="C332" s="10" t="s">
        <v>799</v>
      </c>
      <c r="D332" s="10" t="s">
        <v>35</v>
      </c>
      <c r="E332" s="10" t="s">
        <v>35</v>
      </c>
      <c r="F332" s="10" t="s">
        <v>801</v>
      </c>
      <c r="G332" s="10" t="str">
        <f t="shared" si="7"/>
        <v>Senior Aircraft Maintenance Technician-GMF Quality System</v>
      </c>
    </row>
    <row r="333" spans="1:8" hidden="1" x14ac:dyDescent="0.25">
      <c r="A333" s="10">
        <v>288</v>
      </c>
      <c r="B333" s="10" t="s">
        <v>839</v>
      </c>
      <c r="C333" s="10" t="s">
        <v>800</v>
      </c>
      <c r="D333" s="10" t="s">
        <v>33</v>
      </c>
      <c r="E333" s="10" t="s">
        <v>33</v>
      </c>
      <c r="F333" s="10" t="s">
        <v>801</v>
      </c>
      <c r="G333" s="10" t="str">
        <f t="shared" si="7"/>
        <v>Senior Aircraft Maintenance Technician-Human Factor</v>
      </c>
    </row>
    <row r="334" spans="1:8" hidden="1" x14ac:dyDescent="0.25">
      <c r="A334" s="10">
        <v>289</v>
      </c>
      <c r="B334" s="10" t="s">
        <v>839</v>
      </c>
      <c r="C334" s="10" t="s">
        <v>802</v>
      </c>
      <c r="D334" s="10" t="s">
        <v>201</v>
      </c>
      <c r="E334" s="10" t="s">
        <v>201</v>
      </c>
      <c r="F334" s="10" t="s">
        <v>788</v>
      </c>
      <c r="G334" s="10" t="str">
        <f t="shared" si="7"/>
        <v>Senior Aircraft Maintenance Technician-Orientation Training</v>
      </c>
    </row>
    <row r="335" spans="1:8" hidden="1" x14ac:dyDescent="0.25">
      <c r="A335" s="10">
        <v>290</v>
      </c>
      <c r="B335" s="10" t="s">
        <v>839</v>
      </c>
      <c r="C335" s="10" t="s">
        <v>803</v>
      </c>
      <c r="D335" s="10" t="s">
        <v>34</v>
      </c>
      <c r="E335" s="10" t="s">
        <v>34</v>
      </c>
      <c r="F335" s="10" t="s">
        <v>801</v>
      </c>
      <c r="G335" s="10" t="str">
        <f t="shared" si="7"/>
        <v>Senior Aircraft Maintenance Technician-Safety Management System</v>
      </c>
    </row>
    <row r="336" spans="1:8" hidden="1" x14ac:dyDescent="0.25">
      <c r="A336" s="10">
        <v>291</v>
      </c>
      <c r="B336" s="10" t="s">
        <v>839</v>
      </c>
      <c r="C336" s="10" t="s">
        <v>808</v>
      </c>
      <c r="D336" s="10" t="s">
        <v>199</v>
      </c>
      <c r="E336" s="10" t="s">
        <v>199</v>
      </c>
      <c r="F336" s="10" t="s">
        <v>788</v>
      </c>
      <c r="G336" s="10" t="str">
        <f t="shared" si="7"/>
        <v>Senior Aircraft Maintenance Technician-SWIFT Training</v>
      </c>
    </row>
    <row r="337" spans="1:7" hidden="1" x14ac:dyDescent="0.25">
      <c r="A337" s="10">
        <v>292</v>
      </c>
      <c r="B337" s="10" t="s">
        <v>839</v>
      </c>
      <c r="C337" s="10" t="s">
        <v>817</v>
      </c>
      <c r="D337" s="10" t="s">
        <v>60</v>
      </c>
      <c r="E337" s="10" t="s">
        <v>60</v>
      </c>
      <c r="F337" s="10" t="s">
        <v>788</v>
      </c>
      <c r="G337" s="10" t="str">
        <f t="shared" si="7"/>
        <v>Senior Aircraft Maintenance Technician-Type Rating Level III Training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2703-9C89-4B6A-A63A-AB9E96F98B5B}">
  <sheetPr>
    <tabColor rgb="FF92D050"/>
  </sheetPr>
  <dimension ref="A1:AX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N13" sqref="AN13"/>
    </sheetView>
  </sheetViews>
  <sheetFormatPr defaultColWidth="14.42578125" defaultRowHeight="15" customHeight="1" x14ac:dyDescent="0.25"/>
  <cols>
    <col min="1" max="1" width="5" style="21" customWidth="1"/>
    <col min="2" max="2" width="42.85546875" style="21" customWidth="1"/>
    <col min="3" max="21" width="9" style="21" customWidth="1"/>
    <col min="22" max="22" width="11.7109375" style="21" customWidth="1"/>
    <col min="23" max="23" width="9.5703125" style="21" customWidth="1"/>
    <col min="24" max="26" width="9" style="21" customWidth="1"/>
    <col min="27" max="27" width="8.85546875" style="21" customWidth="1"/>
    <col min="28" max="37" width="9" style="21" customWidth="1"/>
    <col min="38" max="38" width="9.28515625" style="21" customWidth="1"/>
    <col min="39" max="39" width="7.140625" style="21" customWidth="1"/>
    <col min="40" max="43" width="12" style="21" customWidth="1"/>
    <col min="44" max="44" width="10.7109375" style="21" customWidth="1"/>
    <col min="45" max="48" width="9.5703125" style="21" customWidth="1"/>
    <col min="49" max="49" width="8.5703125" style="21" customWidth="1"/>
    <col min="50" max="50" width="11.42578125" style="21" customWidth="1"/>
    <col min="51" max="16384" width="14.42578125" style="21"/>
  </cols>
  <sheetData>
    <row r="1" spans="1:50" ht="69.75" customHeight="1" x14ac:dyDescent="0.25">
      <c r="A1" s="18" t="s">
        <v>158</v>
      </c>
      <c r="B1" s="19" t="s">
        <v>840</v>
      </c>
      <c r="C1" s="20" t="s">
        <v>841</v>
      </c>
      <c r="D1" s="20" t="s">
        <v>842</v>
      </c>
      <c r="E1" s="20" t="s">
        <v>843</v>
      </c>
      <c r="F1" s="20" t="s">
        <v>844</v>
      </c>
      <c r="G1" s="20" t="s">
        <v>845</v>
      </c>
      <c r="H1" s="20" t="s">
        <v>846</v>
      </c>
      <c r="I1" s="20" t="s">
        <v>847</v>
      </c>
      <c r="J1" s="20" t="s">
        <v>848</v>
      </c>
      <c r="K1" s="20" t="s">
        <v>849</v>
      </c>
      <c r="L1" s="20" t="s">
        <v>850</v>
      </c>
      <c r="M1" s="20" t="s">
        <v>851</v>
      </c>
      <c r="N1" s="20" t="s">
        <v>852</v>
      </c>
      <c r="O1" s="20" t="s">
        <v>853</v>
      </c>
      <c r="P1" s="20" t="s">
        <v>854</v>
      </c>
      <c r="Q1" s="20" t="s">
        <v>855</v>
      </c>
      <c r="R1" s="20" t="s">
        <v>104</v>
      </c>
      <c r="S1" s="20" t="s">
        <v>186</v>
      </c>
      <c r="T1" s="20" t="s">
        <v>856</v>
      </c>
      <c r="U1" s="20" t="s">
        <v>181</v>
      </c>
      <c r="V1" s="20" t="s">
        <v>857</v>
      </c>
      <c r="W1" s="20" t="s">
        <v>858</v>
      </c>
      <c r="X1" s="20" t="s">
        <v>179</v>
      </c>
      <c r="Y1" s="20" t="s">
        <v>859</v>
      </c>
      <c r="Z1" s="20" t="s">
        <v>188</v>
      </c>
      <c r="AA1" s="20" t="s">
        <v>192</v>
      </c>
      <c r="AB1" s="20" t="s">
        <v>190</v>
      </c>
      <c r="AC1" s="20" t="s">
        <v>189</v>
      </c>
      <c r="AD1" s="20" t="s">
        <v>180</v>
      </c>
      <c r="AE1" s="20" t="s">
        <v>860</v>
      </c>
      <c r="AF1" s="20" t="s">
        <v>176</v>
      </c>
      <c r="AG1" s="20" t="s">
        <v>177</v>
      </c>
      <c r="AH1" s="20" t="s">
        <v>861</v>
      </c>
      <c r="AI1" s="20" t="s">
        <v>178</v>
      </c>
      <c r="AJ1" s="20" t="s">
        <v>174</v>
      </c>
      <c r="AK1" s="20" t="s">
        <v>862</v>
      </c>
      <c r="AL1" s="20" t="s">
        <v>863</v>
      </c>
      <c r="AM1" s="20" t="s">
        <v>864</v>
      </c>
      <c r="AN1" s="20" t="s">
        <v>865</v>
      </c>
      <c r="AO1" s="20" t="s">
        <v>182</v>
      </c>
      <c r="AP1" s="20" t="s">
        <v>183</v>
      </c>
      <c r="AQ1" s="20" t="s">
        <v>184</v>
      </c>
      <c r="AR1" s="20" t="s">
        <v>196</v>
      </c>
      <c r="AS1" s="20" t="s">
        <v>195</v>
      </c>
      <c r="AT1" s="20" t="s">
        <v>194</v>
      </c>
      <c r="AU1" s="20" t="s">
        <v>193</v>
      </c>
      <c r="AV1" s="20" t="s">
        <v>866</v>
      </c>
      <c r="AW1" s="20" t="s">
        <v>867</v>
      </c>
      <c r="AX1" s="20" t="s">
        <v>868</v>
      </c>
    </row>
    <row r="2" spans="1:50" x14ac:dyDescent="0.25">
      <c r="A2" s="22">
        <v>1</v>
      </c>
      <c r="B2" s="25" t="s">
        <v>869</v>
      </c>
      <c r="C2" s="22" t="s">
        <v>870</v>
      </c>
      <c r="D2" s="22" t="s">
        <v>870</v>
      </c>
      <c r="E2" s="22" t="s">
        <v>870</v>
      </c>
      <c r="F2" s="22" t="s">
        <v>870</v>
      </c>
      <c r="G2" s="22" t="s">
        <v>870</v>
      </c>
      <c r="H2" s="22" t="s">
        <v>870</v>
      </c>
      <c r="I2" s="22" t="s">
        <v>870</v>
      </c>
      <c r="J2" s="22"/>
      <c r="K2" s="22" t="s">
        <v>870</v>
      </c>
      <c r="L2" s="22"/>
      <c r="M2" s="22" t="s">
        <v>870</v>
      </c>
      <c r="N2" s="22"/>
      <c r="O2" s="22"/>
      <c r="P2" s="22" t="s">
        <v>870</v>
      </c>
      <c r="Q2" s="22" t="s">
        <v>870</v>
      </c>
      <c r="R2" s="22"/>
      <c r="S2" s="22"/>
      <c r="T2" s="22"/>
      <c r="U2" s="22"/>
      <c r="V2" s="22"/>
      <c r="W2" s="22"/>
      <c r="X2" s="22"/>
      <c r="Y2" s="22"/>
      <c r="Z2" s="22"/>
      <c r="AA2" s="22" t="s">
        <v>870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3">
        <f t="shared" ref="AX2:AX21" si="0">COUNTA(C2:AW2)</f>
        <v>12</v>
      </c>
    </row>
    <row r="3" spans="1:50" x14ac:dyDescent="0.25">
      <c r="A3" s="22">
        <v>2</v>
      </c>
      <c r="B3" s="25" t="s">
        <v>871</v>
      </c>
      <c r="C3" s="22" t="s">
        <v>870</v>
      </c>
      <c r="D3" s="22" t="s">
        <v>870</v>
      </c>
      <c r="E3" s="22" t="s">
        <v>870</v>
      </c>
      <c r="F3" s="22" t="s">
        <v>870</v>
      </c>
      <c r="G3" s="22" t="s">
        <v>870</v>
      </c>
      <c r="H3" s="22" t="s">
        <v>870</v>
      </c>
      <c r="I3" s="22" t="s">
        <v>870</v>
      </c>
      <c r="J3" s="22"/>
      <c r="K3" s="22" t="s">
        <v>870</v>
      </c>
      <c r="L3" s="22"/>
      <c r="M3" s="22" t="s">
        <v>870</v>
      </c>
      <c r="N3" s="22"/>
      <c r="O3" s="22"/>
      <c r="P3" s="22" t="s">
        <v>870</v>
      </c>
      <c r="Q3" s="22" t="s">
        <v>870</v>
      </c>
      <c r="R3" s="22"/>
      <c r="S3" s="22"/>
      <c r="T3" s="22"/>
      <c r="U3" s="22"/>
      <c r="V3" s="22"/>
      <c r="W3" s="22"/>
      <c r="X3" s="22"/>
      <c r="Y3" s="22"/>
      <c r="Z3" s="22" t="s">
        <v>870</v>
      </c>
      <c r="AA3" s="22"/>
      <c r="AB3" s="22" t="s">
        <v>870</v>
      </c>
      <c r="AC3" s="22" t="s">
        <v>870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3">
        <f t="shared" si="0"/>
        <v>14</v>
      </c>
    </row>
    <row r="4" spans="1:50" x14ac:dyDescent="0.25">
      <c r="A4" s="22">
        <v>3</v>
      </c>
      <c r="B4" s="25" t="s">
        <v>872</v>
      </c>
      <c r="C4" s="22" t="s">
        <v>870</v>
      </c>
      <c r="D4" s="22" t="s">
        <v>870</v>
      </c>
      <c r="E4" s="22" t="s">
        <v>870</v>
      </c>
      <c r="F4" s="22" t="s">
        <v>870</v>
      </c>
      <c r="G4" s="22" t="s">
        <v>870</v>
      </c>
      <c r="H4" s="22"/>
      <c r="I4" s="22" t="s">
        <v>870</v>
      </c>
      <c r="J4" s="22"/>
      <c r="K4" s="22"/>
      <c r="L4" s="22"/>
      <c r="M4" s="22"/>
      <c r="N4" s="22"/>
      <c r="O4" s="22"/>
      <c r="P4" s="22" t="s">
        <v>870</v>
      </c>
      <c r="Q4" s="22" t="s">
        <v>870</v>
      </c>
      <c r="R4" s="22"/>
      <c r="S4" s="22"/>
      <c r="T4" s="22"/>
      <c r="U4" s="22" t="s">
        <v>870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3">
        <f t="shared" si="0"/>
        <v>9</v>
      </c>
    </row>
    <row r="5" spans="1:50" x14ac:dyDescent="0.25">
      <c r="A5" s="22">
        <v>4</v>
      </c>
      <c r="B5" s="25" t="s">
        <v>836</v>
      </c>
      <c r="C5" s="22" t="s">
        <v>870</v>
      </c>
      <c r="D5" s="22" t="s">
        <v>870</v>
      </c>
      <c r="E5" s="22" t="s">
        <v>870</v>
      </c>
      <c r="F5" s="22" t="s">
        <v>870</v>
      </c>
      <c r="G5" s="22" t="s">
        <v>870</v>
      </c>
      <c r="H5" s="22" t="s">
        <v>870</v>
      </c>
      <c r="I5" s="22" t="s">
        <v>870</v>
      </c>
      <c r="J5" s="22"/>
      <c r="K5" s="22" t="s">
        <v>870</v>
      </c>
      <c r="L5" s="22"/>
      <c r="M5" s="22" t="s">
        <v>870</v>
      </c>
      <c r="N5" s="22"/>
      <c r="O5" s="22"/>
      <c r="P5" s="22" t="s">
        <v>870</v>
      </c>
      <c r="Q5" s="22" t="s">
        <v>870</v>
      </c>
      <c r="R5" s="22"/>
      <c r="S5" s="22"/>
      <c r="T5" s="22"/>
      <c r="U5" s="22" t="s">
        <v>870</v>
      </c>
      <c r="V5" s="22"/>
      <c r="W5" s="22" t="s">
        <v>870</v>
      </c>
      <c r="X5" s="22" t="s">
        <v>870</v>
      </c>
      <c r="Y5" s="22"/>
      <c r="Z5" s="22"/>
      <c r="AA5" s="22"/>
      <c r="AB5" s="22"/>
      <c r="AC5" s="22"/>
      <c r="AD5" s="22"/>
      <c r="AE5" s="22"/>
      <c r="AF5" s="22"/>
      <c r="AG5" s="22"/>
      <c r="AH5" s="22" t="s">
        <v>870</v>
      </c>
      <c r="AI5" s="22" t="s">
        <v>870</v>
      </c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3">
        <f>COUNTA(C5:AW5)</f>
        <v>16</v>
      </c>
    </row>
    <row r="6" spans="1:50" x14ac:dyDescent="0.25">
      <c r="A6" s="22">
        <v>5</v>
      </c>
      <c r="B6" s="25" t="s">
        <v>838</v>
      </c>
      <c r="C6" s="22" t="s">
        <v>870</v>
      </c>
      <c r="D6" s="22" t="s">
        <v>870</v>
      </c>
      <c r="E6" s="22" t="s">
        <v>870</v>
      </c>
      <c r="F6" s="22" t="s">
        <v>870</v>
      </c>
      <c r="G6" s="22" t="s">
        <v>870</v>
      </c>
      <c r="H6" s="22" t="s">
        <v>870</v>
      </c>
      <c r="I6" s="22" t="s">
        <v>870</v>
      </c>
      <c r="J6" s="22"/>
      <c r="K6" s="22" t="s">
        <v>870</v>
      </c>
      <c r="L6" s="22"/>
      <c r="M6" s="22" t="s">
        <v>870</v>
      </c>
      <c r="N6" s="22"/>
      <c r="O6" s="22"/>
      <c r="P6" s="22" t="s">
        <v>870</v>
      </c>
      <c r="Q6" s="22" t="s">
        <v>870</v>
      </c>
      <c r="R6" s="22"/>
      <c r="S6" s="22"/>
      <c r="T6" s="22"/>
      <c r="U6" s="22" t="s">
        <v>870</v>
      </c>
      <c r="V6" s="22"/>
      <c r="W6" s="22" t="s">
        <v>870</v>
      </c>
      <c r="X6" s="22"/>
      <c r="Y6" s="22"/>
      <c r="Z6" s="22"/>
      <c r="AA6" s="22"/>
      <c r="AB6" s="22"/>
      <c r="AC6" s="22"/>
      <c r="AD6" s="22" t="s">
        <v>870</v>
      </c>
      <c r="AE6" s="22"/>
      <c r="AF6" s="22"/>
      <c r="AG6" s="22"/>
      <c r="AH6" s="22" t="s">
        <v>870</v>
      </c>
      <c r="AI6" s="22" t="s">
        <v>870</v>
      </c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3">
        <f>COUNTA(C6:AW6)</f>
        <v>16</v>
      </c>
    </row>
    <row r="7" spans="1:50" x14ac:dyDescent="0.25">
      <c r="A7" s="22">
        <v>6</v>
      </c>
      <c r="B7" s="25" t="s">
        <v>835</v>
      </c>
      <c r="C7" s="22" t="s">
        <v>870</v>
      </c>
      <c r="D7" s="22" t="s">
        <v>870</v>
      </c>
      <c r="E7" s="22" t="s">
        <v>870</v>
      </c>
      <c r="F7" s="22" t="s">
        <v>870</v>
      </c>
      <c r="G7" s="22" t="s">
        <v>870</v>
      </c>
      <c r="H7" s="22" t="s">
        <v>870</v>
      </c>
      <c r="I7" s="22" t="s">
        <v>870</v>
      </c>
      <c r="J7" s="22" t="s">
        <v>870</v>
      </c>
      <c r="K7" s="22" t="s">
        <v>870</v>
      </c>
      <c r="L7" s="22" t="s">
        <v>870</v>
      </c>
      <c r="M7" s="22" t="s">
        <v>870</v>
      </c>
      <c r="N7" s="22" t="s">
        <v>870</v>
      </c>
      <c r="O7" s="22" t="s">
        <v>870</v>
      </c>
      <c r="P7" s="22" t="s">
        <v>870</v>
      </c>
      <c r="Q7" s="22" t="s">
        <v>870</v>
      </c>
      <c r="R7" s="22" t="s">
        <v>870</v>
      </c>
      <c r="S7" s="22"/>
      <c r="T7" s="22"/>
      <c r="U7" s="22"/>
      <c r="V7" s="22"/>
      <c r="W7" s="22" t="s">
        <v>870</v>
      </c>
      <c r="X7" s="22"/>
      <c r="Y7" s="22"/>
      <c r="Z7" s="22"/>
      <c r="AA7" s="22"/>
      <c r="AB7" s="22"/>
      <c r="AC7" s="22"/>
      <c r="AD7" s="22"/>
      <c r="AE7" s="22" t="s">
        <v>870</v>
      </c>
      <c r="AF7" s="22" t="s">
        <v>870</v>
      </c>
      <c r="AG7" s="22" t="s">
        <v>870</v>
      </c>
      <c r="AH7" s="22"/>
      <c r="AI7" s="22"/>
      <c r="AJ7" s="22" t="s">
        <v>870</v>
      </c>
      <c r="AK7" s="22" t="s">
        <v>870</v>
      </c>
      <c r="AL7" s="22" t="s">
        <v>870</v>
      </c>
      <c r="AM7" s="22" t="s">
        <v>870</v>
      </c>
      <c r="AN7" s="22" t="s">
        <v>870</v>
      </c>
      <c r="AO7" s="22"/>
      <c r="AP7" s="22"/>
      <c r="AQ7" s="22"/>
      <c r="AR7" s="22"/>
      <c r="AS7" s="22"/>
      <c r="AT7" s="22"/>
      <c r="AU7" s="22"/>
      <c r="AV7" s="22"/>
      <c r="AW7" s="22" t="s">
        <v>870</v>
      </c>
      <c r="AX7" s="23">
        <f t="shared" si="0"/>
        <v>26</v>
      </c>
    </row>
    <row r="8" spans="1:50" x14ac:dyDescent="0.25">
      <c r="A8" s="22">
        <v>7</v>
      </c>
      <c r="B8" s="25" t="s">
        <v>832</v>
      </c>
      <c r="C8" s="22" t="s">
        <v>870</v>
      </c>
      <c r="D8" s="22" t="s">
        <v>870</v>
      </c>
      <c r="E8" s="22" t="s">
        <v>870</v>
      </c>
      <c r="F8" s="22" t="s">
        <v>870</v>
      </c>
      <c r="G8" s="22" t="s">
        <v>870</v>
      </c>
      <c r="H8" s="22" t="s">
        <v>870</v>
      </c>
      <c r="I8" s="22" t="s">
        <v>870</v>
      </c>
      <c r="J8" s="22" t="s">
        <v>870</v>
      </c>
      <c r="K8" s="22" t="s">
        <v>870</v>
      </c>
      <c r="L8" s="22" t="s">
        <v>870</v>
      </c>
      <c r="M8" s="22" t="s">
        <v>870</v>
      </c>
      <c r="N8" s="22" t="s">
        <v>870</v>
      </c>
      <c r="O8" s="22" t="s">
        <v>870</v>
      </c>
      <c r="P8" s="22" t="s">
        <v>870</v>
      </c>
      <c r="Q8" s="22" t="s">
        <v>870</v>
      </c>
      <c r="R8" s="22"/>
      <c r="S8" s="22"/>
      <c r="T8" s="22"/>
      <c r="U8" s="22"/>
      <c r="V8" s="22"/>
      <c r="W8" s="22" t="s">
        <v>870</v>
      </c>
      <c r="X8" s="22"/>
      <c r="Y8" s="22" t="s">
        <v>870</v>
      </c>
      <c r="Z8" s="22"/>
      <c r="AA8" s="22"/>
      <c r="AB8" s="22"/>
      <c r="AC8" s="22"/>
      <c r="AD8" s="22"/>
      <c r="AE8" s="22" t="s">
        <v>870</v>
      </c>
      <c r="AF8" s="22"/>
      <c r="AG8" s="22" t="s">
        <v>870</v>
      </c>
      <c r="AH8" s="22"/>
      <c r="AI8" s="22"/>
      <c r="AJ8" s="22" t="s">
        <v>870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3">
        <f t="shared" si="0"/>
        <v>20</v>
      </c>
    </row>
    <row r="9" spans="1:50" x14ac:dyDescent="0.25">
      <c r="A9" s="22">
        <v>8</v>
      </c>
      <c r="B9" s="25" t="s">
        <v>830</v>
      </c>
      <c r="C9" s="22" t="s">
        <v>870</v>
      </c>
      <c r="D9" s="22" t="s">
        <v>870</v>
      </c>
      <c r="E9" s="22" t="s">
        <v>870</v>
      </c>
      <c r="F9" s="22" t="s">
        <v>870</v>
      </c>
      <c r="G9" s="22" t="s">
        <v>870</v>
      </c>
      <c r="H9" s="22"/>
      <c r="I9" s="22" t="s">
        <v>870</v>
      </c>
      <c r="J9" s="22"/>
      <c r="K9" s="22" t="s">
        <v>870</v>
      </c>
      <c r="L9" s="22"/>
      <c r="M9" s="22" t="s">
        <v>870</v>
      </c>
      <c r="N9" s="22"/>
      <c r="O9" s="22"/>
      <c r="P9" s="22" t="s">
        <v>870</v>
      </c>
      <c r="Q9" s="22" t="s">
        <v>870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870</v>
      </c>
      <c r="AI9" s="22"/>
      <c r="AJ9" s="22" t="s">
        <v>870</v>
      </c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3">
        <f t="shared" si="0"/>
        <v>12</v>
      </c>
    </row>
    <row r="10" spans="1:50" x14ac:dyDescent="0.25">
      <c r="A10" s="22">
        <v>9</v>
      </c>
      <c r="B10" s="25" t="s">
        <v>818</v>
      </c>
      <c r="C10" s="22" t="s">
        <v>870</v>
      </c>
      <c r="D10" s="22" t="s">
        <v>870</v>
      </c>
      <c r="E10" s="22" t="s">
        <v>870</v>
      </c>
      <c r="F10" s="22" t="s">
        <v>870</v>
      </c>
      <c r="G10" s="22" t="s">
        <v>870</v>
      </c>
      <c r="H10" s="22" t="s">
        <v>870</v>
      </c>
      <c r="I10" s="22" t="s">
        <v>870</v>
      </c>
      <c r="J10" s="22"/>
      <c r="K10" s="22" t="s">
        <v>870</v>
      </c>
      <c r="L10" s="22"/>
      <c r="M10" s="22" t="s">
        <v>870</v>
      </c>
      <c r="N10" s="22"/>
      <c r="O10" s="22"/>
      <c r="P10" s="22" t="s">
        <v>870</v>
      </c>
      <c r="Q10" s="22" t="s">
        <v>870</v>
      </c>
      <c r="R10" s="22"/>
      <c r="S10" s="22"/>
      <c r="T10" s="22"/>
      <c r="U10" s="22" t="s">
        <v>870</v>
      </c>
      <c r="V10" s="22"/>
      <c r="W10" s="22" t="s">
        <v>870</v>
      </c>
      <c r="X10" s="22" t="s">
        <v>870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3">
        <f>COUNTA(C10:AW10)</f>
        <v>14</v>
      </c>
    </row>
    <row r="11" spans="1:50" x14ac:dyDescent="0.25">
      <c r="A11" s="22">
        <v>10</v>
      </c>
      <c r="B11" s="25" t="s">
        <v>821</v>
      </c>
      <c r="C11" s="22" t="s">
        <v>870</v>
      </c>
      <c r="D11" s="22" t="s">
        <v>870</v>
      </c>
      <c r="E11" s="22" t="s">
        <v>870</v>
      </c>
      <c r="F11" s="22" t="s">
        <v>870</v>
      </c>
      <c r="G11" s="22" t="s">
        <v>870</v>
      </c>
      <c r="H11" s="22" t="s">
        <v>870</v>
      </c>
      <c r="I11" s="22" t="s">
        <v>870</v>
      </c>
      <c r="J11" s="22"/>
      <c r="K11" s="22" t="s">
        <v>870</v>
      </c>
      <c r="L11" s="22"/>
      <c r="M11" s="22" t="s">
        <v>870</v>
      </c>
      <c r="N11" s="22"/>
      <c r="O11" s="22"/>
      <c r="P11" s="22" t="s">
        <v>870</v>
      </c>
      <c r="Q11" s="22" t="s">
        <v>870</v>
      </c>
      <c r="R11" s="22"/>
      <c r="S11" s="22"/>
      <c r="T11" s="22"/>
      <c r="U11" s="22" t="s">
        <v>870</v>
      </c>
      <c r="V11" s="22"/>
      <c r="W11" s="22" t="s">
        <v>870</v>
      </c>
      <c r="X11" s="22"/>
      <c r="Y11" s="22"/>
      <c r="Z11" s="22"/>
      <c r="AA11" s="22"/>
      <c r="AB11" s="22"/>
      <c r="AC11" s="22"/>
      <c r="AD11" s="22" t="s">
        <v>870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3">
        <f>COUNTA(C11:AW11)</f>
        <v>14</v>
      </c>
    </row>
    <row r="12" spans="1:50" x14ac:dyDescent="0.25">
      <c r="A12" s="22">
        <v>11</v>
      </c>
      <c r="B12" s="25" t="s">
        <v>814</v>
      </c>
      <c r="C12" s="22" t="s">
        <v>870</v>
      </c>
      <c r="D12" s="22" t="s">
        <v>870</v>
      </c>
      <c r="E12" s="22" t="s">
        <v>870</v>
      </c>
      <c r="F12" s="22" t="s">
        <v>870</v>
      </c>
      <c r="G12" s="22" t="s">
        <v>870</v>
      </c>
      <c r="H12" s="22" t="s">
        <v>870</v>
      </c>
      <c r="I12" s="22" t="s">
        <v>870</v>
      </c>
      <c r="J12" s="22" t="s">
        <v>870</v>
      </c>
      <c r="K12" s="22" t="s">
        <v>870</v>
      </c>
      <c r="L12" s="22" t="s">
        <v>870</v>
      </c>
      <c r="M12" s="22" t="s">
        <v>870</v>
      </c>
      <c r="N12" s="22" t="s">
        <v>870</v>
      </c>
      <c r="O12" s="22" t="s">
        <v>870</v>
      </c>
      <c r="P12" s="22" t="s">
        <v>870</v>
      </c>
      <c r="Q12" s="22" t="s">
        <v>870</v>
      </c>
      <c r="R12" s="22" t="s">
        <v>870</v>
      </c>
      <c r="S12" s="22"/>
      <c r="T12" s="22"/>
      <c r="U12" s="22"/>
      <c r="V12" s="22"/>
      <c r="W12" s="22" t="s">
        <v>870</v>
      </c>
      <c r="X12" s="22"/>
      <c r="Y12" s="22"/>
      <c r="Z12" s="22"/>
      <c r="AA12" s="22"/>
      <c r="AB12" s="22"/>
      <c r="AC12" s="22"/>
      <c r="AD12" s="22"/>
      <c r="AE12" s="22" t="s">
        <v>870</v>
      </c>
      <c r="AF12" s="22" t="s">
        <v>870</v>
      </c>
      <c r="AG12" s="22" t="s">
        <v>870</v>
      </c>
      <c r="AH12" s="22"/>
      <c r="AI12" s="22"/>
      <c r="AJ12" s="22" t="s">
        <v>870</v>
      </c>
      <c r="AK12" s="22" t="s">
        <v>870</v>
      </c>
      <c r="AL12" s="22" t="s">
        <v>870</v>
      </c>
      <c r="AM12" s="22" t="s">
        <v>870</v>
      </c>
      <c r="AN12" s="22" t="s">
        <v>870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3">
        <f t="shared" si="0"/>
        <v>25</v>
      </c>
    </row>
    <row r="13" spans="1:50" x14ac:dyDescent="0.25">
      <c r="A13" s="22">
        <v>12</v>
      </c>
      <c r="B13" s="25" t="s">
        <v>805</v>
      </c>
      <c r="C13" s="22" t="s">
        <v>870</v>
      </c>
      <c r="D13" s="22" t="s">
        <v>870</v>
      </c>
      <c r="E13" s="22" t="s">
        <v>870</v>
      </c>
      <c r="F13" s="22" t="s">
        <v>870</v>
      </c>
      <c r="G13" s="22" t="s">
        <v>870</v>
      </c>
      <c r="H13" s="22" t="s">
        <v>870</v>
      </c>
      <c r="I13" s="22" t="s">
        <v>870</v>
      </c>
      <c r="J13" s="22" t="s">
        <v>870</v>
      </c>
      <c r="K13" s="22" t="s">
        <v>870</v>
      </c>
      <c r="L13" s="22" t="s">
        <v>870</v>
      </c>
      <c r="M13" s="22" t="s">
        <v>870</v>
      </c>
      <c r="N13" s="22" t="s">
        <v>870</v>
      </c>
      <c r="O13" s="22" t="s">
        <v>870</v>
      </c>
      <c r="P13" s="22" t="s">
        <v>870</v>
      </c>
      <c r="Q13" s="22" t="s">
        <v>870</v>
      </c>
      <c r="R13" s="22"/>
      <c r="S13" s="22"/>
      <c r="T13" s="22"/>
      <c r="U13" s="22"/>
      <c r="V13" s="22"/>
      <c r="W13" s="22" t="s">
        <v>870</v>
      </c>
      <c r="X13" s="22"/>
      <c r="Y13" s="22"/>
      <c r="Z13" s="22"/>
      <c r="AA13" s="22"/>
      <c r="AB13" s="22"/>
      <c r="AC13" s="22"/>
      <c r="AD13" s="22"/>
      <c r="AE13" s="22" t="s">
        <v>870</v>
      </c>
      <c r="AF13" s="22"/>
      <c r="AG13" s="22" t="s">
        <v>870</v>
      </c>
      <c r="AH13" s="22"/>
      <c r="AI13" s="22"/>
      <c r="AJ13" s="22" t="s">
        <v>870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3">
        <f t="shared" si="0"/>
        <v>19</v>
      </c>
    </row>
    <row r="14" spans="1:50" x14ac:dyDescent="0.25">
      <c r="A14" s="22">
        <v>13</v>
      </c>
      <c r="B14" s="25" t="s">
        <v>786</v>
      </c>
      <c r="C14" s="22" t="s">
        <v>870</v>
      </c>
      <c r="D14" s="22" t="s">
        <v>870</v>
      </c>
      <c r="E14" s="22" t="s">
        <v>870</v>
      </c>
      <c r="F14" s="22" t="s">
        <v>870</v>
      </c>
      <c r="G14" s="22" t="s">
        <v>870</v>
      </c>
      <c r="H14" s="22"/>
      <c r="I14" s="22" t="s">
        <v>870</v>
      </c>
      <c r="J14" s="22"/>
      <c r="K14" s="22" t="s">
        <v>870</v>
      </c>
      <c r="L14" s="22"/>
      <c r="M14" s="22" t="s">
        <v>870</v>
      </c>
      <c r="N14" s="22"/>
      <c r="O14" s="22"/>
      <c r="P14" s="22" t="s">
        <v>870</v>
      </c>
      <c r="Q14" s="22" t="s">
        <v>870</v>
      </c>
      <c r="R14" s="22"/>
      <c r="S14" s="22"/>
      <c r="T14" s="22"/>
      <c r="U14" s="22" t="s">
        <v>870</v>
      </c>
      <c r="V14" s="22" t="s">
        <v>870</v>
      </c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 t="s">
        <v>870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3">
        <f t="shared" si="0"/>
        <v>13</v>
      </c>
    </row>
    <row r="15" spans="1:50" ht="15.75" customHeight="1" x14ac:dyDescent="0.25">
      <c r="A15" s="22">
        <v>14</v>
      </c>
      <c r="B15" s="25" t="s">
        <v>839</v>
      </c>
      <c r="C15" s="22" t="s">
        <v>870</v>
      </c>
      <c r="D15" s="22" t="s">
        <v>870</v>
      </c>
      <c r="E15" s="22" t="s">
        <v>870</v>
      </c>
      <c r="F15" s="22" t="s">
        <v>870</v>
      </c>
      <c r="G15" s="22" t="s">
        <v>870</v>
      </c>
      <c r="H15" s="22"/>
      <c r="I15" s="22" t="s">
        <v>870</v>
      </c>
      <c r="J15" s="22" t="s">
        <v>870</v>
      </c>
      <c r="K15" s="22" t="s">
        <v>870</v>
      </c>
      <c r="L15" s="22" t="s">
        <v>870</v>
      </c>
      <c r="M15" s="22" t="s">
        <v>870</v>
      </c>
      <c r="N15" s="22" t="s">
        <v>870</v>
      </c>
      <c r="O15" s="22" t="s">
        <v>870</v>
      </c>
      <c r="P15" s="22" t="s">
        <v>870</v>
      </c>
      <c r="Q15" s="22" t="s">
        <v>870</v>
      </c>
      <c r="R15" s="22" t="s">
        <v>870</v>
      </c>
      <c r="S15" s="22"/>
      <c r="T15" s="22" t="s">
        <v>870</v>
      </c>
      <c r="U15" s="22"/>
      <c r="V15" s="22"/>
      <c r="W15" s="22" t="s">
        <v>870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 t="s">
        <v>870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3">
        <f t="shared" si="0"/>
        <v>18</v>
      </c>
    </row>
    <row r="16" spans="1:50" ht="15.75" customHeight="1" x14ac:dyDescent="0.25">
      <c r="A16" s="22">
        <v>15</v>
      </c>
      <c r="B16" s="25" t="s">
        <v>873</v>
      </c>
      <c r="C16" s="22" t="s">
        <v>870</v>
      </c>
      <c r="D16" s="22" t="s">
        <v>870</v>
      </c>
      <c r="E16" s="22" t="s">
        <v>870</v>
      </c>
      <c r="F16" s="22" t="s">
        <v>870</v>
      </c>
      <c r="G16" s="22" t="s">
        <v>870</v>
      </c>
      <c r="H16" s="22"/>
      <c r="I16" s="22" t="s">
        <v>870</v>
      </c>
      <c r="J16" s="22" t="s">
        <v>870</v>
      </c>
      <c r="K16" s="22" t="s">
        <v>870</v>
      </c>
      <c r="L16" s="22" t="s">
        <v>870</v>
      </c>
      <c r="M16" s="22" t="s">
        <v>870</v>
      </c>
      <c r="N16" s="22" t="s">
        <v>870</v>
      </c>
      <c r="O16" s="22" t="s">
        <v>870</v>
      </c>
      <c r="P16" s="22" t="s">
        <v>870</v>
      </c>
      <c r="Q16" s="22" t="s">
        <v>870</v>
      </c>
      <c r="R16" s="22"/>
      <c r="S16" s="22"/>
      <c r="T16" s="22"/>
      <c r="U16" s="22"/>
      <c r="V16" s="22"/>
      <c r="W16" s="22" t="s">
        <v>870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 t="s">
        <v>870</v>
      </c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3">
        <f t="shared" si="0"/>
        <v>16</v>
      </c>
    </row>
    <row r="17" spans="1:50" ht="15.75" customHeight="1" x14ac:dyDescent="0.25">
      <c r="A17" s="22">
        <v>16</v>
      </c>
      <c r="B17" s="25" t="s">
        <v>823</v>
      </c>
      <c r="C17" s="22" t="s">
        <v>870</v>
      </c>
      <c r="D17" s="22" t="s">
        <v>870</v>
      </c>
      <c r="E17" s="22" t="s">
        <v>870</v>
      </c>
      <c r="F17" s="22" t="s">
        <v>870</v>
      </c>
      <c r="G17" s="22" t="s">
        <v>870</v>
      </c>
      <c r="H17" s="22"/>
      <c r="I17" s="22" t="s">
        <v>870</v>
      </c>
      <c r="J17" s="22" t="s">
        <v>870</v>
      </c>
      <c r="K17" s="22" t="s">
        <v>870</v>
      </c>
      <c r="L17" s="22" t="s">
        <v>870</v>
      </c>
      <c r="M17" s="22" t="s">
        <v>870</v>
      </c>
      <c r="N17" s="22" t="s">
        <v>870</v>
      </c>
      <c r="O17" s="22" t="s">
        <v>870</v>
      </c>
      <c r="P17" s="22" t="s">
        <v>870</v>
      </c>
      <c r="Q17" s="22" t="s">
        <v>870</v>
      </c>
      <c r="R17" s="22"/>
      <c r="S17" s="22"/>
      <c r="T17" s="22" t="s">
        <v>870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3">
        <f t="shared" si="0"/>
        <v>15</v>
      </c>
    </row>
    <row r="18" spans="1:50" ht="15.75" customHeight="1" x14ac:dyDescent="0.25">
      <c r="A18" s="22">
        <v>17</v>
      </c>
      <c r="B18" s="25" t="s">
        <v>810</v>
      </c>
      <c r="C18" s="22" t="s">
        <v>870</v>
      </c>
      <c r="D18" s="22" t="s">
        <v>870</v>
      </c>
      <c r="E18" s="22" t="s">
        <v>870</v>
      </c>
      <c r="F18" s="22" t="s">
        <v>870</v>
      </c>
      <c r="G18" s="22" t="s">
        <v>870</v>
      </c>
      <c r="H18" s="22"/>
      <c r="I18" s="22" t="s">
        <v>870</v>
      </c>
      <c r="J18" s="22" t="s">
        <v>870</v>
      </c>
      <c r="K18" s="22" t="s">
        <v>870</v>
      </c>
      <c r="L18" s="22" t="s">
        <v>870</v>
      </c>
      <c r="M18" s="22" t="s">
        <v>870</v>
      </c>
      <c r="N18" s="22" t="s">
        <v>870</v>
      </c>
      <c r="O18" s="22" t="s">
        <v>870</v>
      </c>
      <c r="P18" s="22" t="s">
        <v>870</v>
      </c>
      <c r="Q18" s="22" t="s">
        <v>870</v>
      </c>
      <c r="R18" s="22"/>
      <c r="S18" s="22"/>
      <c r="T18" s="22" t="s">
        <v>870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3">
        <f t="shared" si="0"/>
        <v>15</v>
      </c>
    </row>
    <row r="19" spans="1:50" ht="15.75" customHeight="1" x14ac:dyDescent="0.25">
      <c r="A19" s="22">
        <v>18</v>
      </c>
      <c r="B19" s="25" t="s">
        <v>820</v>
      </c>
      <c r="C19" s="22" t="s">
        <v>870</v>
      </c>
      <c r="D19" s="22" t="s">
        <v>870</v>
      </c>
      <c r="E19" s="22" t="s">
        <v>870</v>
      </c>
      <c r="F19" s="22" t="s">
        <v>870</v>
      </c>
      <c r="G19" s="22" t="s">
        <v>870</v>
      </c>
      <c r="H19" s="22"/>
      <c r="I19" s="22" t="s">
        <v>870</v>
      </c>
      <c r="J19" s="22"/>
      <c r="K19" s="22"/>
      <c r="L19" s="22"/>
      <c r="M19" s="22"/>
      <c r="N19" s="22"/>
      <c r="O19" s="22"/>
      <c r="P19" s="22" t="s">
        <v>870</v>
      </c>
      <c r="Q19" s="22" t="s">
        <v>870</v>
      </c>
      <c r="R19" s="22"/>
      <c r="S19" s="22"/>
      <c r="T19" s="22"/>
      <c r="U19" s="22" t="s">
        <v>870</v>
      </c>
      <c r="V19" s="22"/>
      <c r="W19" s="22" t="s">
        <v>870</v>
      </c>
      <c r="X19" s="22" t="s">
        <v>870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3">
        <f>COUNTA(C19:AW19)</f>
        <v>11</v>
      </c>
    </row>
    <row r="20" spans="1:50" ht="15.75" customHeight="1" x14ac:dyDescent="0.25">
      <c r="A20" s="22">
        <v>19</v>
      </c>
      <c r="B20" s="25" t="s">
        <v>874</v>
      </c>
      <c r="C20" s="22" t="s">
        <v>870</v>
      </c>
      <c r="D20" s="22" t="s">
        <v>870</v>
      </c>
      <c r="E20" s="22" t="s">
        <v>870</v>
      </c>
      <c r="F20" s="22" t="s">
        <v>870</v>
      </c>
      <c r="G20" s="22"/>
      <c r="H20" s="22"/>
      <c r="I20" s="22" t="s">
        <v>870</v>
      </c>
      <c r="J20" s="22"/>
      <c r="K20" s="22"/>
      <c r="L20" s="22"/>
      <c r="M20" s="22"/>
      <c r="N20" s="22"/>
      <c r="O20" s="22"/>
      <c r="P20" s="22" t="s">
        <v>870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 t="s">
        <v>870</v>
      </c>
      <c r="AS20" s="22"/>
      <c r="AT20" s="22" t="s">
        <v>870</v>
      </c>
      <c r="AU20" s="22" t="s">
        <v>870</v>
      </c>
      <c r="AV20" s="22"/>
      <c r="AW20" s="22"/>
      <c r="AX20" s="23">
        <f>COUNTA(C20:AW20)</f>
        <v>9</v>
      </c>
    </row>
    <row r="21" spans="1:50" ht="15.75" customHeight="1" x14ac:dyDescent="0.25">
      <c r="A21" s="22">
        <v>20</v>
      </c>
      <c r="B21" s="25" t="s">
        <v>875</v>
      </c>
      <c r="C21" s="22" t="s">
        <v>870</v>
      </c>
      <c r="D21" s="22" t="s">
        <v>870</v>
      </c>
      <c r="E21" s="22" t="s">
        <v>870</v>
      </c>
      <c r="F21" s="22" t="s">
        <v>870</v>
      </c>
      <c r="G21" s="22"/>
      <c r="H21" s="22"/>
      <c r="I21" s="22" t="s">
        <v>870</v>
      </c>
      <c r="J21" s="22"/>
      <c r="K21" s="22"/>
      <c r="L21" s="22"/>
      <c r="M21" s="22"/>
      <c r="N21" s="22"/>
      <c r="O21" s="22"/>
      <c r="P21" s="22" t="s">
        <v>870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3">
        <f t="shared" si="0"/>
        <v>6</v>
      </c>
    </row>
    <row r="39" spans="2:2" ht="15.75" customHeight="1" x14ac:dyDescent="0.25">
      <c r="B39" s="24" t="s">
        <v>876</v>
      </c>
    </row>
  </sheetData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3EA4-43FF-495C-B7ED-55B84B28458C}">
  <dimension ref="A1:G306"/>
  <sheetViews>
    <sheetView workbookViewId="0">
      <pane xSplit="2" ySplit="1" topLeftCell="D214" activePane="bottomRight" state="frozen"/>
      <selection pane="topRight" activeCell="B1" sqref="B1"/>
      <selection pane="bottomLeft" activeCell="A2" sqref="A2"/>
      <selection pane="bottomRight" activeCell="B322" sqref="B322"/>
    </sheetView>
  </sheetViews>
  <sheetFormatPr defaultColWidth="8.85546875" defaultRowHeight="15" x14ac:dyDescent="0.25"/>
  <cols>
    <col min="1" max="1" width="5.28515625" style="10" customWidth="1"/>
    <col min="2" max="2" width="39.28515625" style="10" bestFit="1" customWidth="1"/>
    <col min="3" max="3" width="12.5703125" style="10" hidden="1" customWidth="1"/>
    <col min="4" max="4" width="31.140625" style="10" customWidth="1"/>
    <col min="5" max="5" width="51.85546875" style="10" hidden="1" customWidth="1"/>
    <col min="6" max="6" width="20.7109375" style="10" customWidth="1"/>
    <col min="7" max="7" width="68.85546875" style="10" bestFit="1" customWidth="1"/>
    <col min="8" max="16384" width="8.85546875" style="10"/>
  </cols>
  <sheetData>
    <row r="1" spans="1:7" x14ac:dyDescent="0.25">
      <c r="A1" s="10" t="s">
        <v>158</v>
      </c>
      <c r="B1" s="11" t="s">
        <v>62</v>
      </c>
      <c r="C1" s="11" t="s">
        <v>781</v>
      </c>
      <c r="D1" s="11" t="s">
        <v>28</v>
      </c>
      <c r="E1" s="11" t="s">
        <v>782</v>
      </c>
      <c r="F1" s="11" t="s">
        <v>783</v>
      </c>
      <c r="G1" s="11" t="s">
        <v>784</v>
      </c>
    </row>
    <row r="2" spans="1:7" hidden="1" x14ac:dyDescent="0.25">
      <c r="A2" s="10">
        <v>1</v>
      </c>
      <c r="B2" s="10" t="s">
        <v>786</v>
      </c>
      <c r="C2" s="10" t="s">
        <v>787</v>
      </c>
      <c r="D2" s="10" t="s">
        <v>185</v>
      </c>
      <c r="E2" s="10" t="s">
        <v>185</v>
      </c>
      <c r="F2" s="10" t="s">
        <v>788</v>
      </c>
      <c r="G2" s="10" t="str">
        <f t="shared" ref="G2:G92" si="0">B2 &amp; "-" &amp; D2</f>
        <v>Aircraft Cabin Controller-Aircraft Exterior &amp; Interior Cleaning</v>
      </c>
    </row>
    <row r="3" spans="1:7" hidden="1" x14ac:dyDescent="0.25">
      <c r="A3" s="10">
        <v>2</v>
      </c>
      <c r="B3" s="10" t="s">
        <v>786</v>
      </c>
      <c r="C3" s="10" t="s">
        <v>789</v>
      </c>
      <c r="D3" s="10" t="s">
        <v>181</v>
      </c>
      <c r="E3" s="10" t="s">
        <v>181</v>
      </c>
      <c r="F3" s="10" t="s">
        <v>788</v>
      </c>
      <c r="G3" s="10" t="str">
        <f t="shared" si="0"/>
        <v>Aircraft Cabin Controller-Aircraft Familiarization</v>
      </c>
    </row>
    <row r="4" spans="1:7" hidden="1" x14ac:dyDescent="0.25">
      <c r="A4" s="10">
        <v>3</v>
      </c>
      <c r="B4" s="10" t="s">
        <v>786</v>
      </c>
      <c r="C4" s="10" t="s">
        <v>790</v>
      </c>
      <c r="D4" s="10" t="s">
        <v>174</v>
      </c>
      <c r="E4" s="10" t="s">
        <v>174</v>
      </c>
      <c r="F4" s="10" t="s">
        <v>788</v>
      </c>
      <c r="G4" s="10" t="str">
        <f t="shared" si="0"/>
        <v>Aircraft Cabin Controller-Basic Inspection</v>
      </c>
    </row>
    <row r="5" spans="1:7" hidden="1" x14ac:dyDescent="0.25">
      <c r="A5" s="10">
        <v>4</v>
      </c>
      <c r="B5" s="10" t="s">
        <v>786</v>
      </c>
      <c r="C5" s="10" t="s">
        <v>791</v>
      </c>
      <c r="D5" s="10" t="s">
        <v>36</v>
      </c>
      <c r="E5" s="10" t="s">
        <v>36</v>
      </c>
      <c r="F5" s="10" t="s">
        <v>788</v>
      </c>
      <c r="G5" s="10" t="str">
        <f t="shared" si="0"/>
        <v>Aircraft Cabin Controller-CASR Part 145</v>
      </c>
    </row>
    <row r="6" spans="1:7" hidden="1" x14ac:dyDescent="0.25">
      <c r="A6" s="10">
        <v>5</v>
      </c>
      <c r="B6" s="10" t="s">
        <v>786</v>
      </c>
      <c r="C6" s="10" t="s">
        <v>792</v>
      </c>
      <c r="D6" s="10" t="s">
        <v>42</v>
      </c>
      <c r="E6" s="10" t="s">
        <v>42</v>
      </c>
      <c r="F6" s="10" t="s">
        <v>788</v>
      </c>
      <c r="G6" s="10" t="str">
        <f t="shared" si="0"/>
        <v>Aircraft Cabin Controller-Dangerous Good</v>
      </c>
    </row>
    <row r="7" spans="1:7" hidden="1" x14ac:dyDescent="0.25">
      <c r="A7" s="10">
        <v>6</v>
      </c>
      <c r="B7" s="10" t="s">
        <v>786</v>
      </c>
      <c r="C7" s="10" t="s">
        <v>793</v>
      </c>
      <c r="D7" s="10" t="s">
        <v>38</v>
      </c>
      <c r="E7" s="10" t="s">
        <v>38</v>
      </c>
      <c r="F7" s="10" t="s">
        <v>788</v>
      </c>
      <c r="G7" s="10" t="str">
        <f t="shared" si="0"/>
        <v>Aircraft Cabin Controller-EASA Part 145</v>
      </c>
    </row>
    <row r="8" spans="1:7" hidden="1" x14ac:dyDescent="0.25">
      <c r="A8" s="10">
        <v>7</v>
      </c>
      <c r="B8" s="10" t="s">
        <v>786</v>
      </c>
      <c r="C8" s="10" t="s">
        <v>794</v>
      </c>
      <c r="D8" s="10" t="s">
        <v>39</v>
      </c>
      <c r="E8" s="10" t="s">
        <v>795</v>
      </c>
      <c r="F8" s="10" t="s">
        <v>788</v>
      </c>
      <c r="G8" s="10" t="str">
        <f t="shared" si="0"/>
        <v>Aircraft Cabin Controller-EASA Part M</v>
      </c>
    </row>
    <row r="9" spans="1:7" hidden="1" x14ac:dyDescent="0.25">
      <c r="A9" s="10">
        <v>8</v>
      </c>
      <c r="B9" s="10" t="s">
        <v>786</v>
      </c>
      <c r="C9" s="10" t="s">
        <v>796</v>
      </c>
      <c r="D9" s="10" t="s">
        <v>41</v>
      </c>
      <c r="E9" s="10" t="s">
        <v>41</v>
      </c>
      <c r="F9" s="10" t="s">
        <v>788</v>
      </c>
      <c r="G9" s="10" t="str">
        <f t="shared" si="0"/>
        <v>Aircraft Cabin Controller-EWIS</v>
      </c>
    </row>
    <row r="10" spans="1:7" hidden="1" x14ac:dyDescent="0.25">
      <c r="A10" s="10">
        <v>9</v>
      </c>
      <c r="B10" s="10" t="s">
        <v>786</v>
      </c>
      <c r="C10" s="10" t="s">
        <v>797</v>
      </c>
      <c r="D10" s="10" t="s">
        <v>37</v>
      </c>
      <c r="E10" s="10" t="s">
        <v>37</v>
      </c>
      <c r="F10" s="10" t="s">
        <v>788</v>
      </c>
      <c r="G10" s="10" t="str">
        <f t="shared" si="0"/>
        <v>Aircraft Cabin Controller-FAR Part 145</v>
      </c>
    </row>
    <row r="11" spans="1:7" hidden="1" x14ac:dyDescent="0.25">
      <c r="A11" s="10">
        <v>10</v>
      </c>
      <c r="B11" s="10" t="s">
        <v>786</v>
      </c>
      <c r="C11" s="10" t="s">
        <v>798</v>
      </c>
      <c r="D11" s="10" t="s">
        <v>40</v>
      </c>
      <c r="E11" s="10" t="s">
        <v>40</v>
      </c>
      <c r="F11" s="10" t="s">
        <v>788</v>
      </c>
      <c r="G11" s="10" t="str">
        <f t="shared" si="0"/>
        <v>Aircraft Cabin Controller-Fuel Tank Safety</v>
      </c>
    </row>
    <row r="12" spans="1:7" hidden="1" x14ac:dyDescent="0.25">
      <c r="A12" s="10">
        <v>11</v>
      </c>
      <c r="B12" s="10" t="s">
        <v>786</v>
      </c>
      <c r="C12" s="10" t="s">
        <v>799</v>
      </c>
      <c r="D12" s="10" t="s">
        <v>35</v>
      </c>
      <c r="E12" s="10" t="s">
        <v>35</v>
      </c>
      <c r="F12" s="10" t="s">
        <v>788</v>
      </c>
      <c r="G12" s="10" t="str">
        <f t="shared" si="0"/>
        <v>Aircraft Cabin Controller-GMF Quality System</v>
      </c>
    </row>
    <row r="13" spans="1:7" hidden="1" x14ac:dyDescent="0.25">
      <c r="A13" s="10">
        <v>12</v>
      </c>
      <c r="B13" s="10" t="s">
        <v>786</v>
      </c>
      <c r="C13" s="10" t="s">
        <v>800</v>
      </c>
      <c r="D13" s="10" t="s">
        <v>33</v>
      </c>
      <c r="E13" s="10" t="s">
        <v>33</v>
      </c>
      <c r="F13" s="10" t="s">
        <v>801</v>
      </c>
      <c r="G13" s="10" t="str">
        <f t="shared" si="0"/>
        <v>Aircraft Cabin Controller-Human Factor</v>
      </c>
    </row>
    <row r="14" spans="1:7" hidden="1" x14ac:dyDescent="0.25">
      <c r="A14" s="10">
        <v>13</v>
      </c>
      <c r="B14" s="10" t="s">
        <v>786</v>
      </c>
      <c r="C14" s="10" t="s">
        <v>802</v>
      </c>
      <c r="D14" s="10" t="s">
        <v>201</v>
      </c>
      <c r="E14" s="10" t="s">
        <v>201</v>
      </c>
      <c r="F14" s="10" t="s">
        <v>788</v>
      </c>
      <c r="G14" s="10" t="str">
        <f t="shared" si="0"/>
        <v>Aircraft Cabin Controller-Orientation Training</v>
      </c>
    </row>
    <row r="15" spans="1:7" hidden="1" x14ac:dyDescent="0.25">
      <c r="A15" s="10">
        <v>14</v>
      </c>
      <c r="B15" s="10" t="s">
        <v>786</v>
      </c>
      <c r="C15" s="10" t="s">
        <v>803</v>
      </c>
      <c r="D15" s="10" t="s">
        <v>34</v>
      </c>
      <c r="E15" s="10" t="s">
        <v>34</v>
      </c>
      <c r="F15" s="10" t="s">
        <v>801</v>
      </c>
      <c r="G15" s="10" t="str">
        <f t="shared" si="0"/>
        <v>Aircraft Cabin Controller-Safety Management System</v>
      </c>
    </row>
    <row r="16" spans="1:7" hidden="1" x14ac:dyDescent="0.25">
      <c r="A16" s="10">
        <v>15</v>
      </c>
      <c r="B16" s="10" t="s">
        <v>804</v>
      </c>
      <c r="C16" s="10" t="s">
        <v>787</v>
      </c>
      <c r="D16" s="10" t="s">
        <v>185</v>
      </c>
      <c r="E16" s="10" t="s">
        <v>185</v>
      </c>
      <c r="F16" s="10" t="s">
        <v>788</v>
      </c>
      <c r="G16" s="10" t="str">
        <f t="shared" ref="G16:G29" si="1">B16 &amp; "-" &amp; D16</f>
        <v>OJT to Aircraft Cabin Controller-Aircraft Exterior &amp; Interior Cleaning</v>
      </c>
    </row>
    <row r="17" spans="1:7" hidden="1" x14ac:dyDescent="0.25">
      <c r="A17" s="10">
        <v>16</v>
      </c>
      <c r="B17" s="10" t="s">
        <v>804</v>
      </c>
      <c r="C17" s="10" t="s">
        <v>789</v>
      </c>
      <c r="D17" s="10" t="s">
        <v>181</v>
      </c>
      <c r="E17" s="10" t="s">
        <v>181</v>
      </c>
      <c r="F17" s="10" t="s">
        <v>788</v>
      </c>
      <c r="G17" s="10" t="str">
        <f t="shared" si="1"/>
        <v>OJT to Aircraft Cabin Controller-Aircraft Familiarization</v>
      </c>
    </row>
    <row r="18" spans="1:7" hidden="1" x14ac:dyDescent="0.25">
      <c r="A18" s="10">
        <v>17</v>
      </c>
      <c r="B18" s="10" t="s">
        <v>804</v>
      </c>
      <c r="C18" s="10" t="s">
        <v>790</v>
      </c>
      <c r="D18" s="10" t="s">
        <v>174</v>
      </c>
      <c r="E18" s="10" t="s">
        <v>174</v>
      </c>
      <c r="F18" s="10" t="s">
        <v>788</v>
      </c>
      <c r="G18" s="10" t="str">
        <f t="shared" si="1"/>
        <v>OJT to Aircraft Cabin Controller-Basic Inspection</v>
      </c>
    </row>
    <row r="19" spans="1:7" hidden="1" x14ac:dyDescent="0.25">
      <c r="A19" s="10">
        <v>18</v>
      </c>
      <c r="B19" s="10" t="s">
        <v>804</v>
      </c>
      <c r="C19" s="10" t="s">
        <v>791</v>
      </c>
      <c r="D19" s="10" t="s">
        <v>36</v>
      </c>
      <c r="E19" s="10" t="s">
        <v>36</v>
      </c>
      <c r="F19" s="10" t="s">
        <v>788</v>
      </c>
      <c r="G19" s="10" t="str">
        <f t="shared" si="1"/>
        <v>OJT to Aircraft Cabin Controller-CASR Part 145</v>
      </c>
    </row>
    <row r="20" spans="1:7" hidden="1" x14ac:dyDescent="0.25">
      <c r="A20" s="10">
        <v>19</v>
      </c>
      <c r="B20" s="10" t="s">
        <v>804</v>
      </c>
      <c r="C20" s="10" t="s">
        <v>792</v>
      </c>
      <c r="D20" s="10" t="s">
        <v>42</v>
      </c>
      <c r="E20" s="10" t="s">
        <v>42</v>
      </c>
      <c r="F20" s="10" t="s">
        <v>788</v>
      </c>
      <c r="G20" s="10" t="str">
        <f t="shared" si="1"/>
        <v>OJT to Aircraft Cabin Controller-Dangerous Good</v>
      </c>
    </row>
    <row r="21" spans="1:7" hidden="1" x14ac:dyDescent="0.25">
      <c r="A21" s="10">
        <v>20</v>
      </c>
      <c r="B21" s="10" t="s">
        <v>804</v>
      </c>
      <c r="C21" s="10" t="s">
        <v>793</v>
      </c>
      <c r="D21" s="10" t="s">
        <v>38</v>
      </c>
      <c r="E21" s="10" t="s">
        <v>38</v>
      </c>
      <c r="F21" s="10" t="s">
        <v>788</v>
      </c>
      <c r="G21" s="10" t="str">
        <f t="shared" si="1"/>
        <v>OJT to Aircraft Cabin Controller-EASA Part 145</v>
      </c>
    </row>
    <row r="22" spans="1:7" hidden="1" x14ac:dyDescent="0.25">
      <c r="A22" s="10">
        <v>21</v>
      </c>
      <c r="B22" s="10" t="s">
        <v>804</v>
      </c>
      <c r="C22" s="10" t="s">
        <v>794</v>
      </c>
      <c r="D22" s="10" t="s">
        <v>39</v>
      </c>
      <c r="E22" s="10" t="s">
        <v>795</v>
      </c>
      <c r="F22" s="10" t="s">
        <v>788</v>
      </c>
      <c r="G22" s="10" t="str">
        <f t="shared" si="1"/>
        <v>OJT to Aircraft Cabin Controller-EASA Part M</v>
      </c>
    </row>
    <row r="23" spans="1:7" hidden="1" x14ac:dyDescent="0.25">
      <c r="A23" s="10">
        <v>22</v>
      </c>
      <c r="B23" s="10" t="s">
        <v>804</v>
      </c>
      <c r="C23" s="10" t="s">
        <v>796</v>
      </c>
      <c r="D23" s="10" t="s">
        <v>41</v>
      </c>
      <c r="E23" s="10" t="s">
        <v>41</v>
      </c>
      <c r="F23" s="10" t="s">
        <v>788</v>
      </c>
      <c r="G23" s="10" t="str">
        <f t="shared" si="1"/>
        <v>OJT to Aircraft Cabin Controller-EWIS</v>
      </c>
    </row>
    <row r="24" spans="1:7" hidden="1" x14ac:dyDescent="0.25">
      <c r="A24" s="10">
        <v>23</v>
      </c>
      <c r="B24" s="10" t="s">
        <v>804</v>
      </c>
      <c r="C24" s="10" t="s">
        <v>797</v>
      </c>
      <c r="D24" s="10" t="s">
        <v>37</v>
      </c>
      <c r="E24" s="10" t="s">
        <v>37</v>
      </c>
      <c r="F24" s="10" t="s">
        <v>788</v>
      </c>
      <c r="G24" s="10" t="str">
        <f t="shared" si="1"/>
        <v>OJT to Aircraft Cabin Controller-FAR Part 145</v>
      </c>
    </row>
    <row r="25" spans="1:7" hidden="1" x14ac:dyDescent="0.25">
      <c r="A25" s="10">
        <v>24</v>
      </c>
      <c r="B25" s="10" t="s">
        <v>804</v>
      </c>
      <c r="C25" s="10" t="s">
        <v>798</v>
      </c>
      <c r="D25" s="10" t="s">
        <v>40</v>
      </c>
      <c r="E25" s="10" t="s">
        <v>40</v>
      </c>
      <c r="F25" s="10" t="s">
        <v>788</v>
      </c>
      <c r="G25" s="10" t="str">
        <f t="shared" si="1"/>
        <v>OJT to Aircraft Cabin Controller-Fuel Tank Safety</v>
      </c>
    </row>
    <row r="26" spans="1:7" hidden="1" x14ac:dyDescent="0.25">
      <c r="A26" s="10">
        <v>25</v>
      </c>
      <c r="B26" s="10" t="s">
        <v>804</v>
      </c>
      <c r="C26" s="10" t="s">
        <v>799</v>
      </c>
      <c r="D26" s="10" t="s">
        <v>35</v>
      </c>
      <c r="E26" s="10" t="s">
        <v>35</v>
      </c>
      <c r="F26" s="10" t="s">
        <v>788</v>
      </c>
      <c r="G26" s="10" t="str">
        <f t="shared" si="1"/>
        <v>OJT to Aircraft Cabin Controller-GMF Quality System</v>
      </c>
    </row>
    <row r="27" spans="1:7" hidden="1" x14ac:dyDescent="0.25">
      <c r="A27" s="10">
        <v>26</v>
      </c>
      <c r="B27" s="10" t="s">
        <v>804</v>
      </c>
      <c r="C27" s="10" t="s">
        <v>800</v>
      </c>
      <c r="D27" s="10" t="s">
        <v>33</v>
      </c>
      <c r="E27" s="10" t="s">
        <v>33</v>
      </c>
      <c r="F27" s="10" t="s">
        <v>801</v>
      </c>
      <c r="G27" s="10" t="str">
        <f t="shared" si="1"/>
        <v>OJT to Aircraft Cabin Controller-Human Factor</v>
      </c>
    </row>
    <row r="28" spans="1:7" hidden="1" x14ac:dyDescent="0.25">
      <c r="A28" s="10">
        <v>27</v>
      </c>
      <c r="B28" s="10" t="s">
        <v>804</v>
      </c>
      <c r="C28" s="10" t="s">
        <v>802</v>
      </c>
      <c r="D28" s="10" t="s">
        <v>201</v>
      </c>
      <c r="E28" s="10" t="s">
        <v>201</v>
      </c>
      <c r="F28" s="10" t="s">
        <v>788</v>
      </c>
      <c r="G28" s="10" t="str">
        <f t="shared" si="1"/>
        <v>OJT to Aircraft Cabin Controller-Orientation Training</v>
      </c>
    </row>
    <row r="29" spans="1:7" hidden="1" x14ac:dyDescent="0.25">
      <c r="A29" s="10">
        <v>28</v>
      </c>
      <c r="B29" s="10" t="s">
        <v>804</v>
      </c>
      <c r="C29" s="10" t="s">
        <v>803</v>
      </c>
      <c r="D29" s="10" t="s">
        <v>34</v>
      </c>
      <c r="E29" s="10" t="s">
        <v>34</v>
      </c>
      <c r="F29" s="10" t="s">
        <v>801</v>
      </c>
      <c r="G29" s="10" t="str">
        <f t="shared" si="1"/>
        <v>OJT to Aircraft Cabin Controller-Safety Management System</v>
      </c>
    </row>
    <row r="30" spans="1:7" hidden="1" x14ac:dyDescent="0.25">
      <c r="A30" s="10">
        <v>29</v>
      </c>
      <c r="B30" s="10" t="s">
        <v>805</v>
      </c>
      <c r="C30" s="10" t="s">
        <v>790</v>
      </c>
      <c r="D30" s="10" t="s">
        <v>174</v>
      </c>
      <c r="E30" s="10" t="s">
        <v>174</v>
      </c>
      <c r="F30" s="10" t="s">
        <v>788</v>
      </c>
      <c r="G30" s="10" t="str">
        <f t="shared" si="0"/>
        <v>Aircraft Cabin Engineer-Basic Inspection</v>
      </c>
    </row>
    <row r="31" spans="1:7" hidden="1" x14ac:dyDescent="0.25">
      <c r="A31" s="10">
        <v>30</v>
      </c>
      <c r="B31" s="10" t="s">
        <v>805</v>
      </c>
      <c r="C31" s="10" t="s">
        <v>806</v>
      </c>
      <c r="D31" s="10" t="s">
        <v>175</v>
      </c>
      <c r="E31" s="10" t="s">
        <v>175</v>
      </c>
      <c r="F31" s="10" t="s">
        <v>788</v>
      </c>
      <c r="G31" s="10" t="str">
        <f t="shared" si="0"/>
        <v>Aircraft Cabin Engineer-Basic Supervisory Training</v>
      </c>
    </row>
    <row r="32" spans="1:7" hidden="1" x14ac:dyDescent="0.25">
      <c r="A32" s="10">
        <v>31</v>
      </c>
      <c r="B32" s="10" t="s">
        <v>805</v>
      </c>
      <c r="C32" s="10" t="s">
        <v>791</v>
      </c>
      <c r="D32" s="10" t="s">
        <v>36</v>
      </c>
      <c r="E32" s="10" t="s">
        <v>36</v>
      </c>
      <c r="F32" s="10" t="s">
        <v>801</v>
      </c>
      <c r="G32" s="10" t="str">
        <f t="shared" si="0"/>
        <v>Aircraft Cabin Engineer-CASR Part 145</v>
      </c>
    </row>
    <row r="33" spans="1:7" hidden="1" x14ac:dyDescent="0.25">
      <c r="A33" s="10">
        <v>32</v>
      </c>
      <c r="B33" s="10" t="s">
        <v>805</v>
      </c>
      <c r="C33" s="10" t="s">
        <v>792</v>
      </c>
      <c r="D33" s="10" t="s">
        <v>42</v>
      </c>
      <c r="E33" s="10" t="s">
        <v>42</v>
      </c>
      <c r="F33" s="10" t="s">
        <v>788</v>
      </c>
      <c r="G33" s="10" t="str">
        <f t="shared" si="0"/>
        <v>Aircraft Cabin Engineer-Dangerous Good</v>
      </c>
    </row>
    <row r="34" spans="1:7" hidden="1" x14ac:dyDescent="0.25">
      <c r="A34" s="10">
        <v>33</v>
      </c>
      <c r="B34" s="10" t="s">
        <v>805</v>
      </c>
      <c r="C34" s="10" t="s">
        <v>793</v>
      </c>
      <c r="D34" s="10" t="s">
        <v>38</v>
      </c>
      <c r="E34" s="10" t="s">
        <v>38</v>
      </c>
      <c r="F34" s="10" t="s">
        <v>801</v>
      </c>
      <c r="G34" s="10" t="str">
        <f t="shared" si="0"/>
        <v>Aircraft Cabin Engineer-EASA Part 145</v>
      </c>
    </row>
    <row r="35" spans="1:7" hidden="1" x14ac:dyDescent="0.25">
      <c r="A35" s="10">
        <v>34</v>
      </c>
      <c r="B35" s="10" t="s">
        <v>805</v>
      </c>
      <c r="C35" s="10" t="s">
        <v>794</v>
      </c>
      <c r="D35" s="10" t="s">
        <v>39</v>
      </c>
      <c r="E35" s="10" t="s">
        <v>795</v>
      </c>
      <c r="F35" s="10" t="s">
        <v>801</v>
      </c>
      <c r="G35" s="10" t="str">
        <f t="shared" si="0"/>
        <v>Aircraft Cabin Engineer-EASA Part M</v>
      </c>
    </row>
    <row r="36" spans="1:7" hidden="1" x14ac:dyDescent="0.25">
      <c r="A36" s="10">
        <v>35</v>
      </c>
      <c r="B36" s="10" t="s">
        <v>805</v>
      </c>
      <c r="C36" s="10" t="s">
        <v>796</v>
      </c>
      <c r="D36" s="10" t="s">
        <v>41</v>
      </c>
      <c r="E36" s="10" t="s">
        <v>41</v>
      </c>
      <c r="F36" s="10" t="s">
        <v>801</v>
      </c>
      <c r="G36" s="10" t="str">
        <f t="shared" si="0"/>
        <v>Aircraft Cabin Engineer-EWIS</v>
      </c>
    </row>
    <row r="37" spans="1:7" hidden="1" x14ac:dyDescent="0.25">
      <c r="A37" s="10">
        <v>36</v>
      </c>
      <c r="B37" s="10" t="s">
        <v>805</v>
      </c>
      <c r="C37" s="10" t="s">
        <v>797</v>
      </c>
      <c r="D37" s="10" t="s">
        <v>37</v>
      </c>
      <c r="E37" s="10" t="s">
        <v>37</v>
      </c>
      <c r="F37" s="10" t="s">
        <v>801</v>
      </c>
      <c r="G37" s="10" t="str">
        <f t="shared" si="0"/>
        <v>Aircraft Cabin Engineer-FAR Part 145</v>
      </c>
    </row>
    <row r="38" spans="1:7" hidden="1" x14ac:dyDescent="0.25">
      <c r="A38" s="10">
        <v>37</v>
      </c>
      <c r="B38" s="10" t="s">
        <v>805</v>
      </c>
      <c r="C38" s="10" t="s">
        <v>798</v>
      </c>
      <c r="D38" s="10" t="s">
        <v>40</v>
      </c>
      <c r="E38" s="10" t="s">
        <v>40</v>
      </c>
      <c r="F38" s="10" t="s">
        <v>801</v>
      </c>
      <c r="G38" s="10" t="str">
        <f t="shared" si="0"/>
        <v>Aircraft Cabin Engineer-Fuel Tank Safety</v>
      </c>
    </row>
    <row r="39" spans="1:7" hidden="1" x14ac:dyDescent="0.25">
      <c r="A39" s="10">
        <v>38</v>
      </c>
      <c r="B39" s="10" t="s">
        <v>805</v>
      </c>
      <c r="C39" s="10" t="s">
        <v>807</v>
      </c>
      <c r="D39" s="10" t="s">
        <v>177</v>
      </c>
      <c r="E39" s="10" t="s">
        <v>177</v>
      </c>
      <c r="F39" s="10" t="s">
        <v>788</v>
      </c>
      <c r="G39" s="10" t="str">
        <f t="shared" si="0"/>
        <v>Aircraft Cabin Engineer-Fundamental Troubleshooting</v>
      </c>
    </row>
    <row r="40" spans="1:7" hidden="1" x14ac:dyDescent="0.25">
      <c r="A40" s="10">
        <v>39</v>
      </c>
      <c r="B40" s="10" t="s">
        <v>805</v>
      </c>
      <c r="C40" s="10" t="s">
        <v>799</v>
      </c>
      <c r="D40" s="10" t="s">
        <v>35</v>
      </c>
      <c r="E40" s="10" t="s">
        <v>35</v>
      </c>
      <c r="F40" s="10" t="s">
        <v>801</v>
      </c>
      <c r="G40" s="10" t="str">
        <f t="shared" si="0"/>
        <v>Aircraft Cabin Engineer-GMF Quality System</v>
      </c>
    </row>
    <row r="41" spans="1:7" hidden="1" x14ac:dyDescent="0.25">
      <c r="A41" s="10">
        <v>40</v>
      </c>
      <c r="B41" s="10" t="s">
        <v>805</v>
      </c>
      <c r="C41" s="10" t="s">
        <v>800</v>
      </c>
      <c r="D41" s="10" t="s">
        <v>33</v>
      </c>
      <c r="E41" s="10" t="s">
        <v>33</v>
      </c>
      <c r="F41" s="10" t="s">
        <v>801</v>
      </c>
      <c r="G41" s="10" t="str">
        <f t="shared" si="0"/>
        <v>Aircraft Cabin Engineer-Human Factor</v>
      </c>
    </row>
    <row r="42" spans="1:7" hidden="1" x14ac:dyDescent="0.25">
      <c r="A42" s="10">
        <v>41</v>
      </c>
      <c r="B42" s="10" t="s">
        <v>805</v>
      </c>
      <c r="C42" s="10" t="s">
        <v>802</v>
      </c>
      <c r="D42" s="10" t="s">
        <v>201</v>
      </c>
      <c r="E42" s="10" t="s">
        <v>201</v>
      </c>
      <c r="F42" s="10" t="s">
        <v>788</v>
      </c>
      <c r="G42" s="10" t="str">
        <f t="shared" si="0"/>
        <v>Aircraft Cabin Engineer-Orientation Training</v>
      </c>
    </row>
    <row r="43" spans="1:7" hidden="1" x14ac:dyDescent="0.25">
      <c r="A43" s="10">
        <v>42</v>
      </c>
      <c r="B43" s="10" t="s">
        <v>805</v>
      </c>
      <c r="C43" s="10" t="s">
        <v>803</v>
      </c>
      <c r="D43" s="10" t="s">
        <v>34</v>
      </c>
      <c r="E43" s="10" t="s">
        <v>34</v>
      </c>
      <c r="F43" s="10" t="s">
        <v>801</v>
      </c>
      <c r="G43" s="10" t="str">
        <f t="shared" si="0"/>
        <v>Aircraft Cabin Engineer-Safety Management System</v>
      </c>
    </row>
    <row r="44" spans="1:7" hidden="1" x14ac:dyDescent="0.25">
      <c r="A44" s="10">
        <v>43</v>
      </c>
      <c r="B44" s="10" t="s">
        <v>805</v>
      </c>
      <c r="C44" s="10" t="s">
        <v>808</v>
      </c>
      <c r="D44" s="10" t="s">
        <v>199</v>
      </c>
      <c r="E44" s="10" t="s">
        <v>199</v>
      </c>
      <c r="F44" s="10" t="s">
        <v>788</v>
      </c>
      <c r="G44" s="10" t="str">
        <f t="shared" si="0"/>
        <v>Aircraft Cabin Engineer-SWIFT Training</v>
      </c>
    </row>
    <row r="45" spans="1:7" hidden="1" x14ac:dyDescent="0.25">
      <c r="A45" s="10">
        <v>44</v>
      </c>
      <c r="B45" s="10" t="s">
        <v>809</v>
      </c>
      <c r="C45" s="10" t="s">
        <v>790</v>
      </c>
      <c r="D45" s="10" t="s">
        <v>174</v>
      </c>
      <c r="E45" s="10" t="s">
        <v>174</v>
      </c>
      <c r="F45" s="10" t="s">
        <v>788</v>
      </c>
      <c r="G45" s="10" t="str">
        <f t="shared" ref="G45:G59" si="2">B45 &amp; "-" &amp; D45</f>
        <v>OJT to Aircraft Cabin Engineer-Basic Inspection</v>
      </c>
    </row>
    <row r="46" spans="1:7" hidden="1" x14ac:dyDescent="0.25">
      <c r="A46" s="10">
        <v>45</v>
      </c>
      <c r="B46" s="10" t="s">
        <v>809</v>
      </c>
      <c r="C46" s="10" t="s">
        <v>806</v>
      </c>
      <c r="D46" s="10" t="s">
        <v>175</v>
      </c>
      <c r="E46" s="10" t="s">
        <v>175</v>
      </c>
      <c r="F46" s="10" t="s">
        <v>788</v>
      </c>
      <c r="G46" s="10" t="str">
        <f t="shared" si="2"/>
        <v>OJT to Aircraft Cabin Engineer-Basic Supervisory Training</v>
      </c>
    </row>
    <row r="47" spans="1:7" hidden="1" x14ac:dyDescent="0.25">
      <c r="A47" s="10">
        <v>46</v>
      </c>
      <c r="B47" s="10" t="s">
        <v>809</v>
      </c>
      <c r="C47" s="10" t="s">
        <v>791</v>
      </c>
      <c r="D47" s="10" t="s">
        <v>36</v>
      </c>
      <c r="E47" s="10" t="s">
        <v>36</v>
      </c>
      <c r="F47" s="10" t="s">
        <v>801</v>
      </c>
      <c r="G47" s="10" t="str">
        <f t="shared" si="2"/>
        <v>OJT to Aircraft Cabin Engineer-CASR Part 145</v>
      </c>
    </row>
    <row r="48" spans="1:7" hidden="1" x14ac:dyDescent="0.25">
      <c r="A48" s="10">
        <v>47</v>
      </c>
      <c r="B48" s="10" t="s">
        <v>809</v>
      </c>
      <c r="C48" s="10" t="s">
        <v>792</v>
      </c>
      <c r="D48" s="10" t="s">
        <v>42</v>
      </c>
      <c r="E48" s="10" t="s">
        <v>42</v>
      </c>
      <c r="F48" s="10" t="s">
        <v>788</v>
      </c>
      <c r="G48" s="10" t="str">
        <f t="shared" si="2"/>
        <v>OJT to Aircraft Cabin Engineer-Dangerous Good</v>
      </c>
    </row>
    <row r="49" spans="1:7" hidden="1" x14ac:dyDescent="0.25">
      <c r="A49" s="10">
        <v>48</v>
      </c>
      <c r="B49" s="10" t="s">
        <v>809</v>
      </c>
      <c r="C49" s="10" t="s">
        <v>793</v>
      </c>
      <c r="D49" s="10" t="s">
        <v>38</v>
      </c>
      <c r="E49" s="10" t="s">
        <v>38</v>
      </c>
      <c r="F49" s="10" t="s">
        <v>801</v>
      </c>
      <c r="G49" s="10" t="str">
        <f t="shared" si="2"/>
        <v>OJT to Aircraft Cabin Engineer-EASA Part 145</v>
      </c>
    </row>
    <row r="50" spans="1:7" hidden="1" x14ac:dyDescent="0.25">
      <c r="A50" s="10">
        <v>49</v>
      </c>
      <c r="B50" s="10" t="s">
        <v>809</v>
      </c>
      <c r="C50" s="10" t="s">
        <v>794</v>
      </c>
      <c r="D50" s="10" t="s">
        <v>39</v>
      </c>
      <c r="E50" s="10" t="s">
        <v>795</v>
      </c>
      <c r="F50" s="10" t="s">
        <v>801</v>
      </c>
      <c r="G50" s="10" t="str">
        <f t="shared" si="2"/>
        <v>OJT to Aircraft Cabin Engineer-EASA Part M</v>
      </c>
    </row>
    <row r="51" spans="1:7" hidden="1" x14ac:dyDescent="0.25">
      <c r="A51" s="10">
        <v>50</v>
      </c>
      <c r="B51" s="10" t="s">
        <v>809</v>
      </c>
      <c r="C51" s="10" t="s">
        <v>796</v>
      </c>
      <c r="D51" s="10" t="s">
        <v>41</v>
      </c>
      <c r="E51" s="10" t="s">
        <v>41</v>
      </c>
      <c r="F51" s="10" t="s">
        <v>801</v>
      </c>
      <c r="G51" s="10" t="str">
        <f t="shared" si="2"/>
        <v>OJT to Aircraft Cabin Engineer-EWIS</v>
      </c>
    </row>
    <row r="52" spans="1:7" hidden="1" x14ac:dyDescent="0.25">
      <c r="A52" s="10">
        <v>51</v>
      </c>
      <c r="B52" s="10" t="s">
        <v>809</v>
      </c>
      <c r="C52" s="10" t="s">
        <v>797</v>
      </c>
      <c r="D52" s="10" t="s">
        <v>37</v>
      </c>
      <c r="E52" s="10" t="s">
        <v>37</v>
      </c>
      <c r="F52" s="10" t="s">
        <v>801</v>
      </c>
      <c r="G52" s="10" t="str">
        <f t="shared" si="2"/>
        <v>OJT to Aircraft Cabin Engineer-FAR Part 145</v>
      </c>
    </row>
    <row r="53" spans="1:7" hidden="1" x14ac:dyDescent="0.25">
      <c r="A53" s="10">
        <v>52</v>
      </c>
      <c r="B53" s="10" t="s">
        <v>809</v>
      </c>
      <c r="C53" s="10" t="s">
        <v>798</v>
      </c>
      <c r="D53" s="10" t="s">
        <v>40</v>
      </c>
      <c r="E53" s="10" t="s">
        <v>40</v>
      </c>
      <c r="F53" s="10" t="s">
        <v>801</v>
      </c>
      <c r="G53" s="10" t="str">
        <f t="shared" si="2"/>
        <v>OJT to Aircraft Cabin Engineer-Fuel Tank Safety</v>
      </c>
    </row>
    <row r="54" spans="1:7" hidden="1" x14ac:dyDescent="0.25">
      <c r="A54" s="10">
        <v>53</v>
      </c>
      <c r="B54" s="10" t="s">
        <v>809</v>
      </c>
      <c r="C54" s="10" t="s">
        <v>807</v>
      </c>
      <c r="D54" s="10" t="s">
        <v>177</v>
      </c>
      <c r="E54" s="10" t="s">
        <v>177</v>
      </c>
      <c r="F54" s="10" t="s">
        <v>788</v>
      </c>
      <c r="G54" s="10" t="str">
        <f t="shared" si="2"/>
        <v>OJT to Aircraft Cabin Engineer-Fundamental Troubleshooting</v>
      </c>
    </row>
    <row r="55" spans="1:7" hidden="1" x14ac:dyDescent="0.25">
      <c r="A55" s="10">
        <v>54</v>
      </c>
      <c r="B55" s="10" t="s">
        <v>809</v>
      </c>
      <c r="C55" s="10" t="s">
        <v>799</v>
      </c>
      <c r="D55" s="10" t="s">
        <v>35</v>
      </c>
      <c r="E55" s="10" t="s">
        <v>35</v>
      </c>
      <c r="F55" s="10" t="s">
        <v>801</v>
      </c>
      <c r="G55" s="10" t="str">
        <f t="shared" si="2"/>
        <v>OJT to Aircraft Cabin Engineer-GMF Quality System</v>
      </c>
    </row>
    <row r="56" spans="1:7" hidden="1" x14ac:dyDescent="0.25">
      <c r="A56" s="10">
        <v>55</v>
      </c>
      <c r="B56" s="10" t="s">
        <v>809</v>
      </c>
      <c r="C56" s="10" t="s">
        <v>800</v>
      </c>
      <c r="D56" s="10" t="s">
        <v>33</v>
      </c>
      <c r="E56" s="10" t="s">
        <v>33</v>
      </c>
      <c r="F56" s="10" t="s">
        <v>801</v>
      </c>
      <c r="G56" s="10" t="str">
        <f t="shared" si="2"/>
        <v>OJT to Aircraft Cabin Engineer-Human Factor</v>
      </c>
    </row>
    <row r="57" spans="1:7" hidden="1" x14ac:dyDescent="0.25">
      <c r="A57" s="10">
        <v>56</v>
      </c>
      <c r="B57" s="10" t="s">
        <v>809</v>
      </c>
      <c r="C57" s="10" t="s">
        <v>802</v>
      </c>
      <c r="D57" s="10" t="s">
        <v>201</v>
      </c>
      <c r="E57" s="10" t="s">
        <v>201</v>
      </c>
      <c r="F57" s="10" t="s">
        <v>788</v>
      </c>
      <c r="G57" s="10" t="str">
        <f t="shared" si="2"/>
        <v>OJT to Aircraft Cabin Engineer-Orientation Training</v>
      </c>
    </row>
    <row r="58" spans="1:7" hidden="1" x14ac:dyDescent="0.25">
      <c r="A58" s="10">
        <v>57</v>
      </c>
      <c r="B58" s="10" t="s">
        <v>809</v>
      </c>
      <c r="C58" s="10" t="s">
        <v>803</v>
      </c>
      <c r="D58" s="10" t="s">
        <v>34</v>
      </c>
      <c r="E58" s="10" t="s">
        <v>34</v>
      </c>
      <c r="F58" s="10" t="s">
        <v>801</v>
      </c>
      <c r="G58" s="10" t="str">
        <f t="shared" si="2"/>
        <v>OJT to Aircraft Cabin Engineer-Safety Management System</v>
      </c>
    </row>
    <row r="59" spans="1:7" hidden="1" x14ac:dyDescent="0.25">
      <c r="A59" s="10">
        <v>58</v>
      </c>
      <c r="B59" s="10" t="s">
        <v>809</v>
      </c>
      <c r="C59" s="10" t="s">
        <v>808</v>
      </c>
      <c r="D59" s="10" t="s">
        <v>199</v>
      </c>
      <c r="E59" s="10" t="s">
        <v>199</v>
      </c>
      <c r="F59" s="10" t="s">
        <v>788</v>
      </c>
      <c r="G59" s="10" t="str">
        <f t="shared" si="2"/>
        <v>OJT to Aircraft Cabin Engineer-SWIFT Training</v>
      </c>
    </row>
    <row r="60" spans="1:7" hidden="1" x14ac:dyDescent="0.25">
      <c r="A60" s="10">
        <v>59</v>
      </c>
      <c r="B60" s="10" t="s">
        <v>810</v>
      </c>
      <c r="C60" s="10" t="s">
        <v>811</v>
      </c>
      <c r="D60" s="10" t="s">
        <v>173</v>
      </c>
      <c r="E60" s="10" t="s">
        <v>812</v>
      </c>
      <c r="F60" s="10" t="s">
        <v>788</v>
      </c>
      <c r="G60" s="10" t="str">
        <f t="shared" si="0"/>
        <v>Aircraft Cabin Technician-ADTH</v>
      </c>
    </row>
    <row r="61" spans="1:7" hidden="1" x14ac:dyDescent="0.25">
      <c r="A61" s="10">
        <v>60</v>
      </c>
      <c r="B61" s="10" t="s">
        <v>810</v>
      </c>
      <c r="C61" s="10" t="s">
        <v>791</v>
      </c>
      <c r="D61" s="10" t="s">
        <v>36</v>
      </c>
      <c r="E61" s="10" t="s">
        <v>36</v>
      </c>
      <c r="F61" s="10" t="s">
        <v>801</v>
      </c>
      <c r="G61" s="10" t="str">
        <f t="shared" si="0"/>
        <v>Aircraft Cabin Technician-CASR Part 145</v>
      </c>
    </row>
    <row r="62" spans="1:7" hidden="1" x14ac:dyDescent="0.25">
      <c r="A62" s="10">
        <v>61</v>
      </c>
      <c r="B62" s="10" t="s">
        <v>810</v>
      </c>
      <c r="C62" s="10" t="s">
        <v>792</v>
      </c>
      <c r="D62" s="10" t="s">
        <v>42</v>
      </c>
      <c r="E62" s="10" t="s">
        <v>42</v>
      </c>
      <c r="F62" s="10" t="s">
        <v>788</v>
      </c>
      <c r="G62" s="10" t="str">
        <f t="shared" si="0"/>
        <v>Aircraft Cabin Technician-Dangerous Good</v>
      </c>
    </row>
    <row r="63" spans="1:7" hidden="1" x14ac:dyDescent="0.25">
      <c r="A63" s="10">
        <v>62</v>
      </c>
      <c r="B63" s="10" t="s">
        <v>810</v>
      </c>
      <c r="C63" s="10" t="s">
        <v>793</v>
      </c>
      <c r="D63" s="10" t="s">
        <v>38</v>
      </c>
      <c r="E63" s="10" t="s">
        <v>38</v>
      </c>
      <c r="F63" s="10" t="s">
        <v>801</v>
      </c>
      <c r="G63" s="10" t="str">
        <f t="shared" si="0"/>
        <v>Aircraft Cabin Technician-EASA Part 145</v>
      </c>
    </row>
    <row r="64" spans="1:7" hidden="1" x14ac:dyDescent="0.25">
      <c r="A64" s="10">
        <v>63</v>
      </c>
      <c r="B64" s="10" t="s">
        <v>810</v>
      </c>
      <c r="C64" s="10" t="s">
        <v>794</v>
      </c>
      <c r="D64" s="10" t="s">
        <v>39</v>
      </c>
      <c r="E64" s="10" t="s">
        <v>795</v>
      </c>
      <c r="F64" s="10" t="s">
        <v>801</v>
      </c>
      <c r="G64" s="10" t="str">
        <f t="shared" si="0"/>
        <v>Aircraft Cabin Technician-EASA Part M</v>
      </c>
    </row>
    <row r="65" spans="1:7" hidden="1" x14ac:dyDescent="0.25">
      <c r="A65" s="10">
        <v>64</v>
      </c>
      <c r="B65" s="10" t="s">
        <v>810</v>
      </c>
      <c r="C65" s="10" t="s">
        <v>796</v>
      </c>
      <c r="D65" s="10" t="s">
        <v>41</v>
      </c>
      <c r="E65" s="10" t="s">
        <v>41</v>
      </c>
      <c r="F65" s="10" t="s">
        <v>801</v>
      </c>
      <c r="G65" s="10" t="str">
        <f t="shared" si="0"/>
        <v>Aircraft Cabin Technician-EWIS</v>
      </c>
    </row>
    <row r="66" spans="1:7" hidden="1" x14ac:dyDescent="0.25">
      <c r="A66" s="10">
        <v>65</v>
      </c>
      <c r="B66" s="10" t="s">
        <v>810</v>
      </c>
      <c r="C66" s="10" t="s">
        <v>797</v>
      </c>
      <c r="D66" s="10" t="s">
        <v>37</v>
      </c>
      <c r="E66" s="10" t="s">
        <v>37</v>
      </c>
      <c r="F66" s="10" t="s">
        <v>801</v>
      </c>
      <c r="G66" s="10" t="str">
        <f t="shared" si="0"/>
        <v>Aircraft Cabin Technician-FAR Part 145</v>
      </c>
    </row>
    <row r="67" spans="1:7" hidden="1" x14ac:dyDescent="0.25">
      <c r="A67" s="10">
        <v>66</v>
      </c>
      <c r="B67" s="10" t="s">
        <v>810</v>
      </c>
      <c r="C67" s="10" t="s">
        <v>798</v>
      </c>
      <c r="D67" s="10" t="s">
        <v>40</v>
      </c>
      <c r="E67" s="10" t="s">
        <v>40</v>
      </c>
      <c r="F67" s="10" t="s">
        <v>801</v>
      </c>
      <c r="G67" s="10" t="str">
        <f t="shared" si="0"/>
        <v>Aircraft Cabin Technician-Fuel Tank Safety</v>
      </c>
    </row>
    <row r="68" spans="1:7" hidden="1" x14ac:dyDescent="0.25">
      <c r="A68" s="10">
        <v>67</v>
      </c>
      <c r="B68" s="10" t="s">
        <v>810</v>
      </c>
      <c r="C68" s="10" t="s">
        <v>799</v>
      </c>
      <c r="D68" s="10" t="s">
        <v>35</v>
      </c>
      <c r="E68" s="10" t="s">
        <v>35</v>
      </c>
      <c r="F68" s="10" t="s">
        <v>801</v>
      </c>
      <c r="G68" s="10" t="str">
        <f t="shared" si="0"/>
        <v>Aircraft Cabin Technician-GMF Quality System</v>
      </c>
    </row>
    <row r="69" spans="1:7" hidden="1" x14ac:dyDescent="0.25">
      <c r="A69" s="10">
        <v>68</v>
      </c>
      <c r="B69" s="10" t="s">
        <v>810</v>
      </c>
      <c r="C69" s="10" t="s">
        <v>800</v>
      </c>
      <c r="D69" s="10" t="s">
        <v>33</v>
      </c>
      <c r="E69" s="10" t="s">
        <v>33</v>
      </c>
      <c r="F69" s="10" t="s">
        <v>801</v>
      </c>
      <c r="G69" s="10" t="str">
        <f t="shared" si="0"/>
        <v>Aircraft Cabin Technician-Human Factor</v>
      </c>
    </row>
    <row r="70" spans="1:7" hidden="1" x14ac:dyDescent="0.25">
      <c r="A70" s="10">
        <v>69</v>
      </c>
      <c r="B70" s="10" t="s">
        <v>810</v>
      </c>
      <c r="C70" s="10" t="s">
        <v>802</v>
      </c>
      <c r="D70" s="10" t="s">
        <v>201</v>
      </c>
      <c r="E70" s="10" t="s">
        <v>201</v>
      </c>
      <c r="F70" s="10" t="s">
        <v>788</v>
      </c>
      <c r="G70" s="10" t="str">
        <f t="shared" si="0"/>
        <v>Aircraft Cabin Technician-Orientation Training</v>
      </c>
    </row>
    <row r="71" spans="1:7" hidden="1" x14ac:dyDescent="0.25">
      <c r="A71" s="10">
        <v>70</v>
      </c>
      <c r="B71" s="10" t="s">
        <v>810</v>
      </c>
      <c r="C71" s="10" t="s">
        <v>803</v>
      </c>
      <c r="D71" s="10" t="s">
        <v>34</v>
      </c>
      <c r="E71" s="10" t="s">
        <v>34</v>
      </c>
      <c r="F71" s="10" t="s">
        <v>801</v>
      </c>
      <c r="G71" s="10" t="str">
        <f t="shared" si="0"/>
        <v>Aircraft Cabin Technician-Safety Management System</v>
      </c>
    </row>
    <row r="72" spans="1:7" hidden="1" x14ac:dyDescent="0.25">
      <c r="A72" s="10">
        <v>71</v>
      </c>
      <c r="B72" s="10" t="s">
        <v>23</v>
      </c>
      <c r="C72" s="10" t="s">
        <v>800</v>
      </c>
      <c r="D72" s="10" t="s">
        <v>33</v>
      </c>
      <c r="E72" s="10" t="s">
        <v>33</v>
      </c>
      <c r="F72" s="10" t="s">
        <v>801</v>
      </c>
      <c r="G72" s="10" t="str">
        <f>B72 &amp; "-" &amp; D72</f>
        <v>Aircraft Cabin Technician (PKWT NP)-Human Factor</v>
      </c>
    </row>
    <row r="73" spans="1:7" hidden="1" x14ac:dyDescent="0.25">
      <c r="A73" s="10">
        <v>72</v>
      </c>
      <c r="B73" s="10" t="s">
        <v>23</v>
      </c>
      <c r="C73" s="10" t="s">
        <v>803</v>
      </c>
      <c r="D73" s="10" t="s">
        <v>34</v>
      </c>
      <c r="E73" s="10" t="s">
        <v>34</v>
      </c>
      <c r="F73" s="10" t="s">
        <v>801</v>
      </c>
      <c r="G73" s="10" t="str">
        <f>B73 &amp; "-" &amp; D73</f>
        <v>Aircraft Cabin Technician (PKWT NP)-Safety Management System</v>
      </c>
    </row>
    <row r="74" spans="1:7" hidden="1" x14ac:dyDescent="0.25">
      <c r="A74" s="10">
        <v>73</v>
      </c>
      <c r="B74" s="10" t="s">
        <v>23</v>
      </c>
      <c r="C74" s="10" t="s">
        <v>799</v>
      </c>
      <c r="D74" s="10" t="s">
        <v>35</v>
      </c>
      <c r="E74" s="10" t="s">
        <v>35</v>
      </c>
      <c r="F74" s="10" t="s">
        <v>788</v>
      </c>
      <c r="G74" s="10" t="str">
        <f>B74 &amp; "-" &amp; D74</f>
        <v>Aircraft Cabin Technician (PKWT NP)-GMF Quality System</v>
      </c>
    </row>
    <row r="75" spans="1:7" hidden="1" x14ac:dyDescent="0.25">
      <c r="A75" s="10">
        <v>74</v>
      </c>
      <c r="B75" s="10" t="s">
        <v>814</v>
      </c>
      <c r="C75" s="10" t="s">
        <v>790</v>
      </c>
      <c r="D75" s="10" t="s">
        <v>174</v>
      </c>
      <c r="E75" s="10" t="s">
        <v>174</v>
      </c>
      <c r="F75" s="10" t="s">
        <v>788</v>
      </c>
      <c r="G75" s="10" t="str">
        <f t="shared" si="0"/>
        <v>Aircraft Maintenance Engineer-Basic Inspection</v>
      </c>
    </row>
    <row r="76" spans="1:7" hidden="1" x14ac:dyDescent="0.25">
      <c r="A76" s="10">
        <v>75</v>
      </c>
      <c r="B76" s="10" t="s">
        <v>814</v>
      </c>
      <c r="C76" s="10" t="s">
        <v>806</v>
      </c>
      <c r="D76" s="10" t="s">
        <v>175</v>
      </c>
      <c r="E76" s="10" t="s">
        <v>815</v>
      </c>
      <c r="F76" s="10" t="s">
        <v>788</v>
      </c>
      <c r="G76" s="10" t="str">
        <f t="shared" si="0"/>
        <v>Aircraft Maintenance Engineer-Basic Supervisory Training</v>
      </c>
    </row>
    <row r="77" spans="1:7" hidden="1" x14ac:dyDescent="0.25">
      <c r="A77" s="10">
        <v>76</v>
      </c>
      <c r="B77" s="10" t="s">
        <v>814</v>
      </c>
      <c r="C77" s="10" t="s">
        <v>791</v>
      </c>
      <c r="D77" s="10" t="s">
        <v>36</v>
      </c>
      <c r="E77" s="10" t="s">
        <v>36</v>
      </c>
      <c r="F77" s="10" t="s">
        <v>801</v>
      </c>
      <c r="G77" s="10" t="str">
        <f t="shared" si="0"/>
        <v>Aircraft Maintenance Engineer-CASR Part 145</v>
      </c>
    </row>
    <row r="78" spans="1:7" hidden="1" x14ac:dyDescent="0.25">
      <c r="A78" s="10">
        <v>77</v>
      </c>
      <c r="B78" s="10" t="s">
        <v>814</v>
      </c>
      <c r="C78" s="10" t="s">
        <v>816</v>
      </c>
      <c r="D78" s="10" t="s">
        <v>176</v>
      </c>
      <c r="E78" s="10" t="s">
        <v>176</v>
      </c>
      <c r="F78" s="10" t="s">
        <v>788</v>
      </c>
      <c r="G78" s="10" t="str">
        <f t="shared" si="0"/>
        <v>Aircraft Maintenance Engineer-Certifying Staff</v>
      </c>
    </row>
    <row r="79" spans="1:7" hidden="1" x14ac:dyDescent="0.25">
      <c r="A79" s="10">
        <v>78</v>
      </c>
      <c r="B79" s="10" t="s">
        <v>814</v>
      </c>
      <c r="C79" s="10" t="s">
        <v>792</v>
      </c>
      <c r="D79" s="10" t="s">
        <v>42</v>
      </c>
      <c r="E79" s="10" t="s">
        <v>42</v>
      </c>
      <c r="F79" s="10" t="s">
        <v>788</v>
      </c>
      <c r="G79" s="10" t="str">
        <f t="shared" si="0"/>
        <v>Aircraft Maintenance Engineer-Dangerous Good</v>
      </c>
    </row>
    <row r="80" spans="1:7" hidden="1" x14ac:dyDescent="0.25">
      <c r="A80" s="10">
        <v>79</v>
      </c>
      <c r="B80" s="10" t="s">
        <v>814</v>
      </c>
      <c r="C80" s="10" t="s">
        <v>793</v>
      </c>
      <c r="D80" s="10" t="s">
        <v>38</v>
      </c>
      <c r="E80" s="10" t="s">
        <v>38</v>
      </c>
      <c r="F80" s="10" t="s">
        <v>801</v>
      </c>
      <c r="G80" s="10" t="str">
        <f t="shared" si="0"/>
        <v>Aircraft Maintenance Engineer-EASA Part 145</v>
      </c>
    </row>
    <row r="81" spans="1:7" hidden="1" x14ac:dyDescent="0.25">
      <c r="A81" s="10">
        <v>80</v>
      </c>
      <c r="B81" s="10" t="s">
        <v>814</v>
      </c>
      <c r="C81" s="10" t="s">
        <v>794</v>
      </c>
      <c r="D81" s="10" t="s">
        <v>39</v>
      </c>
      <c r="E81" s="10" t="s">
        <v>795</v>
      </c>
      <c r="F81" s="10" t="s">
        <v>801</v>
      </c>
      <c r="G81" s="10" t="str">
        <f t="shared" si="0"/>
        <v>Aircraft Maintenance Engineer-EASA Part M</v>
      </c>
    </row>
    <row r="82" spans="1:7" hidden="1" x14ac:dyDescent="0.25">
      <c r="A82" s="10">
        <v>81</v>
      </c>
      <c r="B82" s="10" t="s">
        <v>814</v>
      </c>
      <c r="C82" s="10" t="s">
        <v>796</v>
      </c>
      <c r="D82" s="10" t="s">
        <v>41</v>
      </c>
      <c r="E82" s="10" t="s">
        <v>41</v>
      </c>
      <c r="F82" s="10" t="s">
        <v>801</v>
      </c>
      <c r="G82" s="10" t="str">
        <f t="shared" si="0"/>
        <v>Aircraft Maintenance Engineer-EWIS</v>
      </c>
    </row>
    <row r="83" spans="1:7" hidden="1" x14ac:dyDescent="0.25">
      <c r="A83" s="10">
        <v>82</v>
      </c>
      <c r="B83" s="10" t="s">
        <v>814</v>
      </c>
      <c r="C83" s="10" t="s">
        <v>797</v>
      </c>
      <c r="D83" s="10" t="s">
        <v>37</v>
      </c>
      <c r="E83" s="10" t="s">
        <v>37</v>
      </c>
      <c r="F83" s="10" t="s">
        <v>801</v>
      </c>
      <c r="G83" s="10" t="str">
        <f t="shared" si="0"/>
        <v>Aircraft Maintenance Engineer-FAR Part 145</v>
      </c>
    </row>
    <row r="84" spans="1:7" hidden="1" x14ac:dyDescent="0.25">
      <c r="A84" s="10">
        <v>83</v>
      </c>
      <c r="B84" s="10" t="s">
        <v>814</v>
      </c>
      <c r="C84" s="10" t="s">
        <v>798</v>
      </c>
      <c r="D84" s="10" t="s">
        <v>40</v>
      </c>
      <c r="E84" s="10" t="s">
        <v>40</v>
      </c>
      <c r="F84" s="10" t="s">
        <v>801</v>
      </c>
      <c r="G84" s="10" t="str">
        <f t="shared" si="0"/>
        <v>Aircraft Maintenance Engineer-Fuel Tank Safety</v>
      </c>
    </row>
    <row r="85" spans="1:7" hidden="1" x14ac:dyDescent="0.25">
      <c r="A85" s="10">
        <v>84</v>
      </c>
      <c r="B85" s="10" t="s">
        <v>814</v>
      </c>
      <c r="C85" s="10" t="s">
        <v>807</v>
      </c>
      <c r="D85" s="10" t="s">
        <v>177</v>
      </c>
      <c r="E85" s="10" t="s">
        <v>177</v>
      </c>
      <c r="F85" s="10" t="s">
        <v>788</v>
      </c>
      <c r="G85" s="10" t="str">
        <f t="shared" si="0"/>
        <v>Aircraft Maintenance Engineer-Fundamental Troubleshooting</v>
      </c>
    </row>
    <row r="86" spans="1:7" hidden="1" x14ac:dyDescent="0.25">
      <c r="A86" s="10">
        <v>85</v>
      </c>
      <c r="B86" s="10" t="s">
        <v>814</v>
      </c>
      <c r="C86" s="10" t="s">
        <v>799</v>
      </c>
      <c r="D86" s="10" t="s">
        <v>35</v>
      </c>
      <c r="E86" s="10" t="s">
        <v>35</v>
      </c>
      <c r="F86" s="10" t="s">
        <v>801</v>
      </c>
      <c r="G86" s="10" t="str">
        <f t="shared" si="0"/>
        <v>Aircraft Maintenance Engineer-GMF Quality System</v>
      </c>
    </row>
    <row r="87" spans="1:7" hidden="1" x14ac:dyDescent="0.25">
      <c r="A87" s="10">
        <v>86</v>
      </c>
      <c r="B87" s="10" t="s">
        <v>814</v>
      </c>
      <c r="C87" s="10" t="s">
        <v>800</v>
      </c>
      <c r="D87" s="10" t="s">
        <v>33</v>
      </c>
      <c r="E87" s="10" t="s">
        <v>33</v>
      </c>
      <c r="F87" s="10" t="s">
        <v>801</v>
      </c>
      <c r="G87" s="10" t="str">
        <f t="shared" si="0"/>
        <v>Aircraft Maintenance Engineer-Human Factor</v>
      </c>
    </row>
    <row r="88" spans="1:7" hidden="1" x14ac:dyDescent="0.25">
      <c r="A88" s="10">
        <v>87</v>
      </c>
      <c r="B88" s="10" t="s">
        <v>814</v>
      </c>
      <c r="C88" s="10" t="s">
        <v>802</v>
      </c>
      <c r="D88" s="10" t="s">
        <v>201</v>
      </c>
      <c r="E88" s="10" t="s">
        <v>201</v>
      </c>
      <c r="F88" s="10" t="s">
        <v>788</v>
      </c>
      <c r="G88" s="10" t="str">
        <f t="shared" si="0"/>
        <v>Aircraft Maintenance Engineer-Orientation Training</v>
      </c>
    </row>
    <row r="89" spans="1:7" hidden="1" x14ac:dyDescent="0.25">
      <c r="A89" s="10">
        <v>88</v>
      </c>
      <c r="B89" s="10" t="s">
        <v>814</v>
      </c>
      <c r="C89" s="10" t="s">
        <v>803</v>
      </c>
      <c r="D89" s="10" t="s">
        <v>34</v>
      </c>
      <c r="E89" s="10" t="s">
        <v>34</v>
      </c>
      <c r="F89" s="10" t="s">
        <v>801</v>
      </c>
      <c r="G89" s="10" t="str">
        <f t="shared" si="0"/>
        <v>Aircraft Maintenance Engineer-Safety Management System</v>
      </c>
    </row>
    <row r="90" spans="1:7" hidden="1" x14ac:dyDescent="0.25">
      <c r="A90" s="10">
        <v>89</v>
      </c>
      <c r="B90" s="10" t="s">
        <v>814</v>
      </c>
      <c r="C90" s="10" t="s">
        <v>808</v>
      </c>
      <c r="D90" s="10" t="s">
        <v>199</v>
      </c>
      <c r="E90" s="10" t="s">
        <v>199</v>
      </c>
      <c r="F90" s="10" t="s">
        <v>788</v>
      </c>
      <c r="G90" s="10" t="str">
        <f t="shared" si="0"/>
        <v>Aircraft Maintenance Engineer-SWIFT Training</v>
      </c>
    </row>
    <row r="91" spans="1:7" hidden="1" x14ac:dyDescent="0.25">
      <c r="A91" s="10">
        <v>90</v>
      </c>
      <c r="B91" s="10" t="s">
        <v>814</v>
      </c>
      <c r="C91" s="10" t="s">
        <v>817</v>
      </c>
      <c r="D91" s="10" t="s">
        <v>60</v>
      </c>
      <c r="E91" s="10" t="s">
        <v>60</v>
      </c>
      <c r="F91" s="10" t="s">
        <v>788</v>
      </c>
      <c r="G91" s="10" t="str">
        <f t="shared" si="0"/>
        <v>Aircraft Maintenance Engineer-Type Rating Level III Training</v>
      </c>
    </row>
    <row r="92" spans="1:7" hidden="1" x14ac:dyDescent="0.25">
      <c r="A92" s="10">
        <v>91</v>
      </c>
      <c r="B92" s="10" t="s">
        <v>818</v>
      </c>
      <c r="C92" s="10" t="s">
        <v>789</v>
      </c>
      <c r="D92" s="10" t="s">
        <v>181</v>
      </c>
      <c r="E92" s="10" t="s">
        <v>181</v>
      </c>
      <c r="F92" s="10" t="s">
        <v>788</v>
      </c>
      <c r="G92" s="10" t="str">
        <f t="shared" si="0"/>
        <v>Aircraft Maintenance Planner-Aircraft Familiarization</v>
      </c>
    </row>
    <row r="93" spans="1:7" hidden="1" x14ac:dyDescent="0.25">
      <c r="A93" s="10">
        <v>92</v>
      </c>
      <c r="B93" s="10" t="s">
        <v>818</v>
      </c>
      <c r="C93" s="10" t="s">
        <v>819</v>
      </c>
      <c r="D93" s="10" t="s">
        <v>179</v>
      </c>
      <c r="E93" s="10" t="s">
        <v>179</v>
      </c>
      <c r="F93" s="10" t="s">
        <v>788</v>
      </c>
      <c r="G93" s="10" t="str">
        <f t="shared" ref="G93:G177" si="3">B93 &amp; "-" &amp; D93</f>
        <v>Aircraft Maintenance Planner-Basic Planning</v>
      </c>
    </row>
    <row r="94" spans="1:7" hidden="1" x14ac:dyDescent="0.25">
      <c r="A94" s="10">
        <v>93</v>
      </c>
      <c r="B94" s="10" t="s">
        <v>818</v>
      </c>
      <c r="C94" s="10" t="s">
        <v>791</v>
      </c>
      <c r="D94" s="10" t="s">
        <v>36</v>
      </c>
      <c r="E94" s="10" t="s">
        <v>36</v>
      </c>
      <c r="F94" s="10" t="s">
        <v>801</v>
      </c>
      <c r="G94" s="10" t="str">
        <f t="shared" si="3"/>
        <v>Aircraft Maintenance Planner-CASR Part 145</v>
      </c>
    </row>
    <row r="95" spans="1:7" hidden="1" x14ac:dyDescent="0.25">
      <c r="A95" s="10">
        <v>94</v>
      </c>
      <c r="B95" s="10" t="s">
        <v>818</v>
      </c>
      <c r="C95" s="10" t="s">
        <v>792</v>
      </c>
      <c r="D95" s="10" t="s">
        <v>42</v>
      </c>
      <c r="E95" s="10" t="s">
        <v>42</v>
      </c>
      <c r="F95" s="10" t="s">
        <v>788</v>
      </c>
      <c r="G95" s="10" t="str">
        <f t="shared" si="3"/>
        <v>Aircraft Maintenance Planner-Dangerous Good</v>
      </c>
    </row>
    <row r="96" spans="1:7" hidden="1" x14ac:dyDescent="0.25">
      <c r="A96" s="10">
        <v>95</v>
      </c>
      <c r="B96" s="10" t="s">
        <v>818</v>
      </c>
      <c r="C96" s="10" t="s">
        <v>793</v>
      </c>
      <c r="D96" s="10" t="s">
        <v>38</v>
      </c>
      <c r="E96" s="10" t="s">
        <v>38</v>
      </c>
      <c r="F96" s="10" t="s">
        <v>801</v>
      </c>
      <c r="G96" s="10" t="str">
        <f t="shared" si="3"/>
        <v>Aircraft Maintenance Planner-EASA Part 145</v>
      </c>
    </row>
    <row r="97" spans="1:7" hidden="1" x14ac:dyDescent="0.25">
      <c r="A97" s="10">
        <v>96</v>
      </c>
      <c r="B97" s="10" t="s">
        <v>818</v>
      </c>
      <c r="C97" s="10" t="s">
        <v>794</v>
      </c>
      <c r="D97" s="10" t="s">
        <v>39</v>
      </c>
      <c r="E97" s="10" t="s">
        <v>795</v>
      </c>
      <c r="F97" s="10" t="s">
        <v>801</v>
      </c>
      <c r="G97" s="10" t="str">
        <f t="shared" si="3"/>
        <v>Aircraft Maintenance Planner-EASA Part M</v>
      </c>
    </row>
    <row r="98" spans="1:7" hidden="1" x14ac:dyDescent="0.25">
      <c r="A98" s="10">
        <v>97</v>
      </c>
      <c r="B98" s="10" t="s">
        <v>818</v>
      </c>
      <c r="C98" s="10" t="s">
        <v>796</v>
      </c>
      <c r="D98" s="10" t="s">
        <v>41</v>
      </c>
      <c r="E98" s="10" t="s">
        <v>41</v>
      </c>
      <c r="F98" s="10" t="s">
        <v>788</v>
      </c>
      <c r="G98" s="10" t="str">
        <f t="shared" si="3"/>
        <v>Aircraft Maintenance Planner-EWIS</v>
      </c>
    </row>
    <row r="99" spans="1:7" hidden="1" x14ac:dyDescent="0.25">
      <c r="A99" s="10">
        <v>98</v>
      </c>
      <c r="B99" s="10" t="s">
        <v>818</v>
      </c>
      <c r="C99" s="10" t="s">
        <v>797</v>
      </c>
      <c r="D99" s="10" t="s">
        <v>37</v>
      </c>
      <c r="E99" s="10" t="s">
        <v>37</v>
      </c>
      <c r="F99" s="10" t="s">
        <v>801</v>
      </c>
      <c r="G99" s="10" t="str">
        <f t="shared" si="3"/>
        <v>Aircraft Maintenance Planner-FAR Part 145</v>
      </c>
    </row>
    <row r="100" spans="1:7" hidden="1" x14ac:dyDescent="0.25">
      <c r="A100" s="10">
        <v>99</v>
      </c>
      <c r="B100" s="10" t="s">
        <v>818</v>
      </c>
      <c r="C100" s="10" t="s">
        <v>798</v>
      </c>
      <c r="D100" s="10" t="s">
        <v>40</v>
      </c>
      <c r="E100" s="10" t="s">
        <v>40</v>
      </c>
      <c r="F100" s="10" t="s">
        <v>788</v>
      </c>
      <c r="G100" s="10" t="str">
        <f t="shared" si="3"/>
        <v>Aircraft Maintenance Planner-Fuel Tank Safety</v>
      </c>
    </row>
    <row r="101" spans="1:7" hidden="1" x14ac:dyDescent="0.25">
      <c r="A101" s="10">
        <v>100</v>
      </c>
      <c r="B101" s="10" t="s">
        <v>818</v>
      </c>
      <c r="C101" s="10" t="s">
        <v>799</v>
      </c>
      <c r="D101" s="10" t="s">
        <v>35</v>
      </c>
      <c r="E101" s="10" t="s">
        <v>35</v>
      </c>
      <c r="F101" s="10" t="s">
        <v>788</v>
      </c>
      <c r="G101" s="10" t="str">
        <f t="shared" si="3"/>
        <v>Aircraft Maintenance Planner-GMF Quality System</v>
      </c>
    </row>
    <row r="102" spans="1:7" hidden="1" x14ac:dyDescent="0.25">
      <c r="A102" s="10">
        <v>101</v>
      </c>
      <c r="B102" s="10" t="s">
        <v>818</v>
      </c>
      <c r="C102" s="10" t="s">
        <v>800</v>
      </c>
      <c r="D102" s="10" t="s">
        <v>33</v>
      </c>
      <c r="E102" s="10" t="s">
        <v>33</v>
      </c>
      <c r="F102" s="10" t="s">
        <v>801</v>
      </c>
      <c r="G102" s="10" t="str">
        <f t="shared" si="3"/>
        <v>Aircraft Maintenance Planner-Human Factor</v>
      </c>
    </row>
    <row r="103" spans="1:7" hidden="1" x14ac:dyDescent="0.25">
      <c r="A103" s="10">
        <v>102</v>
      </c>
      <c r="B103" s="10" t="s">
        <v>818</v>
      </c>
      <c r="C103" s="10" t="s">
        <v>802</v>
      </c>
      <c r="D103" s="10" t="s">
        <v>201</v>
      </c>
      <c r="E103" s="10" t="s">
        <v>201</v>
      </c>
      <c r="F103" s="10" t="s">
        <v>788</v>
      </c>
      <c r="G103" s="10" t="str">
        <f t="shared" si="3"/>
        <v>Aircraft Maintenance Planner-Orientation Training</v>
      </c>
    </row>
    <row r="104" spans="1:7" hidden="1" x14ac:dyDescent="0.25">
      <c r="A104" s="10">
        <v>103</v>
      </c>
      <c r="B104" s="10" t="s">
        <v>818</v>
      </c>
      <c r="C104" s="10" t="s">
        <v>803</v>
      </c>
      <c r="D104" s="10" t="s">
        <v>34</v>
      </c>
      <c r="E104" s="10" t="s">
        <v>34</v>
      </c>
      <c r="F104" s="10" t="s">
        <v>801</v>
      </c>
      <c r="G104" s="10" t="str">
        <f t="shared" si="3"/>
        <v>Aircraft Maintenance Planner-Safety Management System</v>
      </c>
    </row>
    <row r="105" spans="1:7" hidden="1" x14ac:dyDescent="0.25">
      <c r="A105" s="10">
        <v>104</v>
      </c>
      <c r="B105" s="10" t="s">
        <v>818</v>
      </c>
      <c r="C105" s="10" t="s">
        <v>808</v>
      </c>
      <c r="D105" s="10" t="s">
        <v>199</v>
      </c>
      <c r="E105" s="10" t="s">
        <v>199</v>
      </c>
      <c r="F105" s="10" t="s">
        <v>788</v>
      </c>
      <c r="G105" s="10" t="str">
        <f t="shared" si="3"/>
        <v>Aircraft Maintenance Planner-SWIFT Training</v>
      </c>
    </row>
    <row r="106" spans="1:7" hidden="1" x14ac:dyDescent="0.25">
      <c r="A106" s="10">
        <v>105</v>
      </c>
      <c r="B106" s="10" t="s">
        <v>820</v>
      </c>
      <c r="C106" s="10" t="s">
        <v>789</v>
      </c>
      <c r="D106" s="10" t="s">
        <v>181</v>
      </c>
      <c r="E106" s="10" t="s">
        <v>181</v>
      </c>
      <c r="F106" s="10" t="s">
        <v>788</v>
      </c>
      <c r="G106" s="10" t="str">
        <f t="shared" si="3"/>
        <v>Production Support Officer-Aircraft Familiarization</v>
      </c>
    </row>
    <row r="107" spans="1:7" hidden="1" x14ac:dyDescent="0.25">
      <c r="A107" s="10">
        <v>106</v>
      </c>
      <c r="B107" s="10" t="s">
        <v>820</v>
      </c>
      <c r="C107" s="10" t="s">
        <v>819</v>
      </c>
      <c r="D107" s="10" t="s">
        <v>179</v>
      </c>
      <c r="E107" s="10" t="s">
        <v>179</v>
      </c>
      <c r="F107" s="10" t="s">
        <v>788</v>
      </c>
      <c r="G107" s="10" t="str">
        <f t="shared" ref="G107:G116" si="4">B107 &amp; "-" &amp; D107</f>
        <v>Production Support Officer-Basic Planning</v>
      </c>
    </row>
    <row r="108" spans="1:7" hidden="1" x14ac:dyDescent="0.25">
      <c r="A108" s="10">
        <v>107</v>
      </c>
      <c r="B108" s="10" t="s">
        <v>820</v>
      </c>
      <c r="C108" s="10" t="s">
        <v>791</v>
      </c>
      <c r="D108" s="10" t="s">
        <v>36</v>
      </c>
      <c r="E108" s="10" t="s">
        <v>36</v>
      </c>
      <c r="F108" s="10" t="s">
        <v>801</v>
      </c>
      <c r="G108" s="10" t="str">
        <f t="shared" si="4"/>
        <v>Production Support Officer-CASR Part 145</v>
      </c>
    </row>
    <row r="109" spans="1:7" hidden="1" x14ac:dyDescent="0.25">
      <c r="A109" s="10">
        <v>109</v>
      </c>
      <c r="B109" s="10" t="s">
        <v>820</v>
      </c>
      <c r="C109" s="10" t="s">
        <v>793</v>
      </c>
      <c r="D109" s="10" t="s">
        <v>38</v>
      </c>
      <c r="E109" s="10" t="s">
        <v>38</v>
      </c>
      <c r="F109" s="10" t="s">
        <v>801</v>
      </c>
      <c r="G109" s="10" t="str">
        <f t="shared" si="4"/>
        <v>Production Support Officer-EASA Part 145</v>
      </c>
    </row>
    <row r="110" spans="1:7" hidden="1" x14ac:dyDescent="0.25">
      <c r="A110" s="10">
        <v>110</v>
      </c>
      <c r="B110" s="10" t="s">
        <v>820</v>
      </c>
      <c r="C110" s="10" t="s">
        <v>794</v>
      </c>
      <c r="D110" s="10" t="s">
        <v>39</v>
      </c>
      <c r="E110" s="10" t="s">
        <v>795</v>
      </c>
      <c r="F110" s="10" t="s">
        <v>801</v>
      </c>
      <c r="G110" s="10" t="str">
        <f t="shared" si="4"/>
        <v>Production Support Officer-EASA Part M</v>
      </c>
    </row>
    <row r="111" spans="1:7" hidden="1" x14ac:dyDescent="0.25">
      <c r="A111" s="10">
        <v>112</v>
      </c>
      <c r="B111" s="10" t="s">
        <v>820</v>
      </c>
      <c r="C111" s="10" t="s">
        <v>797</v>
      </c>
      <c r="D111" s="10" t="s">
        <v>37</v>
      </c>
      <c r="E111" s="10" t="s">
        <v>37</v>
      </c>
      <c r="F111" s="10" t="s">
        <v>801</v>
      </c>
      <c r="G111" s="10" t="str">
        <f t="shared" si="4"/>
        <v>Production Support Officer-FAR Part 145</v>
      </c>
    </row>
    <row r="112" spans="1:7" hidden="1" x14ac:dyDescent="0.25">
      <c r="A112" s="10">
        <v>114</v>
      </c>
      <c r="B112" s="10" t="s">
        <v>820</v>
      </c>
      <c r="C112" s="10" t="s">
        <v>799</v>
      </c>
      <c r="D112" s="10" t="s">
        <v>35</v>
      </c>
      <c r="E112" s="10" t="s">
        <v>35</v>
      </c>
      <c r="F112" s="10" t="s">
        <v>788</v>
      </c>
      <c r="G112" s="10" t="str">
        <f t="shared" si="4"/>
        <v>Production Support Officer-GMF Quality System</v>
      </c>
    </row>
    <row r="113" spans="1:7" hidden="1" x14ac:dyDescent="0.25">
      <c r="A113" s="10">
        <v>115</v>
      </c>
      <c r="B113" s="10" t="s">
        <v>820</v>
      </c>
      <c r="C113" s="10" t="s">
        <v>800</v>
      </c>
      <c r="D113" s="10" t="s">
        <v>33</v>
      </c>
      <c r="E113" s="10" t="s">
        <v>33</v>
      </c>
      <c r="F113" s="10" t="s">
        <v>801</v>
      </c>
      <c r="G113" s="10" t="str">
        <f t="shared" si="4"/>
        <v>Production Support Officer-Human Factor</v>
      </c>
    </row>
    <row r="114" spans="1:7" hidden="1" x14ac:dyDescent="0.25">
      <c r="A114" s="10">
        <v>116</v>
      </c>
      <c r="B114" s="10" t="s">
        <v>820</v>
      </c>
      <c r="C114" s="10" t="s">
        <v>802</v>
      </c>
      <c r="D114" s="10" t="s">
        <v>201</v>
      </c>
      <c r="E114" s="10" t="s">
        <v>201</v>
      </c>
      <c r="F114" s="10" t="s">
        <v>788</v>
      </c>
      <c r="G114" s="10" t="str">
        <f t="shared" si="4"/>
        <v>Production Support Officer-Orientation Training</v>
      </c>
    </row>
    <row r="115" spans="1:7" hidden="1" x14ac:dyDescent="0.25">
      <c r="A115" s="10">
        <v>117</v>
      </c>
      <c r="B115" s="10" t="s">
        <v>820</v>
      </c>
      <c r="C115" s="10" t="s">
        <v>803</v>
      </c>
      <c r="D115" s="10" t="s">
        <v>34</v>
      </c>
      <c r="E115" s="10" t="s">
        <v>34</v>
      </c>
      <c r="F115" s="10" t="s">
        <v>801</v>
      </c>
      <c r="G115" s="10" t="str">
        <f t="shared" si="4"/>
        <v>Production Support Officer-Safety Management System</v>
      </c>
    </row>
    <row r="116" spans="1:7" hidden="1" x14ac:dyDescent="0.25">
      <c r="A116" s="10">
        <v>118</v>
      </c>
      <c r="B116" s="10" t="s">
        <v>820</v>
      </c>
      <c r="C116" s="10" t="s">
        <v>808</v>
      </c>
      <c r="D116" s="10" t="s">
        <v>199</v>
      </c>
      <c r="E116" s="10" t="s">
        <v>199</v>
      </c>
      <c r="F116" s="10" t="s">
        <v>788</v>
      </c>
      <c r="G116" s="10" t="str">
        <f t="shared" si="4"/>
        <v>Production Support Officer-SWIFT Training</v>
      </c>
    </row>
    <row r="117" spans="1:7" hidden="1" x14ac:dyDescent="0.25">
      <c r="A117" s="10">
        <v>119</v>
      </c>
      <c r="B117" s="10" t="s">
        <v>821</v>
      </c>
      <c r="C117" s="10" t="s">
        <v>789</v>
      </c>
      <c r="D117" s="10" t="s">
        <v>181</v>
      </c>
      <c r="E117" s="10" t="s">
        <v>181</v>
      </c>
      <c r="F117" s="10" t="s">
        <v>788</v>
      </c>
      <c r="G117" s="10" t="str">
        <f t="shared" si="3"/>
        <v>Aircraft Maintenance Planning Engineer-Aircraft Familiarization</v>
      </c>
    </row>
    <row r="118" spans="1:7" hidden="1" x14ac:dyDescent="0.25">
      <c r="A118" s="10">
        <v>120</v>
      </c>
      <c r="B118" s="10" t="s">
        <v>821</v>
      </c>
      <c r="C118" s="10" t="s">
        <v>822</v>
      </c>
      <c r="D118" s="10" t="s">
        <v>180</v>
      </c>
      <c r="E118" s="10" t="s">
        <v>180</v>
      </c>
      <c r="F118" s="10" t="s">
        <v>788</v>
      </c>
      <c r="G118" s="10" t="str">
        <f t="shared" si="3"/>
        <v>Aircraft Maintenance Planning Engineer-Basic Engineering</v>
      </c>
    </row>
    <row r="119" spans="1:7" hidden="1" x14ac:dyDescent="0.25">
      <c r="A119" s="10">
        <v>121</v>
      </c>
      <c r="B119" s="10" t="s">
        <v>821</v>
      </c>
      <c r="C119" s="10" t="s">
        <v>791</v>
      </c>
      <c r="D119" s="10" t="s">
        <v>36</v>
      </c>
      <c r="E119" s="10" t="s">
        <v>36</v>
      </c>
      <c r="F119" s="10" t="s">
        <v>801</v>
      </c>
      <c r="G119" s="10" t="str">
        <f t="shared" si="3"/>
        <v>Aircraft Maintenance Planning Engineer-CASR Part 145</v>
      </c>
    </row>
    <row r="120" spans="1:7" hidden="1" x14ac:dyDescent="0.25">
      <c r="A120" s="10">
        <v>122</v>
      </c>
      <c r="B120" s="10" t="s">
        <v>821</v>
      </c>
      <c r="C120" s="10" t="s">
        <v>792</v>
      </c>
      <c r="D120" s="10" t="s">
        <v>42</v>
      </c>
      <c r="E120" s="10" t="s">
        <v>42</v>
      </c>
      <c r="F120" s="10" t="s">
        <v>788</v>
      </c>
      <c r="G120" s="10" t="str">
        <f t="shared" si="3"/>
        <v>Aircraft Maintenance Planning Engineer-Dangerous Good</v>
      </c>
    </row>
    <row r="121" spans="1:7" hidden="1" x14ac:dyDescent="0.25">
      <c r="A121" s="10">
        <v>123</v>
      </c>
      <c r="B121" s="10" t="s">
        <v>821</v>
      </c>
      <c r="C121" s="10" t="s">
        <v>793</v>
      </c>
      <c r="D121" s="10" t="s">
        <v>38</v>
      </c>
      <c r="E121" s="10" t="s">
        <v>38</v>
      </c>
      <c r="F121" s="10" t="s">
        <v>801</v>
      </c>
      <c r="G121" s="10" t="str">
        <f t="shared" si="3"/>
        <v>Aircraft Maintenance Planning Engineer-EASA Part 145</v>
      </c>
    </row>
    <row r="122" spans="1:7" hidden="1" x14ac:dyDescent="0.25">
      <c r="A122" s="10">
        <v>124</v>
      </c>
      <c r="B122" s="10" t="s">
        <v>821</v>
      </c>
      <c r="C122" s="10" t="s">
        <v>794</v>
      </c>
      <c r="D122" s="10" t="s">
        <v>39</v>
      </c>
      <c r="E122" s="10" t="s">
        <v>795</v>
      </c>
      <c r="F122" s="10" t="s">
        <v>801</v>
      </c>
      <c r="G122" s="10" t="str">
        <f t="shared" si="3"/>
        <v>Aircraft Maintenance Planning Engineer-EASA Part M</v>
      </c>
    </row>
    <row r="123" spans="1:7" hidden="1" x14ac:dyDescent="0.25">
      <c r="A123" s="10">
        <v>125</v>
      </c>
      <c r="B123" s="10" t="s">
        <v>821</v>
      </c>
      <c r="C123" s="10" t="s">
        <v>796</v>
      </c>
      <c r="D123" s="10" t="s">
        <v>41</v>
      </c>
      <c r="E123" s="10" t="s">
        <v>41</v>
      </c>
      <c r="F123" s="10" t="s">
        <v>788</v>
      </c>
      <c r="G123" s="10" t="str">
        <f t="shared" si="3"/>
        <v>Aircraft Maintenance Planning Engineer-EWIS</v>
      </c>
    </row>
    <row r="124" spans="1:7" hidden="1" x14ac:dyDescent="0.25">
      <c r="A124" s="10">
        <v>126</v>
      </c>
      <c r="B124" s="10" t="s">
        <v>821</v>
      </c>
      <c r="C124" s="10" t="s">
        <v>797</v>
      </c>
      <c r="D124" s="10" t="s">
        <v>37</v>
      </c>
      <c r="E124" s="10" t="s">
        <v>37</v>
      </c>
      <c r="F124" s="10" t="s">
        <v>801</v>
      </c>
      <c r="G124" s="10" t="str">
        <f t="shared" si="3"/>
        <v>Aircraft Maintenance Planning Engineer-FAR Part 145</v>
      </c>
    </row>
    <row r="125" spans="1:7" hidden="1" x14ac:dyDescent="0.25">
      <c r="A125" s="10">
        <v>127</v>
      </c>
      <c r="B125" s="10" t="s">
        <v>821</v>
      </c>
      <c r="C125" s="10" t="s">
        <v>798</v>
      </c>
      <c r="D125" s="10" t="s">
        <v>40</v>
      </c>
      <c r="E125" s="10" t="s">
        <v>40</v>
      </c>
      <c r="F125" s="10" t="s">
        <v>788</v>
      </c>
      <c r="G125" s="10" t="str">
        <f t="shared" si="3"/>
        <v>Aircraft Maintenance Planning Engineer-Fuel Tank Safety</v>
      </c>
    </row>
    <row r="126" spans="1:7" hidden="1" x14ac:dyDescent="0.25">
      <c r="A126" s="10">
        <v>128</v>
      </c>
      <c r="B126" s="10" t="s">
        <v>821</v>
      </c>
      <c r="C126" s="10" t="s">
        <v>799</v>
      </c>
      <c r="D126" s="10" t="s">
        <v>35</v>
      </c>
      <c r="E126" s="10" t="s">
        <v>35</v>
      </c>
      <c r="F126" s="10" t="s">
        <v>788</v>
      </c>
      <c r="G126" s="10" t="str">
        <f t="shared" si="3"/>
        <v>Aircraft Maintenance Planning Engineer-GMF Quality System</v>
      </c>
    </row>
    <row r="127" spans="1:7" hidden="1" x14ac:dyDescent="0.25">
      <c r="A127" s="10">
        <v>129</v>
      </c>
      <c r="B127" s="10" t="s">
        <v>821</v>
      </c>
      <c r="C127" s="10" t="s">
        <v>800</v>
      </c>
      <c r="D127" s="10" t="s">
        <v>33</v>
      </c>
      <c r="E127" s="10" t="s">
        <v>33</v>
      </c>
      <c r="F127" s="10" t="s">
        <v>801</v>
      </c>
      <c r="G127" s="10" t="str">
        <f t="shared" si="3"/>
        <v>Aircraft Maintenance Planning Engineer-Human Factor</v>
      </c>
    </row>
    <row r="128" spans="1:7" hidden="1" x14ac:dyDescent="0.25">
      <c r="A128" s="10">
        <v>130</v>
      </c>
      <c r="B128" s="10" t="s">
        <v>821</v>
      </c>
      <c r="C128" s="10" t="s">
        <v>802</v>
      </c>
      <c r="D128" s="10" t="s">
        <v>201</v>
      </c>
      <c r="E128" s="10" t="s">
        <v>201</v>
      </c>
      <c r="F128" s="10" t="s">
        <v>788</v>
      </c>
      <c r="G128" s="10" t="str">
        <f t="shared" si="3"/>
        <v>Aircraft Maintenance Planning Engineer-Orientation Training</v>
      </c>
    </row>
    <row r="129" spans="1:7" hidden="1" x14ac:dyDescent="0.25">
      <c r="A129" s="10">
        <v>131</v>
      </c>
      <c r="B129" s="10" t="s">
        <v>821</v>
      </c>
      <c r="C129" s="10" t="s">
        <v>803</v>
      </c>
      <c r="D129" s="10" t="s">
        <v>34</v>
      </c>
      <c r="E129" s="10" t="s">
        <v>34</v>
      </c>
      <c r="F129" s="10" t="s">
        <v>801</v>
      </c>
      <c r="G129" s="10" t="str">
        <f t="shared" si="3"/>
        <v>Aircraft Maintenance Planning Engineer-Safety Management System</v>
      </c>
    </row>
    <row r="130" spans="1:7" hidden="1" x14ac:dyDescent="0.25">
      <c r="A130" s="10">
        <v>132</v>
      </c>
      <c r="B130" s="10" t="s">
        <v>821</v>
      </c>
      <c r="C130" s="10" t="s">
        <v>808</v>
      </c>
      <c r="D130" s="10" t="s">
        <v>199</v>
      </c>
      <c r="E130" s="10" t="s">
        <v>199</v>
      </c>
      <c r="F130" s="10" t="s">
        <v>788</v>
      </c>
      <c r="G130" s="10" t="str">
        <f t="shared" si="3"/>
        <v>Aircraft Maintenance Planning Engineer-SWIFT Training</v>
      </c>
    </row>
    <row r="131" spans="1:7" hidden="1" x14ac:dyDescent="0.25">
      <c r="A131" s="10">
        <v>133</v>
      </c>
      <c r="B131" s="10" t="s">
        <v>823</v>
      </c>
      <c r="C131" s="10" t="s">
        <v>811</v>
      </c>
      <c r="D131" s="10" t="s">
        <v>173</v>
      </c>
      <c r="E131" s="10" t="s">
        <v>812</v>
      </c>
      <c r="F131" s="10" t="s">
        <v>788</v>
      </c>
      <c r="G131" s="10" t="str">
        <f t="shared" si="3"/>
        <v>Aircraft Maintenance Technician-ADTH</v>
      </c>
    </row>
    <row r="132" spans="1:7" hidden="1" x14ac:dyDescent="0.25">
      <c r="A132" s="10">
        <v>134</v>
      </c>
      <c r="B132" s="10" t="s">
        <v>823</v>
      </c>
      <c r="C132" s="10" t="s">
        <v>791</v>
      </c>
      <c r="D132" s="10" t="s">
        <v>36</v>
      </c>
      <c r="E132" s="10" t="s">
        <v>36</v>
      </c>
      <c r="F132" s="10" t="s">
        <v>801</v>
      </c>
      <c r="G132" s="10" t="str">
        <f t="shared" si="3"/>
        <v>Aircraft Maintenance Technician-CASR Part 145</v>
      </c>
    </row>
    <row r="133" spans="1:7" hidden="1" x14ac:dyDescent="0.25">
      <c r="A133" s="10">
        <v>135</v>
      </c>
      <c r="B133" s="10" t="s">
        <v>823</v>
      </c>
      <c r="C133" s="10" t="s">
        <v>792</v>
      </c>
      <c r="D133" s="10" t="s">
        <v>42</v>
      </c>
      <c r="E133" s="10" t="s">
        <v>42</v>
      </c>
      <c r="F133" s="10" t="s">
        <v>788</v>
      </c>
      <c r="G133" s="10" t="str">
        <f t="shared" si="3"/>
        <v>Aircraft Maintenance Technician-Dangerous Good</v>
      </c>
    </row>
    <row r="134" spans="1:7" hidden="1" x14ac:dyDescent="0.25">
      <c r="A134" s="10">
        <v>136</v>
      </c>
      <c r="B134" s="10" t="s">
        <v>823</v>
      </c>
      <c r="C134" s="10" t="s">
        <v>793</v>
      </c>
      <c r="D134" s="10" t="s">
        <v>38</v>
      </c>
      <c r="E134" s="10" t="s">
        <v>38</v>
      </c>
      <c r="F134" s="10" t="s">
        <v>801</v>
      </c>
      <c r="G134" s="10" t="str">
        <f t="shared" si="3"/>
        <v>Aircraft Maintenance Technician-EASA Part 145</v>
      </c>
    </row>
    <row r="135" spans="1:7" hidden="1" x14ac:dyDescent="0.25">
      <c r="A135" s="10">
        <v>137</v>
      </c>
      <c r="B135" s="10" t="s">
        <v>823</v>
      </c>
      <c r="C135" s="10" t="s">
        <v>794</v>
      </c>
      <c r="D135" s="10" t="s">
        <v>39</v>
      </c>
      <c r="E135" s="10" t="s">
        <v>39</v>
      </c>
      <c r="F135" s="10" t="s">
        <v>801</v>
      </c>
      <c r="G135" s="10" t="str">
        <f t="shared" si="3"/>
        <v>Aircraft Maintenance Technician-EASA Part M</v>
      </c>
    </row>
    <row r="136" spans="1:7" hidden="1" x14ac:dyDescent="0.25">
      <c r="A136" s="10">
        <v>138</v>
      </c>
      <c r="B136" s="10" t="s">
        <v>823</v>
      </c>
      <c r="C136" s="10" t="s">
        <v>796</v>
      </c>
      <c r="D136" s="10" t="s">
        <v>41</v>
      </c>
      <c r="E136" s="10" t="s">
        <v>41</v>
      </c>
      <c r="F136" s="10" t="s">
        <v>801</v>
      </c>
      <c r="G136" s="10" t="str">
        <f t="shared" si="3"/>
        <v>Aircraft Maintenance Technician-EWIS</v>
      </c>
    </row>
    <row r="137" spans="1:7" hidden="1" x14ac:dyDescent="0.25">
      <c r="A137" s="10">
        <v>139</v>
      </c>
      <c r="B137" s="10" t="s">
        <v>823</v>
      </c>
      <c r="C137" s="10" t="s">
        <v>797</v>
      </c>
      <c r="D137" s="10" t="s">
        <v>37</v>
      </c>
      <c r="E137" s="10" t="s">
        <v>37</v>
      </c>
      <c r="F137" s="10" t="s">
        <v>801</v>
      </c>
      <c r="G137" s="10" t="str">
        <f t="shared" si="3"/>
        <v>Aircraft Maintenance Technician-FAR Part 145</v>
      </c>
    </row>
    <row r="138" spans="1:7" hidden="1" x14ac:dyDescent="0.25">
      <c r="A138" s="10">
        <v>140</v>
      </c>
      <c r="B138" s="10" t="s">
        <v>823</v>
      </c>
      <c r="C138" s="10" t="s">
        <v>798</v>
      </c>
      <c r="D138" s="10" t="s">
        <v>40</v>
      </c>
      <c r="E138" s="10" t="s">
        <v>40</v>
      </c>
      <c r="F138" s="10" t="s">
        <v>801</v>
      </c>
      <c r="G138" s="10" t="str">
        <f t="shared" si="3"/>
        <v>Aircraft Maintenance Technician-Fuel Tank Safety</v>
      </c>
    </row>
    <row r="139" spans="1:7" hidden="1" x14ac:dyDescent="0.25">
      <c r="A139" s="10">
        <v>141</v>
      </c>
      <c r="B139" s="10" t="s">
        <v>823</v>
      </c>
      <c r="C139" s="10" t="s">
        <v>799</v>
      </c>
      <c r="D139" s="10" t="s">
        <v>35</v>
      </c>
      <c r="E139" s="10" t="s">
        <v>35</v>
      </c>
      <c r="F139" s="10" t="s">
        <v>801</v>
      </c>
      <c r="G139" s="10" t="str">
        <f t="shared" si="3"/>
        <v>Aircraft Maintenance Technician-GMF Quality System</v>
      </c>
    </row>
    <row r="140" spans="1:7" hidden="1" x14ac:dyDescent="0.25">
      <c r="A140" s="10">
        <v>142</v>
      </c>
      <c r="B140" s="10" t="s">
        <v>823</v>
      </c>
      <c r="C140" s="10" t="s">
        <v>800</v>
      </c>
      <c r="D140" s="10" t="s">
        <v>33</v>
      </c>
      <c r="E140" s="10" t="s">
        <v>33</v>
      </c>
      <c r="F140" s="10" t="s">
        <v>801</v>
      </c>
      <c r="G140" s="10" t="str">
        <f t="shared" si="3"/>
        <v>Aircraft Maintenance Technician-Human Factor</v>
      </c>
    </row>
    <row r="141" spans="1:7" hidden="1" x14ac:dyDescent="0.25">
      <c r="A141" s="10">
        <v>143</v>
      </c>
      <c r="B141" s="10" t="s">
        <v>823</v>
      </c>
      <c r="C141" s="10" t="s">
        <v>802</v>
      </c>
      <c r="D141" s="10" t="s">
        <v>201</v>
      </c>
      <c r="E141" s="10" t="s">
        <v>201</v>
      </c>
      <c r="F141" s="10" t="s">
        <v>788</v>
      </c>
      <c r="G141" s="10" t="str">
        <f t="shared" si="3"/>
        <v>Aircraft Maintenance Technician-Orientation Training</v>
      </c>
    </row>
    <row r="142" spans="1:7" hidden="1" x14ac:dyDescent="0.25">
      <c r="A142" s="10">
        <v>144</v>
      </c>
      <c r="B142" s="10" t="s">
        <v>823</v>
      </c>
      <c r="C142" s="10" t="s">
        <v>803</v>
      </c>
      <c r="D142" s="10" t="s">
        <v>34</v>
      </c>
      <c r="E142" s="10" t="s">
        <v>34</v>
      </c>
      <c r="F142" s="10" t="s">
        <v>801</v>
      </c>
      <c r="G142" s="10" t="str">
        <f t="shared" si="3"/>
        <v>Aircraft Maintenance Technician-Safety Management System</v>
      </c>
    </row>
    <row r="143" spans="1:7" hidden="1" x14ac:dyDescent="0.25">
      <c r="A143" s="10">
        <v>145</v>
      </c>
      <c r="B143" s="10" t="s">
        <v>824</v>
      </c>
      <c r="C143" s="10" t="s">
        <v>800</v>
      </c>
      <c r="D143" s="10" t="s">
        <v>33</v>
      </c>
      <c r="E143" s="10" t="s">
        <v>33</v>
      </c>
      <c r="F143" s="10" t="s">
        <v>801</v>
      </c>
      <c r="G143" s="10" t="str">
        <f t="shared" ref="G143:G148" si="5">B143 &amp; "-" &amp; D143</f>
        <v>Aircraft Maintenance Technician (PKWT NP)-Human Factor</v>
      </c>
    </row>
    <row r="144" spans="1:7" hidden="1" x14ac:dyDescent="0.25">
      <c r="A144" s="10">
        <v>146</v>
      </c>
      <c r="B144" s="10" t="s">
        <v>824</v>
      </c>
      <c r="C144" s="10" t="s">
        <v>803</v>
      </c>
      <c r="D144" s="10" t="s">
        <v>34</v>
      </c>
      <c r="E144" s="10" t="s">
        <v>34</v>
      </c>
      <c r="F144" s="10" t="s">
        <v>801</v>
      </c>
      <c r="G144" s="10" t="str">
        <f t="shared" si="5"/>
        <v>Aircraft Maintenance Technician (PKWT NP)-Safety Management System</v>
      </c>
    </row>
    <row r="145" spans="1:7" hidden="1" x14ac:dyDescent="0.25">
      <c r="A145" s="10">
        <v>147</v>
      </c>
      <c r="B145" s="10" t="s">
        <v>824</v>
      </c>
      <c r="C145" s="10" t="s">
        <v>799</v>
      </c>
      <c r="D145" s="10" t="s">
        <v>35</v>
      </c>
      <c r="E145" s="10" t="s">
        <v>35</v>
      </c>
      <c r="F145" s="10" t="s">
        <v>788</v>
      </c>
      <c r="G145" s="10" t="str">
        <f t="shared" si="5"/>
        <v>Aircraft Maintenance Technician (PKWT NP)-GMF Quality System</v>
      </c>
    </row>
    <row r="146" spans="1:7" hidden="1" x14ac:dyDescent="0.25">
      <c r="A146" s="10">
        <v>148</v>
      </c>
      <c r="B146" s="10" t="s">
        <v>877</v>
      </c>
      <c r="D146" s="10" t="s">
        <v>33</v>
      </c>
      <c r="E146" s="10" t="s">
        <v>33</v>
      </c>
      <c r="F146" s="10" t="s">
        <v>801</v>
      </c>
      <c r="G146" s="10" t="str">
        <f t="shared" si="5"/>
        <v>Secretary-Human Factor</v>
      </c>
    </row>
    <row r="147" spans="1:7" hidden="1" x14ac:dyDescent="0.25">
      <c r="A147" s="10">
        <v>149</v>
      </c>
      <c r="B147" s="10" t="s">
        <v>877</v>
      </c>
      <c r="D147" s="10" t="s">
        <v>34</v>
      </c>
      <c r="E147" s="10" t="s">
        <v>34</v>
      </c>
      <c r="F147" s="10" t="s">
        <v>801</v>
      </c>
      <c r="G147" s="10" t="str">
        <f t="shared" si="5"/>
        <v>Secretary-Safety Management System</v>
      </c>
    </row>
    <row r="148" spans="1:7" hidden="1" x14ac:dyDescent="0.25">
      <c r="A148" s="10">
        <v>150</v>
      </c>
      <c r="B148" s="10" t="s">
        <v>877</v>
      </c>
      <c r="D148" s="10" t="s">
        <v>35</v>
      </c>
      <c r="E148" s="10" t="s">
        <v>35</v>
      </c>
      <c r="F148" s="10" t="s">
        <v>788</v>
      </c>
      <c r="G148" s="10" t="str">
        <f t="shared" si="5"/>
        <v>Secretary-GMF Quality System</v>
      </c>
    </row>
    <row r="149" spans="1:7" hidden="1" x14ac:dyDescent="0.25">
      <c r="B149" s="10" t="s">
        <v>825</v>
      </c>
      <c r="D149" s="10" t="s">
        <v>201</v>
      </c>
      <c r="F149" s="10" t="s">
        <v>788</v>
      </c>
      <c r="G149" s="10" t="str">
        <f t="shared" ref="G149:G157" si="6">B149 &amp; "-" &amp; D149</f>
        <v>Manager Cabin on Duty-Orientation Training</v>
      </c>
    </row>
    <row r="150" spans="1:7" hidden="1" x14ac:dyDescent="0.25">
      <c r="B150" s="10" t="s">
        <v>825</v>
      </c>
      <c r="D150" s="10" t="s">
        <v>60</v>
      </c>
      <c r="F150" s="10" t="s">
        <v>788</v>
      </c>
      <c r="G150" s="10" t="str">
        <f t="shared" si="6"/>
        <v>Manager Cabin on Duty-Type Rating Level III Training</v>
      </c>
    </row>
    <row r="151" spans="1:7" hidden="1" x14ac:dyDescent="0.25">
      <c r="B151" s="10" t="s">
        <v>825</v>
      </c>
      <c r="D151" s="10" t="s">
        <v>33</v>
      </c>
      <c r="F151" s="10" t="s">
        <v>801</v>
      </c>
      <c r="G151" s="10" t="str">
        <f t="shared" si="6"/>
        <v>Manager Cabin on Duty-Human Factor</v>
      </c>
    </row>
    <row r="152" spans="1:7" hidden="1" x14ac:dyDescent="0.25">
      <c r="B152" s="10" t="s">
        <v>825</v>
      </c>
      <c r="D152" s="10" t="s">
        <v>34</v>
      </c>
      <c r="F152" s="10" t="s">
        <v>801</v>
      </c>
      <c r="G152" s="10" t="str">
        <f t="shared" si="6"/>
        <v>Manager Cabin on Duty-Safety Management System</v>
      </c>
    </row>
    <row r="153" spans="1:7" hidden="1" x14ac:dyDescent="0.25">
      <c r="B153" s="10" t="s">
        <v>825</v>
      </c>
      <c r="D153" s="10" t="s">
        <v>36</v>
      </c>
      <c r="F153" s="10" t="s">
        <v>788</v>
      </c>
      <c r="G153" s="10" t="str">
        <f t="shared" si="6"/>
        <v>Manager Cabin on Duty-CASR Part 145</v>
      </c>
    </row>
    <row r="154" spans="1:7" hidden="1" x14ac:dyDescent="0.25">
      <c r="B154" s="10" t="s">
        <v>825</v>
      </c>
      <c r="D154" s="10" t="s">
        <v>38</v>
      </c>
      <c r="F154" s="10" t="s">
        <v>788</v>
      </c>
      <c r="G154" s="10" t="str">
        <f t="shared" si="6"/>
        <v>Manager Cabin on Duty-EASA Part 145</v>
      </c>
    </row>
    <row r="155" spans="1:7" hidden="1" x14ac:dyDescent="0.25">
      <c r="B155" s="10" t="s">
        <v>825</v>
      </c>
      <c r="D155" s="10" t="s">
        <v>39</v>
      </c>
      <c r="F155" s="10" t="s">
        <v>788</v>
      </c>
      <c r="G155" s="10" t="str">
        <f t="shared" si="6"/>
        <v>Manager Cabin on Duty-EASA Part M</v>
      </c>
    </row>
    <row r="156" spans="1:7" hidden="1" x14ac:dyDescent="0.25">
      <c r="B156" s="10" t="s">
        <v>825</v>
      </c>
      <c r="D156" s="10" t="s">
        <v>37</v>
      </c>
      <c r="F156" s="10" t="s">
        <v>788</v>
      </c>
      <c r="G156" s="10" t="str">
        <f t="shared" si="6"/>
        <v>Manager Cabin on Duty-FAR Part 145</v>
      </c>
    </row>
    <row r="157" spans="1:7" hidden="1" x14ac:dyDescent="0.25">
      <c r="B157" s="10" t="s">
        <v>825</v>
      </c>
      <c r="D157" s="10" t="s">
        <v>35</v>
      </c>
      <c r="F157" s="10" t="s">
        <v>788</v>
      </c>
      <c r="G157" s="10" t="str">
        <f t="shared" si="6"/>
        <v>Manager Cabin on Duty-GMF Quality System</v>
      </c>
    </row>
    <row r="158" spans="1:7" hidden="1" x14ac:dyDescent="0.25">
      <c r="A158" s="10">
        <v>151</v>
      </c>
      <c r="B158" s="10" t="s">
        <v>22</v>
      </c>
      <c r="C158" s="10" t="s">
        <v>826</v>
      </c>
      <c r="D158" s="10" t="s">
        <v>187</v>
      </c>
      <c r="E158" s="10" t="s">
        <v>187</v>
      </c>
      <c r="F158" s="10" t="s">
        <v>788</v>
      </c>
      <c r="G158" s="10" t="str">
        <f t="shared" si="3"/>
        <v>Department Head-Aviation Legislation Module 10</v>
      </c>
    </row>
    <row r="159" spans="1:7" hidden="1" x14ac:dyDescent="0.25">
      <c r="B159" s="10" t="s">
        <v>22</v>
      </c>
      <c r="D159" s="10" t="s">
        <v>40</v>
      </c>
      <c r="F159" s="10" t="s">
        <v>788</v>
      </c>
      <c r="G159" s="10" t="str">
        <f>B159 &amp; "-" &amp; D159</f>
        <v>Department Head-Fuel Tank Safety</v>
      </c>
    </row>
    <row r="160" spans="1:7" hidden="1" x14ac:dyDescent="0.25">
      <c r="B160" s="10" t="s">
        <v>22</v>
      </c>
      <c r="D160" s="10" t="s">
        <v>41</v>
      </c>
      <c r="F160" s="10" t="s">
        <v>788</v>
      </c>
      <c r="G160" s="10" t="str">
        <f>B160 &amp; "-" &amp; D160</f>
        <v>Department Head-EWIS</v>
      </c>
    </row>
    <row r="161" spans="1:7" hidden="1" x14ac:dyDescent="0.25">
      <c r="A161" s="10">
        <v>152</v>
      </c>
      <c r="B161" s="10" t="s">
        <v>22</v>
      </c>
      <c r="C161" s="10" t="s">
        <v>791</v>
      </c>
      <c r="D161" s="10" t="s">
        <v>36</v>
      </c>
      <c r="E161" s="10" t="s">
        <v>36</v>
      </c>
      <c r="F161" s="10" t="s">
        <v>801</v>
      </c>
      <c r="G161" s="10" t="str">
        <f t="shared" si="3"/>
        <v>Department Head-CASR Part 145</v>
      </c>
    </row>
    <row r="162" spans="1:7" hidden="1" x14ac:dyDescent="0.25">
      <c r="A162" s="10">
        <v>153</v>
      </c>
      <c r="B162" s="10" t="s">
        <v>22</v>
      </c>
      <c r="C162" s="10" t="s">
        <v>793</v>
      </c>
      <c r="D162" s="10" t="s">
        <v>38</v>
      </c>
      <c r="E162" s="10" t="s">
        <v>38</v>
      </c>
      <c r="F162" s="10" t="s">
        <v>801</v>
      </c>
      <c r="G162" s="10" t="str">
        <f t="shared" si="3"/>
        <v>Department Head-EASA Part 145</v>
      </c>
    </row>
    <row r="163" spans="1:7" hidden="1" x14ac:dyDescent="0.25">
      <c r="A163" s="10">
        <v>154</v>
      </c>
      <c r="B163" s="10" t="s">
        <v>22</v>
      </c>
      <c r="C163" s="10" t="s">
        <v>794</v>
      </c>
      <c r="D163" s="10" t="s">
        <v>39</v>
      </c>
      <c r="E163" s="10" t="s">
        <v>39</v>
      </c>
      <c r="F163" s="10" t="s">
        <v>801</v>
      </c>
      <c r="G163" s="10" t="str">
        <f t="shared" si="3"/>
        <v>Department Head-EASA Part M</v>
      </c>
    </row>
    <row r="164" spans="1:7" hidden="1" x14ac:dyDescent="0.25">
      <c r="A164" s="10">
        <v>155</v>
      </c>
      <c r="B164" s="10" t="s">
        <v>22</v>
      </c>
      <c r="C164" s="10" t="s">
        <v>797</v>
      </c>
      <c r="D164" s="10" t="s">
        <v>37</v>
      </c>
      <c r="E164" s="10" t="s">
        <v>37</v>
      </c>
      <c r="F164" s="10" t="s">
        <v>801</v>
      </c>
      <c r="G164" s="10" t="str">
        <f t="shared" si="3"/>
        <v>Department Head-FAR Part 145</v>
      </c>
    </row>
    <row r="165" spans="1:7" hidden="1" x14ac:dyDescent="0.25">
      <c r="A165" s="10">
        <v>156</v>
      </c>
      <c r="B165" s="10" t="s">
        <v>22</v>
      </c>
      <c r="C165" s="10" t="s">
        <v>799</v>
      </c>
      <c r="D165" s="10" t="s">
        <v>35</v>
      </c>
      <c r="E165" s="10" t="s">
        <v>35</v>
      </c>
      <c r="F165" s="10" t="s">
        <v>788</v>
      </c>
      <c r="G165" s="10" t="str">
        <f t="shared" si="3"/>
        <v>Department Head-GMF Quality System</v>
      </c>
    </row>
    <row r="166" spans="1:7" hidden="1" x14ac:dyDescent="0.25">
      <c r="A166" s="10">
        <v>157</v>
      </c>
      <c r="B166" s="10" t="s">
        <v>22</v>
      </c>
      <c r="C166" s="10" t="s">
        <v>800</v>
      </c>
      <c r="D166" s="10" t="s">
        <v>33</v>
      </c>
      <c r="E166" s="10" t="s">
        <v>33</v>
      </c>
      <c r="F166" s="10" t="s">
        <v>801</v>
      </c>
      <c r="G166" s="10" t="str">
        <f t="shared" si="3"/>
        <v>Department Head-Human Factor</v>
      </c>
    </row>
    <row r="167" spans="1:7" hidden="1" x14ac:dyDescent="0.25">
      <c r="A167" s="10">
        <v>158</v>
      </c>
      <c r="B167" s="10" t="s">
        <v>22</v>
      </c>
      <c r="C167" s="10" t="s">
        <v>827</v>
      </c>
      <c r="D167" s="10" t="s">
        <v>188</v>
      </c>
      <c r="E167" s="10" t="s">
        <v>188</v>
      </c>
      <c r="F167" s="10" t="s">
        <v>788</v>
      </c>
      <c r="G167" s="10" t="str">
        <f t="shared" si="3"/>
        <v>Department Head-Leadership Skill Training</v>
      </c>
    </row>
    <row r="168" spans="1:7" hidden="1" x14ac:dyDescent="0.25">
      <c r="A168" s="10">
        <v>159</v>
      </c>
      <c r="B168" s="10" t="s">
        <v>22</v>
      </c>
      <c r="C168" s="10" t="s">
        <v>828</v>
      </c>
      <c r="D168" s="10" t="s">
        <v>190</v>
      </c>
      <c r="E168" s="10" t="s">
        <v>190</v>
      </c>
      <c r="F168" s="10" t="s">
        <v>788</v>
      </c>
      <c r="G168" s="10" t="str">
        <f t="shared" si="3"/>
        <v>Department Head-MRO Finance</v>
      </c>
    </row>
    <row r="169" spans="1:7" hidden="1" x14ac:dyDescent="0.25">
      <c r="A169" s="10">
        <v>160</v>
      </c>
      <c r="B169" s="10" t="s">
        <v>22</v>
      </c>
      <c r="C169" s="10" t="s">
        <v>829</v>
      </c>
      <c r="D169" s="10" t="s">
        <v>189</v>
      </c>
      <c r="E169" s="10" t="s">
        <v>189</v>
      </c>
      <c r="F169" s="10" t="s">
        <v>788</v>
      </c>
      <c r="G169" s="10" t="str">
        <f t="shared" si="3"/>
        <v>Department Head-MRO Management</v>
      </c>
    </row>
    <row r="170" spans="1:7" hidden="1" x14ac:dyDescent="0.25">
      <c r="A170" s="10">
        <v>161</v>
      </c>
      <c r="B170" s="10" t="s">
        <v>22</v>
      </c>
      <c r="C170" s="10" t="s">
        <v>802</v>
      </c>
      <c r="D170" s="10" t="s">
        <v>201</v>
      </c>
      <c r="E170" s="10" t="s">
        <v>201</v>
      </c>
      <c r="F170" s="10" t="s">
        <v>788</v>
      </c>
      <c r="G170" s="10" t="str">
        <f t="shared" si="3"/>
        <v>Department Head-Orientation Training</v>
      </c>
    </row>
    <row r="171" spans="1:7" hidden="1" x14ac:dyDescent="0.25">
      <c r="A171" s="10">
        <v>162</v>
      </c>
      <c r="B171" s="10" t="s">
        <v>22</v>
      </c>
      <c r="C171" s="10" t="s">
        <v>803</v>
      </c>
      <c r="D171" s="10" t="s">
        <v>34</v>
      </c>
      <c r="E171" s="10" t="s">
        <v>34</v>
      </c>
      <c r="F171" s="10" t="s">
        <v>801</v>
      </c>
      <c r="G171" s="10" t="str">
        <f t="shared" si="3"/>
        <v>Department Head-Safety Management System</v>
      </c>
    </row>
    <row r="172" spans="1:7" hidden="1" x14ac:dyDescent="0.25">
      <c r="A172" s="10">
        <v>163</v>
      </c>
      <c r="B172" s="10" t="s">
        <v>21</v>
      </c>
      <c r="C172" s="10" t="s">
        <v>826</v>
      </c>
      <c r="D172" s="10" t="s">
        <v>187</v>
      </c>
      <c r="E172" s="10" t="s">
        <v>187</v>
      </c>
      <c r="F172" s="10" t="s">
        <v>788</v>
      </c>
      <c r="G172" s="10" t="str">
        <f t="shared" si="3"/>
        <v>Division Head-Aviation Legislation Module 10</v>
      </c>
    </row>
    <row r="173" spans="1:7" hidden="1" x14ac:dyDescent="0.25">
      <c r="B173" s="10" t="s">
        <v>21</v>
      </c>
      <c r="D173" s="10" t="s">
        <v>40</v>
      </c>
      <c r="F173" s="10" t="s">
        <v>788</v>
      </c>
      <c r="G173" s="10" t="str">
        <f>B173 &amp; "-" &amp; D173</f>
        <v>Division Head-Fuel Tank Safety</v>
      </c>
    </row>
    <row r="174" spans="1:7" hidden="1" x14ac:dyDescent="0.25">
      <c r="B174" s="10" t="s">
        <v>21</v>
      </c>
      <c r="D174" s="10" t="s">
        <v>41</v>
      </c>
      <c r="F174" s="10" t="s">
        <v>788</v>
      </c>
      <c r="G174" s="10" t="str">
        <f>B174 &amp; "-" &amp; D174</f>
        <v>Division Head-EWIS</v>
      </c>
    </row>
    <row r="175" spans="1:7" hidden="1" x14ac:dyDescent="0.25">
      <c r="A175" s="10">
        <v>164</v>
      </c>
      <c r="B175" s="10" t="s">
        <v>21</v>
      </c>
      <c r="C175" s="10" t="s">
        <v>791</v>
      </c>
      <c r="D175" s="10" t="s">
        <v>36</v>
      </c>
      <c r="E175" s="10" t="s">
        <v>36</v>
      </c>
      <c r="F175" s="10" t="s">
        <v>801</v>
      </c>
      <c r="G175" s="10" t="str">
        <f t="shared" si="3"/>
        <v>Division Head-CASR Part 145</v>
      </c>
    </row>
    <row r="176" spans="1:7" hidden="1" x14ac:dyDescent="0.25">
      <c r="A176" s="10">
        <v>165</v>
      </c>
      <c r="B176" s="10" t="s">
        <v>21</v>
      </c>
      <c r="C176" s="10" t="s">
        <v>793</v>
      </c>
      <c r="D176" s="10" t="s">
        <v>38</v>
      </c>
      <c r="E176" s="10" t="s">
        <v>38</v>
      </c>
      <c r="F176" s="10" t="s">
        <v>801</v>
      </c>
      <c r="G176" s="10" t="str">
        <f t="shared" si="3"/>
        <v>Division Head-EASA Part 145</v>
      </c>
    </row>
    <row r="177" spans="1:7" hidden="1" x14ac:dyDescent="0.25">
      <c r="A177" s="10">
        <v>166</v>
      </c>
      <c r="B177" s="10" t="s">
        <v>21</v>
      </c>
      <c r="C177" s="10" t="s">
        <v>794</v>
      </c>
      <c r="D177" s="10" t="s">
        <v>39</v>
      </c>
      <c r="E177" s="10" t="s">
        <v>39</v>
      </c>
      <c r="F177" s="10" t="s">
        <v>801</v>
      </c>
      <c r="G177" s="10" t="str">
        <f t="shared" si="3"/>
        <v>Division Head-EASA Part M</v>
      </c>
    </row>
    <row r="178" spans="1:7" hidden="1" x14ac:dyDescent="0.25">
      <c r="A178" s="10">
        <v>167</v>
      </c>
      <c r="B178" s="10" t="s">
        <v>21</v>
      </c>
      <c r="C178" s="10" t="s">
        <v>797</v>
      </c>
      <c r="D178" s="10" t="s">
        <v>37</v>
      </c>
      <c r="E178" s="10" t="s">
        <v>37</v>
      </c>
      <c r="F178" s="10" t="s">
        <v>801</v>
      </c>
      <c r="G178" s="10" t="str">
        <f t="shared" ref="G178:G248" si="7">B178 &amp; "-" &amp; D178</f>
        <v>Division Head-FAR Part 145</v>
      </c>
    </row>
    <row r="179" spans="1:7" hidden="1" x14ac:dyDescent="0.25">
      <c r="A179" s="10">
        <v>168</v>
      </c>
      <c r="B179" s="10" t="s">
        <v>21</v>
      </c>
      <c r="C179" s="10" t="s">
        <v>799</v>
      </c>
      <c r="D179" s="10" t="s">
        <v>35</v>
      </c>
      <c r="E179" s="10" t="s">
        <v>35</v>
      </c>
      <c r="F179" s="10" t="s">
        <v>788</v>
      </c>
      <c r="G179" s="10" t="str">
        <f t="shared" si="7"/>
        <v>Division Head-GMF Quality System</v>
      </c>
    </row>
    <row r="180" spans="1:7" hidden="1" x14ac:dyDescent="0.25">
      <c r="A180" s="10">
        <v>169</v>
      </c>
      <c r="B180" s="10" t="s">
        <v>21</v>
      </c>
      <c r="C180" s="10" t="s">
        <v>800</v>
      </c>
      <c r="D180" s="10" t="s">
        <v>33</v>
      </c>
      <c r="E180" s="10" t="s">
        <v>33</v>
      </c>
      <c r="F180" s="10" t="s">
        <v>801</v>
      </c>
      <c r="G180" s="10" t="str">
        <f t="shared" si="7"/>
        <v>Division Head-Human Factor</v>
      </c>
    </row>
    <row r="181" spans="1:7" hidden="1" x14ac:dyDescent="0.25">
      <c r="A181" s="10">
        <v>170</v>
      </c>
      <c r="B181" s="10" t="s">
        <v>21</v>
      </c>
      <c r="C181" s="10" t="s">
        <v>827</v>
      </c>
      <c r="D181" s="10" t="s">
        <v>188</v>
      </c>
      <c r="E181" s="10" t="s">
        <v>188</v>
      </c>
      <c r="F181" s="10" t="s">
        <v>788</v>
      </c>
      <c r="G181" s="10" t="str">
        <f t="shared" si="7"/>
        <v>Division Head-Leadership Skill Training</v>
      </c>
    </row>
    <row r="182" spans="1:7" hidden="1" x14ac:dyDescent="0.25">
      <c r="A182" s="10">
        <v>171</v>
      </c>
      <c r="B182" s="10" t="s">
        <v>21</v>
      </c>
      <c r="C182" s="10" t="s">
        <v>802</v>
      </c>
      <c r="D182" s="10" t="s">
        <v>201</v>
      </c>
      <c r="E182" s="10" t="s">
        <v>201</v>
      </c>
      <c r="F182" s="10" t="s">
        <v>788</v>
      </c>
      <c r="G182" s="10" t="str">
        <f t="shared" si="7"/>
        <v>Division Head-Orientation Training</v>
      </c>
    </row>
    <row r="183" spans="1:7" hidden="1" x14ac:dyDescent="0.25">
      <c r="A183" s="10">
        <v>172</v>
      </c>
      <c r="B183" s="10" t="s">
        <v>21</v>
      </c>
      <c r="C183" s="10" t="s">
        <v>803</v>
      </c>
      <c r="D183" s="10" t="s">
        <v>34</v>
      </c>
      <c r="E183" s="10" t="s">
        <v>34</v>
      </c>
      <c r="F183" s="10" t="s">
        <v>801</v>
      </c>
      <c r="G183" s="10" t="str">
        <f t="shared" si="7"/>
        <v>Division Head-Safety Management System</v>
      </c>
    </row>
    <row r="184" spans="1:7" hidden="1" x14ac:dyDescent="0.25">
      <c r="A184" s="10">
        <v>173</v>
      </c>
      <c r="B184" s="10" t="s">
        <v>19</v>
      </c>
      <c r="D184" s="10" t="s">
        <v>33</v>
      </c>
      <c r="E184" s="10" t="s">
        <v>33</v>
      </c>
      <c r="F184" s="10" t="s">
        <v>801</v>
      </c>
      <c r="G184" s="10" t="str">
        <f>B184 &amp; "-" &amp; D184</f>
        <v>Group Head-Human Factor</v>
      </c>
    </row>
    <row r="185" spans="1:7" hidden="1" x14ac:dyDescent="0.25">
      <c r="A185" s="10">
        <v>174</v>
      </c>
      <c r="B185" s="10" t="s">
        <v>19</v>
      </c>
      <c r="D185" s="10" t="s">
        <v>34</v>
      </c>
      <c r="E185" s="10" t="s">
        <v>34</v>
      </c>
      <c r="F185" s="10" t="s">
        <v>801</v>
      </c>
      <c r="G185" s="10" t="str">
        <f>B185 &amp; "-" &amp; D185</f>
        <v>Group Head-Safety Management System</v>
      </c>
    </row>
    <row r="186" spans="1:7" hidden="1" x14ac:dyDescent="0.25">
      <c r="A186" s="10">
        <v>175</v>
      </c>
      <c r="B186" s="10" t="s">
        <v>830</v>
      </c>
      <c r="C186" s="10" t="s">
        <v>790</v>
      </c>
      <c r="D186" s="10" t="s">
        <v>174</v>
      </c>
      <c r="E186" s="10" t="s">
        <v>174</v>
      </c>
      <c r="F186" s="10" t="s">
        <v>788</v>
      </c>
      <c r="G186" s="10" t="str">
        <f t="shared" si="7"/>
        <v>Senior Aircraft Cabin Controller-Basic Inspection</v>
      </c>
    </row>
    <row r="187" spans="1:7" hidden="1" x14ac:dyDescent="0.25">
      <c r="A187" s="10">
        <v>177</v>
      </c>
      <c r="B187" s="10" t="s">
        <v>830</v>
      </c>
      <c r="C187" s="10" t="s">
        <v>791</v>
      </c>
      <c r="D187" s="10" t="s">
        <v>36</v>
      </c>
      <c r="E187" s="10" t="s">
        <v>36</v>
      </c>
      <c r="F187" s="10" t="s">
        <v>788</v>
      </c>
      <c r="G187" s="10" t="str">
        <f t="shared" si="7"/>
        <v>Senior Aircraft Cabin Controller-CASR Part 145</v>
      </c>
    </row>
    <row r="188" spans="1:7" hidden="1" x14ac:dyDescent="0.25">
      <c r="A188" s="10">
        <v>178</v>
      </c>
      <c r="B188" s="10" t="s">
        <v>830</v>
      </c>
      <c r="C188" s="10" t="s">
        <v>792</v>
      </c>
      <c r="D188" s="10" t="s">
        <v>42</v>
      </c>
      <c r="E188" s="10" t="s">
        <v>42</v>
      </c>
      <c r="F188" s="10" t="s">
        <v>788</v>
      </c>
      <c r="G188" s="10" t="str">
        <f t="shared" si="7"/>
        <v>Senior Aircraft Cabin Controller-Dangerous Good</v>
      </c>
    </row>
    <row r="189" spans="1:7" hidden="1" x14ac:dyDescent="0.25">
      <c r="A189" s="10">
        <v>179</v>
      </c>
      <c r="B189" s="10" t="s">
        <v>830</v>
      </c>
      <c r="C189" s="10" t="s">
        <v>793</v>
      </c>
      <c r="D189" s="10" t="s">
        <v>38</v>
      </c>
      <c r="E189" s="10" t="s">
        <v>38</v>
      </c>
      <c r="F189" s="10" t="s">
        <v>788</v>
      </c>
      <c r="G189" s="10" t="str">
        <f t="shared" si="7"/>
        <v>Senior Aircraft Cabin Controller-EASA Part 145</v>
      </c>
    </row>
    <row r="190" spans="1:7" hidden="1" x14ac:dyDescent="0.25">
      <c r="A190" s="10">
        <v>180</v>
      </c>
      <c r="B190" s="10" t="s">
        <v>830</v>
      </c>
      <c r="C190" s="10" t="s">
        <v>794</v>
      </c>
      <c r="D190" s="10" t="s">
        <v>39</v>
      </c>
      <c r="E190" s="10" t="s">
        <v>39</v>
      </c>
      <c r="F190" s="10" t="s">
        <v>788</v>
      </c>
      <c r="G190" s="10" t="str">
        <f t="shared" si="7"/>
        <v>Senior Aircraft Cabin Controller-EASA Part M</v>
      </c>
    </row>
    <row r="191" spans="1:7" hidden="1" x14ac:dyDescent="0.25">
      <c r="A191" s="10">
        <v>181</v>
      </c>
      <c r="B191" s="10" t="s">
        <v>830</v>
      </c>
      <c r="C191" s="10" t="s">
        <v>796</v>
      </c>
      <c r="D191" s="10" t="s">
        <v>41</v>
      </c>
      <c r="E191" s="10" t="s">
        <v>41</v>
      </c>
      <c r="F191" s="10" t="s">
        <v>788</v>
      </c>
      <c r="G191" s="10" t="str">
        <f t="shared" si="7"/>
        <v>Senior Aircraft Cabin Controller-EWIS</v>
      </c>
    </row>
    <row r="192" spans="1:7" hidden="1" x14ac:dyDescent="0.25">
      <c r="A192" s="10">
        <v>182</v>
      </c>
      <c r="B192" s="10" t="s">
        <v>830</v>
      </c>
      <c r="C192" s="10" t="s">
        <v>797</v>
      </c>
      <c r="D192" s="10" t="s">
        <v>37</v>
      </c>
      <c r="E192" s="10" t="s">
        <v>37</v>
      </c>
      <c r="F192" s="10" t="s">
        <v>788</v>
      </c>
      <c r="G192" s="10" t="str">
        <f t="shared" si="7"/>
        <v>Senior Aircraft Cabin Controller-FAR Part 145</v>
      </c>
    </row>
    <row r="193" spans="1:7" hidden="1" x14ac:dyDescent="0.25">
      <c r="A193" s="10">
        <v>183</v>
      </c>
      <c r="B193" s="10" t="s">
        <v>830</v>
      </c>
      <c r="C193" s="10" t="s">
        <v>798</v>
      </c>
      <c r="D193" s="10" t="s">
        <v>40</v>
      </c>
      <c r="E193" s="10" t="s">
        <v>40</v>
      </c>
      <c r="F193" s="10" t="s">
        <v>788</v>
      </c>
      <c r="G193" s="10" t="str">
        <f t="shared" si="7"/>
        <v>Senior Aircraft Cabin Controller-Fuel Tank Safety</v>
      </c>
    </row>
    <row r="194" spans="1:7" hidden="1" x14ac:dyDescent="0.25">
      <c r="A194" s="10">
        <v>184</v>
      </c>
      <c r="B194" s="10" t="s">
        <v>830</v>
      </c>
      <c r="C194" s="10" t="s">
        <v>799</v>
      </c>
      <c r="D194" s="10" t="s">
        <v>35</v>
      </c>
      <c r="E194" s="10" t="s">
        <v>35</v>
      </c>
      <c r="F194" s="10" t="s">
        <v>788</v>
      </c>
      <c r="G194" s="10" t="str">
        <f t="shared" si="7"/>
        <v>Senior Aircraft Cabin Controller-GMF Quality System</v>
      </c>
    </row>
    <row r="195" spans="1:7" hidden="1" x14ac:dyDescent="0.25">
      <c r="A195" s="10">
        <v>185</v>
      </c>
      <c r="B195" s="10" t="s">
        <v>830</v>
      </c>
      <c r="C195" s="10" t="s">
        <v>800</v>
      </c>
      <c r="D195" s="10" t="s">
        <v>33</v>
      </c>
      <c r="E195" s="10" t="s">
        <v>33</v>
      </c>
      <c r="F195" s="10" t="s">
        <v>801</v>
      </c>
      <c r="G195" s="10" t="str">
        <f t="shared" si="7"/>
        <v>Senior Aircraft Cabin Controller-Human Factor</v>
      </c>
    </row>
    <row r="196" spans="1:7" hidden="1" x14ac:dyDescent="0.25">
      <c r="A196" s="10">
        <v>186</v>
      </c>
      <c r="B196" s="10" t="s">
        <v>830</v>
      </c>
      <c r="C196" s="10" t="s">
        <v>802</v>
      </c>
      <c r="D196" s="10" t="s">
        <v>201</v>
      </c>
      <c r="E196" s="10" t="s">
        <v>201</v>
      </c>
      <c r="F196" s="10" t="s">
        <v>788</v>
      </c>
      <c r="G196" s="10" t="str">
        <f t="shared" si="7"/>
        <v>Senior Aircraft Cabin Controller-Orientation Training</v>
      </c>
    </row>
    <row r="197" spans="1:7" hidden="1" x14ac:dyDescent="0.25">
      <c r="A197" s="10">
        <v>187</v>
      </c>
      <c r="B197" s="10" t="s">
        <v>830</v>
      </c>
      <c r="C197" s="10" t="s">
        <v>831</v>
      </c>
      <c r="D197" s="10" t="s">
        <v>191</v>
      </c>
      <c r="E197" s="10" t="s">
        <v>191</v>
      </c>
      <c r="F197" s="10" t="s">
        <v>788</v>
      </c>
      <c r="G197" s="10" t="str">
        <f t="shared" si="7"/>
        <v>Senior Aircraft Cabin Controller-Project Management basic</v>
      </c>
    </row>
    <row r="198" spans="1:7" hidden="1" x14ac:dyDescent="0.25">
      <c r="A198" s="10">
        <v>188</v>
      </c>
      <c r="B198" s="10" t="s">
        <v>830</v>
      </c>
      <c r="C198" s="10" t="s">
        <v>803</v>
      </c>
      <c r="D198" s="10" t="s">
        <v>34</v>
      </c>
      <c r="E198" s="10" t="s">
        <v>34</v>
      </c>
      <c r="F198" s="10" t="s">
        <v>801</v>
      </c>
      <c r="G198" s="10" t="str">
        <f t="shared" si="7"/>
        <v>Senior Aircraft Cabin Controller-Safety Management System</v>
      </c>
    </row>
    <row r="199" spans="1:7" hidden="1" x14ac:dyDescent="0.25">
      <c r="A199" s="10">
        <v>189</v>
      </c>
      <c r="B199" s="10" t="s">
        <v>832</v>
      </c>
      <c r="C199" s="10" t="s">
        <v>790</v>
      </c>
      <c r="D199" s="10" t="s">
        <v>174</v>
      </c>
      <c r="E199" s="10" t="s">
        <v>174</v>
      </c>
      <c r="F199" s="10" t="s">
        <v>788</v>
      </c>
      <c r="G199" s="10" t="str">
        <f t="shared" si="7"/>
        <v>Senior Aircraft Cabin Engineer-Basic Inspection</v>
      </c>
    </row>
    <row r="200" spans="1:7" hidden="1" x14ac:dyDescent="0.25">
      <c r="A200" s="10">
        <v>190</v>
      </c>
      <c r="B200" s="10" t="s">
        <v>832</v>
      </c>
      <c r="C200" s="10" t="s">
        <v>806</v>
      </c>
      <c r="D200" s="10" t="s">
        <v>175</v>
      </c>
      <c r="E200" s="10" t="s">
        <v>175</v>
      </c>
      <c r="F200" s="10" t="s">
        <v>788</v>
      </c>
      <c r="G200" s="10" t="str">
        <f t="shared" si="7"/>
        <v>Senior Aircraft Cabin Engineer-Basic Supervisory Training</v>
      </c>
    </row>
    <row r="201" spans="1:7" hidden="1" x14ac:dyDescent="0.25">
      <c r="A201" s="10">
        <v>191</v>
      </c>
      <c r="B201" s="10" t="s">
        <v>832</v>
      </c>
      <c r="C201" s="10" t="s">
        <v>791</v>
      </c>
      <c r="D201" s="10" t="s">
        <v>36</v>
      </c>
      <c r="E201" s="10" t="s">
        <v>36</v>
      </c>
      <c r="F201" s="10" t="s">
        <v>801</v>
      </c>
      <c r="G201" s="10" t="str">
        <f t="shared" si="7"/>
        <v>Senior Aircraft Cabin Engineer-CASR Part 145</v>
      </c>
    </row>
    <row r="202" spans="1:7" hidden="1" x14ac:dyDescent="0.25">
      <c r="A202" s="10">
        <v>192</v>
      </c>
      <c r="B202" s="10" t="s">
        <v>832</v>
      </c>
      <c r="C202" s="10" t="s">
        <v>792</v>
      </c>
      <c r="D202" s="10" t="s">
        <v>42</v>
      </c>
      <c r="E202" s="10" t="s">
        <v>42</v>
      </c>
      <c r="F202" s="10" t="s">
        <v>788</v>
      </c>
      <c r="G202" s="10" t="str">
        <f t="shared" si="7"/>
        <v>Senior Aircraft Cabin Engineer-Dangerous Good</v>
      </c>
    </row>
    <row r="203" spans="1:7" hidden="1" x14ac:dyDescent="0.25">
      <c r="A203" s="10">
        <v>193</v>
      </c>
      <c r="B203" s="10" t="s">
        <v>832</v>
      </c>
      <c r="C203" s="10" t="s">
        <v>793</v>
      </c>
      <c r="D203" s="10" t="s">
        <v>38</v>
      </c>
      <c r="E203" s="10" t="s">
        <v>38</v>
      </c>
      <c r="F203" s="10" t="s">
        <v>801</v>
      </c>
      <c r="G203" s="10" t="str">
        <f t="shared" si="7"/>
        <v>Senior Aircraft Cabin Engineer-EASA Part 145</v>
      </c>
    </row>
    <row r="204" spans="1:7" hidden="1" x14ac:dyDescent="0.25">
      <c r="A204" s="10">
        <v>194</v>
      </c>
      <c r="B204" s="10" t="s">
        <v>832</v>
      </c>
      <c r="C204" s="10" t="s">
        <v>794</v>
      </c>
      <c r="D204" s="10" t="s">
        <v>39</v>
      </c>
      <c r="E204" s="10" t="s">
        <v>39</v>
      </c>
      <c r="F204" s="10" t="s">
        <v>801</v>
      </c>
      <c r="G204" s="10" t="str">
        <f t="shared" si="7"/>
        <v>Senior Aircraft Cabin Engineer-EASA Part M</v>
      </c>
    </row>
    <row r="205" spans="1:7" hidden="1" x14ac:dyDescent="0.25">
      <c r="A205" s="10">
        <v>195</v>
      </c>
      <c r="B205" s="10" t="s">
        <v>832</v>
      </c>
      <c r="C205" s="10" t="s">
        <v>796</v>
      </c>
      <c r="D205" s="10" t="s">
        <v>41</v>
      </c>
      <c r="E205" s="10" t="s">
        <v>41</v>
      </c>
      <c r="F205" s="10" t="s">
        <v>801</v>
      </c>
      <c r="G205" s="10" t="str">
        <f t="shared" si="7"/>
        <v>Senior Aircraft Cabin Engineer-EWIS</v>
      </c>
    </row>
    <row r="206" spans="1:7" hidden="1" x14ac:dyDescent="0.25">
      <c r="A206" s="10">
        <v>196</v>
      </c>
      <c r="B206" s="10" t="s">
        <v>832</v>
      </c>
      <c r="C206" s="10" t="s">
        <v>797</v>
      </c>
      <c r="D206" s="10" t="s">
        <v>37</v>
      </c>
      <c r="E206" s="10" t="s">
        <v>37</v>
      </c>
      <c r="F206" s="10" t="s">
        <v>801</v>
      </c>
      <c r="G206" s="10" t="str">
        <f t="shared" si="7"/>
        <v>Senior Aircraft Cabin Engineer-FAR Part 145</v>
      </c>
    </row>
    <row r="207" spans="1:7" hidden="1" x14ac:dyDescent="0.25">
      <c r="A207" s="10">
        <v>197</v>
      </c>
      <c r="B207" s="10" t="s">
        <v>832</v>
      </c>
      <c r="C207" s="10" t="s">
        <v>798</v>
      </c>
      <c r="D207" s="10" t="s">
        <v>40</v>
      </c>
      <c r="E207" s="10" t="s">
        <v>40</v>
      </c>
      <c r="F207" s="10" t="s">
        <v>801</v>
      </c>
      <c r="G207" s="10" t="str">
        <f t="shared" si="7"/>
        <v>Senior Aircraft Cabin Engineer-Fuel Tank Safety</v>
      </c>
    </row>
    <row r="208" spans="1:7" hidden="1" x14ac:dyDescent="0.25">
      <c r="A208" s="10">
        <v>198</v>
      </c>
      <c r="B208" s="10" t="s">
        <v>832</v>
      </c>
      <c r="C208" s="10" t="s">
        <v>807</v>
      </c>
      <c r="D208" s="10" t="s">
        <v>177</v>
      </c>
      <c r="E208" s="10" t="s">
        <v>177</v>
      </c>
      <c r="F208" s="10" t="s">
        <v>788</v>
      </c>
      <c r="G208" s="10" t="str">
        <f t="shared" si="7"/>
        <v>Senior Aircraft Cabin Engineer-Fundamental Troubleshooting</v>
      </c>
    </row>
    <row r="209" spans="1:7" hidden="1" x14ac:dyDescent="0.25">
      <c r="A209" s="10">
        <v>199</v>
      </c>
      <c r="B209" s="10" t="s">
        <v>832</v>
      </c>
      <c r="C209" s="10" t="s">
        <v>799</v>
      </c>
      <c r="D209" s="10" t="s">
        <v>35</v>
      </c>
      <c r="E209" s="10" t="s">
        <v>35</v>
      </c>
      <c r="F209" s="10" t="s">
        <v>801</v>
      </c>
      <c r="G209" s="10" t="str">
        <f t="shared" si="7"/>
        <v>Senior Aircraft Cabin Engineer-GMF Quality System</v>
      </c>
    </row>
    <row r="210" spans="1:7" hidden="1" x14ac:dyDescent="0.25">
      <c r="A210" s="10">
        <v>200</v>
      </c>
      <c r="B210" s="10" t="s">
        <v>832</v>
      </c>
      <c r="C210" s="10" t="s">
        <v>800</v>
      </c>
      <c r="D210" s="10" t="s">
        <v>33</v>
      </c>
      <c r="E210" s="10" t="s">
        <v>33</v>
      </c>
      <c r="F210" s="10" t="s">
        <v>801</v>
      </c>
      <c r="G210" s="10" t="str">
        <f t="shared" si="7"/>
        <v>Senior Aircraft Cabin Engineer-Human Factor</v>
      </c>
    </row>
    <row r="211" spans="1:7" hidden="1" x14ac:dyDescent="0.25">
      <c r="A211" s="10">
        <v>201</v>
      </c>
      <c r="B211" s="10" t="s">
        <v>832</v>
      </c>
      <c r="C211" s="10" t="s">
        <v>802</v>
      </c>
      <c r="D211" s="10" t="s">
        <v>201</v>
      </c>
      <c r="E211" s="10" t="s">
        <v>201</v>
      </c>
      <c r="F211" s="10" t="s">
        <v>788</v>
      </c>
      <c r="G211" s="10" t="str">
        <f t="shared" si="7"/>
        <v>Senior Aircraft Cabin Engineer-Orientation Training</v>
      </c>
    </row>
    <row r="212" spans="1:7" hidden="1" x14ac:dyDescent="0.25">
      <c r="A212" s="10">
        <v>202</v>
      </c>
      <c r="B212" s="10" t="s">
        <v>832</v>
      </c>
      <c r="C212" s="10" t="s">
        <v>803</v>
      </c>
      <c r="D212" s="10" t="s">
        <v>34</v>
      </c>
      <c r="E212" s="10" t="s">
        <v>34</v>
      </c>
      <c r="F212" s="10" t="s">
        <v>801</v>
      </c>
      <c r="G212" s="10" t="str">
        <f t="shared" si="7"/>
        <v>Senior Aircraft Cabin Engineer-Safety Management System</v>
      </c>
    </row>
    <row r="213" spans="1:7" hidden="1" x14ac:dyDescent="0.25">
      <c r="A213" s="10">
        <v>203</v>
      </c>
      <c r="B213" s="10" t="s">
        <v>832</v>
      </c>
      <c r="C213" s="10" t="s">
        <v>808</v>
      </c>
      <c r="D213" s="10" t="s">
        <v>199</v>
      </c>
      <c r="E213" s="10" t="s">
        <v>199</v>
      </c>
      <c r="F213" s="10" t="s">
        <v>788</v>
      </c>
      <c r="G213" s="10" t="str">
        <f t="shared" si="7"/>
        <v>Senior Aircraft Cabin Engineer-SWIFT Training</v>
      </c>
    </row>
    <row r="214" spans="1:7" x14ac:dyDescent="0.25">
      <c r="A214" s="10">
        <v>204</v>
      </c>
      <c r="B214" s="10" t="s">
        <v>833</v>
      </c>
      <c r="C214" s="10" t="s">
        <v>790</v>
      </c>
      <c r="D214" s="10" t="s">
        <v>174</v>
      </c>
      <c r="E214" s="10" t="s">
        <v>174</v>
      </c>
      <c r="F214" s="10" t="s">
        <v>788</v>
      </c>
      <c r="G214" s="10" t="str">
        <f t="shared" si="7"/>
        <v>Senior Aircraft Cabin Technician-Basic Inspection</v>
      </c>
    </row>
    <row r="215" spans="1:7" x14ac:dyDescent="0.25">
      <c r="A215" s="10">
        <v>205</v>
      </c>
      <c r="B215" s="10" t="s">
        <v>833</v>
      </c>
      <c r="C215" s="10" t="s">
        <v>791</v>
      </c>
      <c r="D215" s="10" t="s">
        <v>36</v>
      </c>
      <c r="E215" s="10" t="s">
        <v>36</v>
      </c>
      <c r="F215" s="10" t="s">
        <v>801</v>
      </c>
      <c r="G215" s="10" t="str">
        <f t="shared" si="7"/>
        <v>Senior Aircraft Cabin Technician-CASR Part 145</v>
      </c>
    </row>
    <row r="216" spans="1:7" x14ac:dyDescent="0.25">
      <c r="A216" s="10">
        <v>206</v>
      </c>
      <c r="B216" s="10" t="s">
        <v>833</v>
      </c>
      <c r="C216" s="10" t="s">
        <v>792</v>
      </c>
      <c r="D216" s="10" t="s">
        <v>42</v>
      </c>
      <c r="E216" s="10" t="s">
        <v>42</v>
      </c>
      <c r="F216" s="10" t="s">
        <v>788</v>
      </c>
      <c r="G216" s="10" t="str">
        <f t="shared" si="7"/>
        <v>Senior Aircraft Cabin Technician-Dangerous Good</v>
      </c>
    </row>
    <row r="217" spans="1:7" x14ac:dyDescent="0.25">
      <c r="A217" s="10">
        <v>207</v>
      </c>
      <c r="B217" s="10" t="s">
        <v>833</v>
      </c>
      <c r="C217" s="10" t="s">
        <v>793</v>
      </c>
      <c r="D217" s="10" t="s">
        <v>38</v>
      </c>
      <c r="E217" s="10" t="s">
        <v>38</v>
      </c>
      <c r="F217" s="10" t="s">
        <v>801</v>
      </c>
      <c r="G217" s="10" t="str">
        <f t="shared" si="7"/>
        <v>Senior Aircraft Cabin Technician-EASA Part 145</v>
      </c>
    </row>
    <row r="218" spans="1:7" x14ac:dyDescent="0.25">
      <c r="A218" s="10">
        <v>208</v>
      </c>
      <c r="B218" s="10" t="s">
        <v>833</v>
      </c>
      <c r="C218" s="10" t="s">
        <v>794</v>
      </c>
      <c r="D218" s="10" t="s">
        <v>39</v>
      </c>
      <c r="E218" s="10" t="s">
        <v>39</v>
      </c>
      <c r="F218" s="10" t="s">
        <v>801</v>
      </c>
      <c r="G218" s="10" t="str">
        <f t="shared" si="7"/>
        <v>Senior Aircraft Cabin Technician-EASA Part M</v>
      </c>
    </row>
    <row r="219" spans="1:7" x14ac:dyDescent="0.25">
      <c r="A219" s="10">
        <v>209</v>
      </c>
      <c r="B219" s="10" t="s">
        <v>833</v>
      </c>
      <c r="C219" s="10" t="s">
        <v>796</v>
      </c>
      <c r="D219" s="10" t="s">
        <v>41</v>
      </c>
      <c r="E219" s="10" t="s">
        <v>41</v>
      </c>
      <c r="F219" s="10" t="s">
        <v>801</v>
      </c>
      <c r="G219" s="10" t="str">
        <f t="shared" si="7"/>
        <v>Senior Aircraft Cabin Technician-EWIS</v>
      </c>
    </row>
    <row r="220" spans="1:7" x14ac:dyDescent="0.25">
      <c r="A220" s="10">
        <v>210</v>
      </c>
      <c r="B220" s="10" t="s">
        <v>833</v>
      </c>
      <c r="C220" s="10" t="s">
        <v>797</v>
      </c>
      <c r="D220" s="10" t="s">
        <v>37</v>
      </c>
      <c r="E220" s="10" t="s">
        <v>37</v>
      </c>
      <c r="F220" s="10" t="s">
        <v>801</v>
      </c>
      <c r="G220" s="10" t="str">
        <f t="shared" si="7"/>
        <v>Senior Aircraft Cabin Technician-FAR Part 145</v>
      </c>
    </row>
    <row r="221" spans="1:7" x14ac:dyDescent="0.25">
      <c r="A221" s="10">
        <v>211</v>
      </c>
      <c r="B221" s="10" t="s">
        <v>833</v>
      </c>
      <c r="C221" s="10" t="s">
        <v>798</v>
      </c>
      <c r="D221" s="10" t="s">
        <v>40</v>
      </c>
      <c r="E221" s="10" t="s">
        <v>40</v>
      </c>
      <c r="F221" s="10" t="s">
        <v>801</v>
      </c>
      <c r="G221" s="10" t="str">
        <f t="shared" si="7"/>
        <v>Senior Aircraft Cabin Technician-Fuel Tank Safety</v>
      </c>
    </row>
    <row r="222" spans="1:7" x14ac:dyDescent="0.25">
      <c r="A222" s="10">
        <v>212</v>
      </c>
      <c r="B222" s="10" t="s">
        <v>833</v>
      </c>
      <c r="C222" s="10" t="s">
        <v>799</v>
      </c>
      <c r="D222" s="10" t="s">
        <v>35</v>
      </c>
      <c r="E222" s="10" t="s">
        <v>35</v>
      </c>
      <c r="F222" s="10" t="s">
        <v>801</v>
      </c>
      <c r="G222" s="10" t="str">
        <f t="shared" si="7"/>
        <v>Senior Aircraft Cabin Technician-GMF Quality System</v>
      </c>
    </row>
    <row r="223" spans="1:7" x14ac:dyDescent="0.25">
      <c r="A223" s="10">
        <v>213</v>
      </c>
      <c r="B223" s="10" t="s">
        <v>833</v>
      </c>
      <c r="C223" s="10" t="s">
        <v>800</v>
      </c>
      <c r="D223" s="10" t="s">
        <v>33</v>
      </c>
      <c r="E223" s="10" t="s">
        <v>33</v>
      </c>
      <c r="F223" s="10" t="s">
        <v>801</v>
      </c>
      <c r="G223" s="10" t="str">
        <f t="shared" si="7"/>
        <v>Senior Aircraft Cabin Technician-Human Factor</v>
      </c>
    </row>
    <row r="224" spans="1:7" x14ac:dyDescent="0.25">
      <c r="A224" s="10">
        <v>214</v>
      </c>
      <c r="B224" s="10" t="s">
        <v>833</v>
      </c>
      <c r="C224" s="10" t="s">
        <v>802</v>
      </c>
      <c r="D224" s="10" t="s">
        <v>201</v>
      </c>
      <c r="E224" s="10" t="s">
        <v>201</v>
      </c>
      <c r="F224" s="10" t="s">
        <v>788</v>
      </c>
      <c r="G224" s="10" t="str">
        <f t="shared" si="7"/>
        <v>Senior Aircraft Cabin Technician-Orientation Training</v>
      </c>
    </row>
    <row r="225" spans="1:7" x14ac:dyDescent="0.25">
      <c r="A225" s="10">
        <v>215</v>
      </c>
      <c r="B225" s="10" t="s">
        <v>833</v>
      </c>
      <c r="C225" s="10" t="s">
        <v>803</v>
      </c>
      <c r="D225" s="10" t="s">
        <v>34</v>
      </c>
      <c r="E225" s="10" t="s">
        <v>34</v>
      </c>
      <c r="F225" s="10" t="s">
        <v>801</v>
      </c>
      <c r="G225" s="10" t="str">
        <f t="shared" si="7"/>
        <v>Senior Aircraft Cabin Technician-Safety Management System</v>
      </c>
    </row>
    <row r="226" spans="1:7" x14ac:dyDescent="0.25">
      <c r="A226" s="10">
        <v>216</v>
      </c>
      <c r="B226" s="10" t="s">
        <v>833</v>
      </c>
      <c r="C226" s="10" t="s">
        <v>808</v>
      </c>
      <c r="D226" s="10" t="s">
        <v>199</v>
      </c>
      <c r="E226" s="10" t="s">
        <v>199</v>
      </c>
      <c r="F226" s="10" t="s">
        <v>788</v>
      </c>
      <c r="G226" s="10" t="str">
        <f t="shared" si="7"/>
        <v>Senior Aircraft Cabin Technician-SWIFT Training</v>
      </c>
    </row>
    <row r="227" spans="1:7" hidden="1" x14ac:dyDescent="0.25">
      <c r="A227" s="10">
        <v>217</v>
      </c>
      <c r="B227" s="10" t="s">
        <v>834</v>
      </c>
      <c r="C227" s="10" t="s">
        <v>790</v>
      </c>
      <c r="D227" s="10" t="s">
        <v>174</v>
      </c>
      <c r="E227" s="10" t="s">
        <v>174</v>
      </c>
      <c r="F227" s="10" t="s">
        <v>788</v>
      </c>
      <c r="G227" s="10" t="str">
        <f t="shared" ref="G227:G239" si="8">B227 &amp; "-" &amp; D227</f>
        <v>Trainee for Senior Aircraft Cabin Technician-Basic Inspection</v>
      </c>
    </row>
    <row r="228" spans="1:7" hidden="1" x14ac:dyDescent="0.25">
      <c r="A228" s="10">
        <v>218</v>
      </c>
      <c r="B228" s="10" t="s">
        <v>834</v>
      </c>
      <c r="C228" s="10" t="s">
        <v>791</v>
      </c>
      <c r="D228" s="10" t="s">
        <v>36</v>
      </c>
      <c r="E228" s="10" t="s">
        <v>36</v>
      </c>
      <c r="F228" s="10" t="s">
        <v>801</v>
      </c>
      <c r="G228" s="10" t="str">
        <f t="shared" si="8"/>
        <v>Trainee for Senior Aircraft Cabin Technician-CASR Part 145</v>
      </c>
    </row>
    <row r="229" spans="1:7" hidden="1" x14ac:dyDescent="0.25">
      <c r="A229" s="10">
        <v>219</v>
      </c>
      <c r="B229" s="10" t="s">
        <v>834</v>
      </c>
      <c r="C229" s="10" t="s">
        <v>792</v>
      </c>
      <c r="D229" s="10" t="s">
        <v>42</v>
      </c>
      <c r="E229" s="10" t="s">
        <v>42</v>
      </c>
      <c r="F229" s="10" t="s">
        <v>788</v>
      </c>
      <c r="G229" s="10" t="str">
        <f t="shared" si="8"/>
        <v>Trainee for Senior Aircraft Cabin Technician-Dangerous Good</v>
      </c>
    </row>
    <row r="230" spans="1:7" hidden="1" x14ac:dyDescent="0.25">
      <c r="A230" s="10">
        <v>220</v>
      </c>
      <c r="B230" s="10" t="s">
        <v>834</v>
      </c>
      <c r="C230" s="10" t="s">
        <v>793</v>
      </c>
      <c r="D230" s="10" t="s">
        <v>38</v>
      </c>
      <c r="E230" s="10" t="s">
        <v>38</v>
      </c>
      <c r="F230" s="10" t="s">
        <v>801</v>
      </c>
      <c r="G230" s="10" t="str">
        <f t="shared" si="8"/>
        <v>Trainee for Senior Aircraft Cabin Technician-EASA Part 145</v>
      </c>
    </row>
    <row r="231" spans="1:7" hidden="1" x14ac:dyDescent="0.25">
      <c r="A231" s="10">
        <v>221</v>
      </c>
      <c r="B231" s="10" t="s">
        <v>834</v>
      </c>
      <c r="C231" s="10" t="s">
        <v>794</v>
      </c>
      <c r="D231" s="10" t="s">
        <v>39</v>
      </c>
      <c r="E231" s="10" t="s">
        <v>39</v>
      </c>
      <c r="F231" s="10" t="s">
        <v>801</v>
      </c>
      <c r="G231" s="10" t="str">
        <f t="shared" si="8"/>
        <v>Trainee for Senior Aircraft Cabin Technician-EASA Part M</v>
      </c>
    </row>
    <row r="232" spans="1:7" hidden="1" x14ac:dyDescent="0.25">
      <c r="A232" s="10">
        <v>222</v>
      </c>
      <c r="B232" s="10" t="s">
        <v>834</v>
      </c>
      <c r="C232" s="10" t="s">
        <v>796</v>
      </c>
      <c r="D232" s="10" t="s">
        <v>41</v>
      </c>
      <c r="E232" s="10" t="s">
        <v>41</v>
      </c>
      <c r="F232" s="10" t="s">
        <v>801</v>
      </c>
      <c r="G232" s="10" t="str">
        <f t="shared" si="8"/>
        <v>Trainee for Senior Aircraft Cabin Technician-EWIS</v>
      </c>
    </row>
    <row r="233" spans="1:7" hidden="1" x14ac:dyDescent="0.25">
      <c r="A233" s="10">
        <v>223</v>
      </c>
      <c r="B233" s="10" t="s">
        <v>834</v>
      </c>
      <c r="C233" s="10" t="s">
        <v>797</v>
      </c>
      <c r="D233" s="10" t="s">
        <v>37</v>
      </c>
      <c r="E233" s="10" t="s">
        <v>37</v>
      </c>
      <c r="F233" s="10" t="s">
        <v>801</v>
      </c>
      <c r="G233" s="10" t="str">
        <f t="shared" si="8"/>
        <v>Trainee for Senior Aircraft Cabin Technician-FAR Part 145</v>
      </c>
    </row>
    <row r="234" spans="1:7" hidden="1" x14ac:dyDescent="0.25">
      <c r="A234" s="10">
        <v>224</v>
      </c>
      <c r="B234" s="10" t="s">
        <v>834</v>
      </c>
      <c r="C234" s="10" t="s">
        <v>798</v>
      </c>
      <c r="D234" s="10" t="s">
        <v>40</v>
      </c>
      <c r="E234" s="10" t="s">
        <v>40</v>
      </c>
      <c r="F234" s="10" t="s">
        <v>801</v>
      </c>
      <c r="G234" s="10" t="str">
        <f t="shared" si="8"/>
        <v>Trainee for Senior Aircraft Cabin Technician-Fuel Tank Safety</v>
      </c>
    </row>
    <row r="235" spans="1:7" hidden="1" x14ac:dyDescent="0.25">
      <c r="A235" s="10">
        <v>225</v>
      </c>
      <c r="B235" s="10" t="s">
        <v>834</v>
      </c>
      <c r="C235" s="10" t="s">
        <v>799</v>
      </c>
      <c r="D235" s="10" t="s">
        <v>35</v>
      </c>
      <c r="E235" s="10" t="s">
        <v>35</v>
      </c>
      <c r="F235" s="10" t="s">
        <v>801</v>
      </c>
      <c r="G235" s="10" t="str">
        <f t="shared" si="8"/>
        <v>Trainee for Senior Aircraft Cabin Technician-GMF Quality System</v>
      </c>
    </row>
    <row r="236" spans="1:7" hidden="1" x14ac:dyDescent="0.25">
      <c r="A236" s="10">
        <v>226</v>
      </c>
      <c r="B236" s="10" t="s">
        <v>834</v>
      </c>
      <c r="C236" s="10" t="s">
        <v>800</v>
      </c>
      <c r="D236" s="10" t="s">
        <v>33</v>
      </c>
      <c r="E236" s="10" t="s">
        <v>33</v>
      </c>
      <c r="F236" s="10" t="s">
        <v>801</v>
      </c>
      <c r="G236" s="10" t="str">
        <f t="shared" si="8"/>
        <v>Trainee for Senior Aircraft Cabin Technician-Human Factor</v>
      </c>
    </row>
    <row r="237" spans="1:7" hidden="1" x14ac:dyDescent="0.25">
      <c r="A237" s="10">
        <v>227</v>
      </c>
      <c r="B237" s="10" t="s">
        <v>834</v>
      </c>
      <c r="C237" s="10" t="s">
        <v>802</v>
      </c>
      <c r="D237" s="10" t="s">
        <v>201</v>
      </c>
      <c r="E237" s="10" t="s">
        <v>201</v>
      </c>
      <c r="F237" s="10" t="s">
        <v>788</v>
      </c>
      <c r="G237" s="10" t="str">
        <f t="shared" si="8"/>
        <v>Trainee for Senior Aircraft Cabin Technician-Orientation Training</v>
      </c>
    </row>
    <row r="238" spans="1:7" hidden="1" x14ac:dyDescent="0.25">
      <c r="A238" s="10">
        <v>228</v>
      </c>
      <c r="B238" s="10" t="s">
        <v>834</v>
      </c>
      <c r="C238" s="10" t="s">
        <v>803</v>
      </c>
      <c r="D238" s="10" t="s">
        <v>34</v>
      </c>
      <c r="E238" s="10" t="s">
        <v>34</v>
      </c>
      <c r="F238" s="10" t="s">
        <v>801</v>
      </c>
      <c r="G238" s="10" t="str">
        <f t="shared" si="8"/>
        <v>Trainee for Senior Aircraft Cabin Technician-Safety Management System</v>
      </c>
    </row>
    <row r="239" spans="1:7" hidden="1" x14ac:dyDescent="0.25">
      <c r="A239" s="10">
        <v>229</v>
      </c>
      <c r="B239" s="10" t="s">
        <v>834</v>
      </c>
      <c r="C239" s="10" t="s">
        <v>808</v>
      </c>
      <c r="D239" s="10" t="s">
        <v>199</v>
      </c>
      <c r="E239" s="10" t="s">
        <v>199</v>
      </c>
      <c r="F239" s="10" t="s">
        <v>788</v>
      </c>
      <c r="G239" s="10" t="str">
        <f t="shared" si="8"/>
        <v>Trainee for Senior Aircraft Cabin Technician-SWIFT Training</v>
      </c>
    </row>
    <row r="240" spans="1:7" hidden="1" x14ac:dyDescent="0.25">
      <c r="A240" s="10">
        <v>230</v>
      </c>
      <c r="B240" s="10" t="s">
        <v>835</v>
      </c>
      <c r="C240" s="10" t="s">
        <v>790</v>
      </c>
      <c r="D240" s="10" t="s">
        <v>174</v>
      </c>
      <c r="E240" s="10" t="s">
        <v>174</v>
      </c>
      <c r="F240" s="10" t="s">
        <v>788</v>
      </c>
      <c r="G240" s="10" t="str">
        <f t="shared" si="7"/>
        <v>Senior Aircraft Maintenance Engineer-Basic Inspection</v>
      </c>
    </row>
    <row r="241" spans="1:7" hidden="1" x14ac:dyDescent="0.25">
      <c r="A241" s="10">
        <v>231</v>
      </c>
      <c r="B241" s="10" t="s">
        <v>835</v>
      </c>
      <c r="C241" s="10" t="s">
        <v>806</v>
      </c>
      <c r="D241" s="10" t="s">
        <v>175</v>
      </c>
      <c r="E241" s="10" t="s">
        <v>815</v>
      </c>
      <c r="F241" s="10" t="s">
        <v>788</v>
      </c>
      <c r="G241" s="10" t="str">
        <f t="shared" si="7"/>
        <v>Senior Aircraft Maintenance Engineer-Basic Supervisory Training</v>
      </c>
    </row>
    <row r="242" spans="1:7" hidden="1" x14ac:dyDescent="0.25">
      <c r="A242" s="10">
        <v>232</v>
      </c>
      <c r="B242" s="10" t="s">
        <v>835</v>
      </c>
      <c r="C242" s="10" t="s">
        <v>791</v>
      </c>
      <c r="D242" s="10" t="s">
        <v>36</v>
      </c>
      <c r="E242" s="10" t="s">
        <v>36</v>
      </c>
      <c r="F242" s="10" t="s">
        <v>801</v>
      </c>
      <c r="G242" s="10" t="str">
        <f t="shared" si="7"/>
        <v>Senior Aircraft Maintenance Engineer-CASR Part 145</v>
      </c>
    </row>
    <row r="243" spans="1:7" hidden="1" x14ac:dyDescent="0.25">
      <c r="A243" s="10">
        <v>233</v>
      </c>
      <c r="B243" s="10" t="s">
        <v>835</v>
      </c>
      <c r="C243" s="10" t="s">
        <v>816</v>
      </c>
      <c r="D243" s="10" t="s">
        <v>176</v>
      </c>
      <c r="E243" s="10" t="s">
        <v>176</v>
      </c>
      <c r="F243" s="10" t="s">
        <v>788</v>
      </c>
      <c r="G243" s="10" t="str">
        <f t="shared" si="7"/>
        <v>Senior Aircraft Maintenance Engineer-Certifying Staff</v>
      </c>
    </row>
    <row r="244" spans="1:7" hidden="1" x14ac:dyDescent="0.25">
      <c r="A244" s="10">
        <v>234</v>
      </c>
      <c r="B244" s="10" t="s">
        <v>835</v>
      </c>
      <c r="C244" s="10" t="s">
        <v>792</v>
      </c>
      <c r="D244" s="10" t="s">
        <v>42</v>
      </c>
      <c r="E244" s="10" t="s">
        <v>42</v>
      </c>
      <c r="F244" s="10" t="s">
        <v>788</v>
      </c>
      <c r="G244" s="10" t="str">
        <f t="shared" si="7"/>
        <v>Senior Aircraft Maintenance Engineer-Dangerous Good</v>
      </c>
    </row>
    <row r="245" spans="1:7" hidden="1" x14ac:dyDescent="0.25">
      <c r="A245" s="10">
        <v>235</v>
      </c>
      <c r="B245" s="10" t="s">
        <v>835</v>
      </c>
      <c r="C245" s="10" t="s">
        <v>793</v>
      </c>
      <c r="D245" s="10" t="s">
        <v>38</v>
      </c>
      <c r="E245" s="10" t="s">
        <v>38</v>
      </c>
      <c r="F245" s="10" t="s">
        <v>801</v>
      </c>
      <c r="G245" s="10" t="str">
        <f t="shared" si="7"/>
        <v>Senior Aircraft Maintenance Engineer-EASA Part 145</v>
      </c>
    </row>
    <row r="246" spans="1:7" hidden="1" x14ac:dyDescent="0.25">
      <c r="A246" s="10">
        <v>236</v>
      </c>
      <c r="B246" s="10" t="s">
        <v>835</v>
      </c>
      <c r="C246" s="10" t="s">
        <v>794</v>
      </c>
      <c r="D246" s="10" t="s">
        <v>39</v>
      </c>
      <c r="E246" s="10" t="s">
        <v>39</v>
      </c>
      <c r="F246" s="10" t="s">
        <v>801</v>
      </c>
      <c r="G246" s="10" t="str">
        <f t="shared" si="7"/>
        <v>Senior Aircraft Maintenance Engineer-EASA Part M</v>
      </c>
    </row>
    <row r="247" spans="1:7" hidden="1" x14ac:dyDescent="0.25">
      <c r="A247" s="10">
        <v>237</v>
      </c>
      <c r="B247" s="10" t="s">
        <v>835</v>
      </c>
      <c r="C247" s="10" t="s">
        <v>797</v>
      </c>
      <c r="D247" s="10" t="s">
        <v>37</v>
      </c>
      <c r="E247" s="10" t="s">
        <v>37</v>
      </c>
      <c r="F247" s="10" t="s">
        <v>801</v>
      </c>
      <c r="G247" s="10" t="str">
        <f t="shared" si="7"/>
        <v>Senior Aircraft Maintenance Engineer-FAR Part 145</v>
      </c>
    </row>
    <row r="248" spans="1:7" hidden="1" x14ac:dyDescent="0.25">
      <c r="A248" s="10">
        <v>238</v>
      </c>
      <c r="B248" s="10" t="s">
        <v>835</v>
      </c>
      <c r="C248" s="10" t="s">
        <v>798</v>
      </c>
      <c r="D248" s="10" t="s">
        <v>40</v>
      </c>
      <c r="E248" s="10" t="s">
        <v>40</v>
      </c>
      <c r="F248" s="10" t="s">
        <v>801</v>
      </c>
      <c r="G248" s="10" t="str">
        <f t="shared" si="7"/>
        <v>Senior Aircraft Maintenance Engineer-Fuel Tank Safety</v>
      </c>
    </row>
    <row r="249" spans="1:7" hidden="1" x14ac:dyDescent="0.25">
      <c r="B249" s="10" t="s">
        <v>835</v>
      </c>
      <c r="D249" s="10" t="s">
        <v>41</v>
      </c>
      <c r="F249" s="10" t="s">
        <v>801</v>
      </c>
      <c r="G249" s="10" t="str">
        <f>B249 &amp; "-" &amp; D249</f>
        <v>Senior Aircraft Maintenance Engineer-EWIS</v>
      </c>
    </row>
    <row r="250" spans="1:7" hidden="1" x14ac:dyDescent="0.25">
      <c r="A250" s="10">
        <v>239</v>
      </c>
      <c r="B250" s="10" t="s">
        <v>835</v>
      </c>
      <c r="C250" s="10" t="s">
        <v>807</v>
      </c>
      <c r="D250" s="10" t="s">
        <v>177</v>
      </c>
      <c r="E250" s="10" t="s">
        <v>177</v>
      </c>
      <c r="F250" s="10" t="s">
        <v>788</v>
      </c>
      <c r="G250" s="10" t="str">
        <f t="shared" ref="G250:G306" si="9">B250 &amp; "-" &amp; D250</f>
        <v>Senior Aircraft Maintenance Engineer-Fundamental Troubleshooting</v>
      </c>
    </row>
    <row r="251" spans="1:7" hidden="1" x14ac:dyDescent="0.25">
      <c r="A251" s="10">
        <v>240</v>
      </c>
      <c r="B251" s="10" t="s">
        <v>835</v>
      </c>
      <c r="C251" s="10" t="s">
        <v>799</v>
      </c>
      <c r="D251" s="10" t="s">
        <v>35</v>
      </c>
      <c r="E251" s="10" t="s">
        <v>35</v>
      </c>
      <c r="F251" s="10" t="s">
        <v>801</v>
      </c>
      <c r="G251" s="10" t="str">
        <f t="shared" si="9"/>
        <v>Senior Aircraft Maintenance Engineer-GMF Quality System</v>
      </c>
    </row>
    <row r="252" spans="1:7" hidden="1" x14ac:dyDescent="0.25">
      <c r="A252" s="10">
        <v>241</v>
      </c>
      <c r="B252" s="10" t="s">
        <v>835</v>
      </c>
      <c r="C252" s="10" t="s">
        <v>800</v>
      </c>
      <c r="D252" s="10" t="s">
        <v>33</v>
      </c>
      <c r="E252" s="10" t="s">
        <v>33</v>
      </c>
      <c r="F252" s="10" t="s">
        <v>801</v>
      </c>
      <c r="G252" s="10" t="str">
        <f t="shared" si="9"/>
        <v>Senior Aircraft Maintenance Engineer-Human Factor</v>
      </c>
    </row>
    <row r="253" spans="1:7" hidden="1" x14ac:dyDescent="0.25">
      <c r="A253" s="10">
        <v>242</v>
      </c>
      <c r="B253" s="10" t="s">
        <v>835</v>
      </c>
      <c r="C253" s="10" t="s">
        <v>802</v>
      </c>
      <c r="D253" s="10" t="s">
        <v>201</v>
      </c>
      <c r="E253" s="10" t="s">
        <v>201</v>
      </c>
      <c r="F253" s="10" t="s">
        <v>788</v>
      </c>
      <c r="G253" s="10" t="str">
        <f t="shared" si="9"/>
        <v>Senior Aircraft Maintenance Engineer-Orientation Training</v>
      </c>
    </row>
    <row r="254" spans="1:7" hidden="1" x14ac:dyDescent="0.25">
      <c r="A254" s="10">
        <v>243</v>
      </c>
      <c r="B254" s="10" t="s">
        <v>835</v>
      </c>
      <c r="C254" s="10" t="s">
        <v>803</v>
      </c>
      <c r="D254" s="10" t="s">
        <v>34</v>
      </c>
      <c r="E254" s="10" t="s">
        <v>34</v>
      </c>
      <c r="F254" s="10" t="s">
        <v>801</v>
      </c>
      <c r="G254" s="10" t="str">
        <f t="shared" si="9"/>
        <v>Senior Aircraft Maintenance Engineer-Safety Management System</v>
      </c>
    </row>
    <row r="255" spans="1:7" hidden="1" x14ac:dyDescent="0.25">
      <c r="A255" s="10">
        <v>244</v>
      </c>
      <c r="B255" s="10" t="s">
        <v>835</v>
      </c>
      <c r="C255" s="10" t="s">
        <v>808</v>
      </c>
      <c r="D255" s="10" t="s">
        <v>199</v>
      </c>
      <c r="E255" s="10" t="s">
        <v>199</v>
      </c>
      <c r="F255" s="10" t="s">
        <v>788</v>
      </c>
      <c r="G255" s="10" t="str">
        <f t="shared" si="9"/>
        <v>Senior Aircraft Maintenance Engineer-SWIFT Training</v>
      </c>
    </row>
    <row r="256" spans="1:7" hidden="1" x14ac:dyDescent="0.25">
      <c r="A256" s="10">
        <v>245</v>
      </c>
      <c r="B256" s="10" t="s">
        <v>835</v>
      </c>
      <c r="C256" s="10" t="s">
        <v>817</v>
      </c>
      <c r="D256" s="10" t="s">
        <v>60</v>
      </c>
      <c r="E256" s="10" t="s">
        <v>60</v>
      </c>
      <c r="F256" s="10" t="s">
        <v>788</v>
      </c>
      <c r="G256" s="10" t="str">
        <f t="shared" si="9"/>
        <v>Senior Aircraft Maintenance Engineer-Type Rating Level III Training</v>
      </c>
    </row>
    <row r="257" spans="1:7" hidden="1" x14ac:dyDescent="0.25">
      <c r="A257" s="10">
        <v>246</v>
      </c>
      <c r="B257" s="10" t="s">
        <v>836</v>
      </c>
      <c r="C257" s="10" t="s">
        <v>789</v>
      </c>
      <c r="D257" s="10" t="s">
        <v>181</v>
      </c>
      <c r="E257" s="10" t="s">
        <v>181</v>
      </c>
      <c r="F257" s="10" t="s">
        <v>788</v>
      </c>
      <c r="G257" s="10" t="str">
        <f t="shared" si="9"/>
        <v>Senior Aircraft Maintenance Planner-Aircraft Familiarization</v>
      </c>
    </row>
    <row r="258" spans="1:7" hidden="1" x14ac:dyDescent="0.25">
      <c r="A258" s="10">
        <v>247</v>
      </c>
      <c r="B258" s="10" t="s">
        <v>836</v>
      </c>
      <c r="C258" s="10" t="s">
        <v>819</v>
      </c>
      <c r="D258" s="10" t="s">
        <v>179</v>
      </c>
      <c r="E258" s="10" t="s">
        <v>179</v>
      </c>
      <c r="F258" s="10" t="s">
        <v>788</v>
      </c>
      <c r="G258" s="10" t="str">
        <f t="shared" si="9"/>
        <v>Senior Aircraft Maintenance Planner-Basic Planning</v>
      </c>
    </row>
    <row r="259" spans="1:7" hidden="1" x14ac:dyDescent="0.25">
      <c r="A259" s="10">
        <v>248</v>
      </c>
      <c r="B259" s="10" t="s">
        <v>836</v>
      </c>
      <c r="C259" s="10" t="s">
        <v>791</v>
      </c>
      <c r="D259" s="10" t="s">
        <v>36</v>
      </c>
      <c r="E259" s="10" t="s">
        <v>36</v>
      </c>
      <c r="F259" s="10" t="s">
        <v>801</v>
      </c>
      <c r="G259" s="10" t="str">
        <f t="shared" si="9"/>
        <v>Senior Aircraft Maintenance Planner-CASR Part 145</v>
      </c>
    </row>
    <row r="260" spans="1:7" hidden="1" x14ac:dyDescent="0.25">
      <c r="A260" s="10">
        <v>249</v>
      </c>
      <c r="B260" s="10" t="s">
        <v>836</v>
      </c>
      <c r="C260" s="10" t="s">
        <v>792</v>
      </c>
      <c r="D260" s="10" t="s">
        <v>42</v>
      </c>
      <c r="E260" s="10" t="s">
        <v>42</v>
      </c>
      <c r="F260" s="10" t="s">
        <v>788</v>
      </c>
      <c r="G260" s="10" t="str">
        <f t="shared" si="9"/>
        <v>Senior Aircraft Maintenance Planner-Dangerous Good</v>
      </c>
    </row>
    <row r="261" spans="1:7" hidden="1" x14ac:dyDescent="0.25">
      <c r="A261" s="10">
        <v>250</v>
      </c>
      <c r="B261" s="10" t="s">
        <v>836</v>
      </c>
      <c r="C261" s="10" t="s">
        <v>793</v>
      </c>
      <c r="D261" s="10" t="s">
        <v>38</v>
      </c>
      <c r="E261" s="10" t="s">
        <v>38</v>
      </c>
      <c r="F261" s="10" t="s">
        <v>801</v>
      </c>
      <c r="G261" s="10" t="str">
        <f t="shared" si="9"/>
        <v>Senior Aircraft Maintenance Planner-EASA Part 145</v>
      </c>
    </row>
    <row r="262" spans="1:7" hidden="1" x14ac:dyDescent="0.25">
      <c r="A262" s="10">
        <v>251</v>
      </c>
      <c r="B262" s="10" t="s">
        <v>836</v>
      </c>
      <c r="C262" s="10" t="s">
        <v>794</v>
      </c>
      <c r="D262" s="10" t="s">
        <v>39</v>
      </c>
      <c r="E262" s="10" t="s">
        <v>39</v>
      </c>
      <c r="F262" s="10" t="s">
        <v>801</v>
      </c>
      <c r="G262" s="10" t="str">
        <f t="shared" si="9"/>
        <v>Senior Aircraft Maintenance Planner-EASA Part M</v>
      </c>
    </row>
    <row r="263" spans="1:7" hidden="1" x14ac:dyDescent="0.25">
      <c r="A263" s="10">
        <v>252</v>
      </c>
      <c r="B263" s="10" t="s">
        <v>836</v>
      </c>
      <c r="C263" s="10" t="s">
        <v>796</v>
      </c>
      <c r="D263" s="10" t="s">
        <v>41</v>
      </c>
      <c r="E263" s="10" t="s">
        <v>41</v>
      </c>
      <c r="F263" s="10" t="s">
        <v>788</v>
      </c>
      <c r="G263" s="10" t="str">
        <f t="shared" si="9"/>
        <v>Senior Aircraft Maintenance Planner-EWIS</v>
      </c>
    </row>
    <row r="264" spans="1:7" hidden="1" x14ac:dyDescent="0.25">
      <c r="A264" s="10">
        <v>253</v>
      </c>
      <c r="B264" s="10" t="s">
        <v>836</v>
      </c>
      <c r="C264" s="10" t="s">
        <v>797</v>
      </c>
      <c r="D264" s="10" t="s">
        <v>37</v>
      </c>
      <c r="E264" s="10" t="s">
        <v>37</v>
      </c>
      <c r="F264" s="10" t="s">
        <v>801</v>
      </c>
      <c r="G264" s="10" t="str">
        <f t="shared" si="9"/>
        <v>Senior Aircraft Maintenance Planner-FAR Part 145</v>
      </c>
    </row>
    <row r="265" spans="1:7" hidden="1" x14ac:dyDescent="0.25">
      <c r="A265" s="10">
        <v>254</v>
      </c>
      <c r="B265" s="10" t="s">
        <v>836</v>
      </c>
      <c r="C265" s="10" t="s">
        <v>798</v>
      </c>
      <c r="D265" s="10" t="s">
        <v>40</v>
      </c>
      <c r="E265" s="10" t="s">
        <v>40</v>
      </c>
      <c r="F265" s="10" t="s">
        <v>788</v>
      </c>
      <c r="G265" s="10" t="str">
        <f t="shared" si="9"/>
        <v>Senior Aircraft Maintenance Planner-Fuel Tank Safety</v>
      </c>
    </row>
    <row r="266" spans="1:7" hidden="1" x14ac:dyDescent="0.25">
      <c r="A266" s="10">
        <v>255</v>
      </c>
      <c r="B266" s="10" t="s">
        <v>836</v>
      </c>
      <c r="C266" s="10" t="s">
        <v>799</v>
      </c>
      <c r="D266" s="10" t="s">
        <v>35</v>
      </c>
      <c r="E266" s="10" t="s">
        <v>35</v>
      </c>
      <c r="F266" s="10" t="s">
        <v>788</v>
      </c>
      <c r="G266" s="10" t="str">
        <f t="shared" si="9"/>
        <v>Senior Aircraft Maintenance Planner-GMF Quality System</v>
      </c>
    </row>
    <row r="267" spans="1:7" hidden="1" x14ac:dyDescent="0.25">
      <c r="A267" s="10">
        <v>256</v>
      </c>
      <c r="B267" s="10" t="s">
        <v>836</v>
      </c>
      <c r="C267" s="10" t="s">
        <v>800</v>
      </c>
      <c r="D267" s="10" t="s">
        <v>33</v>
      </c>
      <c r="E267" s="10" t="s">
        <v>33</v>
      </c>
      <c r="F267" s="10" t="s">
        <v>801</v>
      </c>
      <c r="G267" s="10" t="str">
        <f t="shared" si="9"/>
        <v>Senior Aircraft Maintenance Planner-Human Factor</v>
      </c>
    </row>
    <row r="268" spans="1:7" hidden="1" x14ac:dyDescent="0.25">
      <c r="A268" s="10">
        <v>257</v>
      </c>
      <c r="B268" s="10" t="s">
        <v>836</v>
      </c>
      <c r="C268" s="10" t="s">
        <v>802</v>
      </c>
      <c r="D268" s="10" t="s">
        <v>201</v>
      </c>
      <c r="E268" s="10" t="s">
        <v>201</v>
      </c>
      <c r="F268" s="10" t="s">
        <v>788</v>
      </c>
      <c r="G268" s="10" t="str">
        <f t="shared" si="9"/>
        <v>Senior Aircraft Maintenance Planner-Orientation Training</v>
      </c>
    </row>
    <row r="269" spans="1:7" hidden="1" x14ac:dyDescent="0.25">
      <c r="A269" s="10">
        <v>258</v>
      </c>
      <c r="B269" s="10" t="s">
        <v>836</v>
      </c>
      <c r="C269" s="10" t="s">
        <v>837</v>
      </c>
      <c r="D269" s="10" t="s">
        <v>191</v>
      </c>
      <c r="E269" s="10" t="s">
        <v>191</v>
      </c>
      <c r="F269" s="10" t="s">
        <v>788</v>
      </c>
      <c r="G269" s="10" t="str">
        <f t="shared" si="9"/>
        <v>Senior Aircraft Maintenance Planner-Project Management basic</v>
      </c>
    </row>
    <row r="270" spans="1:7" hidden="1" x14ac:dyDescent="0.25">
      <c r="A270" s="10">
        <v>259</v>
      </c>
      <c r="B270" s="10" t="s">
        <v>836</v>
      </c>
      <c r="C270" s="10" t="s">
        <v>803</v>
      </c>
      <c r="D270" s="10" t="s">
        <v>34</v>
      </c>
      <c r="E270" s="10" t="s">
        <v>34</v>
      </c>
      <c r="F270" s="10" t="s">
        <v>801</v>
      </c>
      <c r="G270" s="10" t="str">
        <f t="shared" si="9"/>
        <v>Senior Aircraft Maintenance Planner-Safety Management System</v>
      </c>
    </row>
    <row r="271" spans="1:7" hidden="1" x14ac:dyDescent="0.25">
      <c r="A271" s="10">
        <v>260</v>
      </c>
      <c r="B271" s="10" t="s">
        <v>836</v>
      </c>
      <c r="C271" s="10" t="s">
        <v>808</v>
      </c>
      <c r="D271" s="10" t="s">
        <v>199</v>
      </c>
      <c r="E271" s="10" t="s">
        <v>199</v>
      </c>
      <c r="F271" s="10" t="s">
        <v>788</v>
      </c>
      <c r="G271" s="10" t="str">
        <f t="shared" si="9"/>
        <v>Senior Aircraft Maintenance Planner-SWIFT Training</v>
      </c>
    </row>
    <row r="272" spans="1:7" hidden="1" x14ac:dyDescent="0.25">
      <c r="A272" s="10">
        <v>261</v>
      </c>
      <c r="B272" s="10" t="s">
        <v>836</v>
      </c>
      <c r="C272" s="10" t="s">
        <v>831</v>
      </c>
      <c r="D272" s="10" t="s">
        <v>178</v>
      </c>
      <c r="E272" s="10" t="s">
        <v>178</v>
      </c>
      <c r="F272" s="10" t="s">
        <v>788</v>
      </c>
      <c r="G272" s="10" t="str">
        <f t="shared" si="9"/>
        <v>Senior Aircraft Maintenance Planner-Training of Trainer</v>
      </c>
    </row>
    <row r="273" spans="1:7" hidden="1" x14ac:dyDescent="0.25">
      <c r="A273" s="10">
        <v>262</v>
      </c>
      <c r="B273" s="10" t="s">
        <v>838</v>
      </c>
      <c r="C273" s="10" t="s">
        <v>789</v>
      </c>
      <c r="D273" s="10" t="s">
        <v>181</v>
      </c>
      <c r="E273" s="10" t="s">
        <v>181</v>
      </c>
      <c r="F273" s="10" t="s">
        <v>788</v>
      </c>
      <c r="G273" s="10" t="str">
        <f t="shared" si="9"/>
        <v>Senior Aircraft Maintenance Planning Engineer-Aircraft Familiarization</v>
      </c>
    </row>
    <row r="274" spans="1:7" hidden="1" x14ac:dyDescent="0.25">
      <c r="A274" s="10">
        <v>263</v>
      </c>
      <c r="B274" s="10" t="s">
        <v>838</v>
      </c>
      <c r="C274" s="10" t="s">
        <v>822</v>
      </c>
      <c r="D274" s="10" t="s">
        <v>180</v>
      </c>
      <c r="E274" s="10" t="s">
        <v>180</v>
      </c>
      <c r="F274" s="10" t="s">
        <v>788</v>
      </c>
      <c r="G274" s="10" t="str">
        <f t="shared" si="9"/>
        <v>Senior Aircraft Maintenance Planning Engineer-Basic Engineering</v>
      </c>
    </row>
    <row r="275" spans="1:7" hidden="1" x14ac:dyDescent="0.25">
      <c r="A275" s="10">
        <v>264</v>
      </c>
      <c r="B275" s="10" t="s">
        <v>838</v>
      </c>
      <c r="C275" s="10" t="s">
        <v>791</v>
      </c>
      <c r="D275" s="10" t="s">
        <v>36</v>
      </c>
      <c r="E275" s="10" t="s">
        <v>36</v>
      </c>
      <c r="F275" s="10" t="s">
        <v>801</v>
      </c>
      <c r="G275" s="10" t="str">
        <f t="shared" si="9"/>
        <v>Senior Aircraft Maintenance Planning Engineer-CASR Part 145</v>
      </c>
    </row>
    <row r="276" spans="1:7" hidden="1" x14ac:dyDescent="0.25">
      <c r="A276" s="10">
        <v>265</v>
      </c>
      <c r="B276" s="10" t="s">
        <v>838</v>
      </c>
      <c r="C276" s="10" t="s">
        <v>792</v>
      </c>
      <c r="D276" s="10" t="s">
        <v>42</v>
      </c>
      <c r="E276" s="10" t="s">
        <v>42</v>
      </c>
      <c r="F276" s="10" t="s">
        <v>788</v>
      </c>
      <c r="G276" s="10" t="str">
        <f t="shared" si="9"/>
        <v>Senior Aircraft Maintenance Planning Engineer-Dangerous Good</v>
      </c>
    </row>
    <row r="277" spans="1:7" hidden="1" x14ac:dyDescent="0.25">
      <c r="A277" s="10">
        <v>266</v>
      </c>
      <c r="B277" s="10" t="s">
        <v>838</v>
      </c>
      <c r="C277" s="10" t="s">
        <v>793</v>
      </c>
      <c r="D277" s="10" t="s">
        <v>38</v>
      </c>
      <c r="E277" s="10" t="s">
        <v>38</v>
      </c>
      <c r="F277" s="10" t="s">
        <v>801</v>
      </c>
      <c r="G277" s="10" t="str">
        <f t="shared" si="9"/>
        <v>Senior Aircraft Maintenance Planning Engineer-EASA Part 145</v>
      </c>
    </row>
    <row r="278" spans="1:7" hidden="1" x14ac:dyDescent="0.25">
      <c r="A278" s="10">
        <v>267</v>
      </c>
      <c r="B278" s="10" t="s">
        <v>838</v>
      </c>
      <c r="C278" s="10" t="s">
        <v>794</v>
      </c>
      <c r="D278" s="10" t="s">
        <v>39</v>
      </c>
      <c r="E278" s="10" t="s">
        <v>39</v>
      </c>
      <c r="F278" s="10" t="s">
        <v>801</v>
      </c>
      <c r="G278" s="10" t="str">
        <f t="shared" si="9"/>
        <v>Senior Aircraft Maintenance Planning Engineer-EASA Part M</v>
      </c>
    </row>
    <row r="279" spans="1:7" hidden="1" x14ac:dyDescent="0.25">
      <c r="A279" s="10">
        <v>268</v>
      </c>
      <c r="B279" s="10" t="s">
        <v>838</v>
      </c>
      <c r="C279" s="10" t="s">
        <v>796</v>
      </c>
      <c r="D279" s="10" t="s">
        <v>41</v>
      </c>
      <c r="E279" s="10" t="s">
        <v>41</v>
      </c>
      <c r="F279" s="10" t="s">
        <v>788</v>
      </c>
      <c r="G279" s="10" t="str">
        <f t="shared" si="9"/>
        <v>Senior Aircraft Maintenance Planning Engineer-EWIS</v>
      </c>
    </row>
    <row r="280" spans="1:7" hidden="1" x14ac:dyDescent="0.25">
      <c r="A280" s="10">
        <v>269</v>
      </c>
      <c r="B280" s="10" t="s">
        <v>838</v>
      </c>
      <c r="C280" s="10" t="s">
        <v>797</v>
      </c>
      <c r="D280" s="10" t="s">
        <v>37</v>
      </c>
      <c r="E280" s="10" t="s">
        <v>37</v>
      </c>
      <c r="F280" s="10" t="s">
        <v>801</v>
      </c>
      <c r="G280" s="10" t="str">
        <f t="shared" si="9"/>
        <v>Senior Aircraft Maintenance Planning Engineer-FAR Part 145</v>
      </c>
    </row>
    <row r="281" spans="1:7" hidden="1" x14ac:dyDescent="0.25">
      <c r="A281" s="10">
        <v>270</v>
      </c>
      <c r="B281" s="10" t="s">
        <v>838</v>
      </c>
      <c r="C281" s="10" t="s">
        <v>798</v>
      </c>
      <c r="D281" s="10" t="s">
        <v>40</v>
      </c>
      <c r="E281" s="10" t="s">
        <v>40</v>
      </c>
      <c r="F281" s="10" t="s">
        <v>788</v>
      </c>
      <c r="G281" s="10" t="str">
        <f t="shared" si="9"/>
        <v>Senior Aircraft Maintenance Planning Engineer-Fuel Tank Safety</v>
      </c>
    </row>
    <row r="282" spans="1:7" hidden="1" x14ac:dyDescent="0.25">
      <c r="A282" s="10">
        <v>271</v>
      </c>
      <c r="B282" s="10" t="s">
        <v>838</v>
      </c>
      <c r="C282" s="10" t="s">
        <v>799</v>
      </c>
      <c r="D282" s="10" t="s">
        <v>35</v>
      </c>
      <c r="E282" s="10" t="s">
        <v>35</v>
      </c>
      <c r="F282" s="10" t="s">
        <v>788</v>
      </c>
      <c r="G282" s="10" t="str">
        <f t="shared" si="9"/>
        <v>Senior Aircraft Maintenance Planning Engineer-GMF Quality System</v>
      </c>
    </row>
    <row r="283" spans="1:7" hidden="1" x14ac:dyDescent="0.25">
      <c r="A283" s="10">
        <v>272</v>
      </c>
      <c r="B283" s="10" t="s">
        <v>838</v>
      </c>
      <c r="C283" s="10" t="s">
        <v>800</v>
      </c>
      <c r="D283" s="10" t="s">
        <v>33</v>
      </c>
      <c r="E283" s="10" t="s">
        <v>33</v>
      </c>
      <c r="F283" s="10" t="s">
        <v>801</v>
      </c>
      <c r="G283" s="10" t="str">
        <f t="shared" si="9"/>
        <v>Senior Aircraft Maintenance Planning Engineer-Human Factor</v>
      </c>
    </row>
    <row r="284" spans="1:7" hidden="1" x14ac:dyDescent="0.25">
      <c r="A284" s="10">
        <v>273</v>
      </c>
      <c r="B284" s="10" t="s">
        <v>838</v>
      </c>
      <c r="C284" s="10" t="s">
        <v>802</v>
      </c>
      <c r="D284" s="10" t="s">
        <v>201</v>
      </c>
      <c r="E284" s="10" t="s">
        <v>201</v>
      </c>
      <c r="F284" s="10" t="s">
        <v>788</v>
      </c>
      <c r="G284" s="10" t="str">
        <f t="shared" si="9"/>
        <v>Senior Aircraft Maintenance Planning Engineer-Orientation Training</v>
      </c>
    </row>
    <row r="285" spans="1:7" hidden="1" x14ac:dyDescent="0.25">
      <c r="A285" s="10">
        <v>274</v>
      </c>
      <c r="B285" s="10" t="s">
        <v>838</v>
      </c>
      <c r="C285" s="10" t="s">
        <v>831</v>
      </c>
      <c r="D285" s="10" t="s">
        <v>191</v>
      </c>
      <c r="E285" s="10" t="s">
        <v>191</v>
      </c>
      <c r="F285" s="10" t="s">
        <v>788</v>
      </c>
      <c r="G285" s="10" t="str">
        <f t="shared" si="9"/>
        <v>Senior Aircraft Maintenance Planning Engineer-Project Management basic</v>
      </c>
    </row>
    <row r="286" spans="1:7" hidden="1" x14ac:dyDescent="0.25">
      <c r="A286" s="10">
        <v>275</v>
      </c>
      <c r="B286" s="10" t="s">
        <v>838</v>
      </c>
      <c r="C286" s="10" t="s">
        <v>803</v>
      </c>
      <c r="D286" s="10" t="s">
        <v>34</v>
      </c>
      <c r="E286" s="10" t="s">
        <v>34</v>
      </c>
      <c r="F286" s="10" t="s">
        <v>801</v>
      </c>
      <c r="G286" s="10" t="str">
        <f t="shared" si="9"/>
        <v>Senior Aircraft Maintenance Planning Engineer-Safety Management System</v>
      </c>
    </row>
    <row r="287" spans="1:7" hidden="1" x14ac:dyDescent="0.25">
      <c r="A287" s="10">
        <v>276</v>
      </c>
      <c r="B287" s="10" t="s">
        <v>838</v>
      </c>
      <c r="C287" s="10" t="s">
        <v>808</v>
      </c>
      <c r="D287" s="10" t="s">
        <v>199</v>
      </c>
      <c r="E287" s="10" t="s">
        <v>199</v>
      </c>
      <c r="F287" s="10" t="s">
        <v>788</v>
      </c>
      <c r="G287" s="10" t="str">
        <f t="shared" si="9"/>
        <v>Senior Aircraft Maintenance Planning Engineer-SWIFT Training</v>
      </c>
    </row>
    <row r="288" spans="1:7" hidden="1" x14ac:dyDescent="0.25">
      <c r="A288" s="10">
        <v>277</v>
      </c>
      <c r="B288" s="10" t="s">
        <v>838</v>
      </c>
      <c r="C288" s="10" t="s">
        <v>831</v>
      </c>
      <c r="D288" s="10" t="s">
        <v>178</v>
      </c>
      <c r="E288" s="10" t="s">
        <v>178</v>
      </c>
      <c r="F288" s="10" t="s">
        <v>788</v>
      </c>
      <c r="G288" s="10" t="str">
        <f t="shared" si="9"/>
        <v>Senior Aircraft Maintenance Planning Engineer-Training of Trainer</v>
      </c>
    </row>
    <row r="289" spans="1:7" hidden="1" x14ac:dyDescent="0.25">
      <c r="A289" s="10">
        <v>278</v>
      </c>
      <c r="B289" s="10" t="s">
        <v>11</v>
      </c>
      <c r="D289" s="10" t="s">
        <v>33</v>
      </c>
      <c r="F289" s="10" t="s">
        <v>801</v>
      </c>
      <c r="G289" s="10" t="str">
        <f>B289 &amp; "-" &amp; D289</f>
        <v>ASSISTANT STAFF OFFICER-Human Factor</v>
      </c>
    </row>
    <row r="290" spans="1:7" hidden="1" x14ac:dyDescent="0.25">
      <c r="A290" s="10">
        <v>279</v>
      </c>
      <c r="B290" s="10" t="s">
        <v>11</v>
      </c>
      <c r="D290" s="10" t="s">
        <v>34</v>
      </c>
      <c r="F290" s="10" t="s">
        <v>801</v>
      </c>
      <c r="G290" s="10" t="str">
        <f>B290 &amp; "-" &amp; D290</f>
        <v>ASSISTANT STAFF OFFICER-Safety Management System</v>
      </c>
    </row>
    <row r="291" spans="1:7" hidden="1" x14ac:dyDescent="0.25">
      <c r="A291" s="10">
        <v>280</v>
      </c>
      <c r="B291" s="10" t="s">
        <v>11</v>
      </c>
      <c r="D291" s="10" t="s">
        <v>35</v>
      </c>
      <c r="F291" s="10" t="s">
        <v>788</v>
      </c>
      <c r="G291" s="10" t="str">
        <f>B291 &amp; "-" &amp; D291</f>
        <v>ASSISTANT STAFF OFFICER-GMF Quality System</v>
      </c>
    </row>
    <row r="292" spans="1:7" hidden="1" x14ac:dyDescent="0.25">
      <c r="A292" s="10">
        <v>281</v>
      </c>
      <c r="B292" s="10" t="s">
        <v>839</v>
      </c>
      <c r="C292" s="10" t="s">
        <v>811</v>
      </c>
      <c r="D292" s="10" t="s">
        <v>173</v>
      </c>
      <c r="E292" s="10" t="s">
        <v>812</v>
      </c>
      <c r="F292" s="10" t="s">
        <v>788</v>
      </c>
      <c r="G292" s="10" t="str">
        <f t="shared" si="9"/>
        <v>Senior Aircraft Maintenance Technician-ADTH</v>
      </c>
    </row>
    <row r="293" spans="1:7" hidden="1" x14ac:dyDescent="0.25">
      <c r="A293" s="10">
        <v>282</v>
      </c>
      <c r="B293" s="10" t="s">
        <v>839</v>
      </c>
      <c r="C293" s="10" t="s">
        <v>790</v>
      </c>
      <c r="D293" s="10" t="s">
        <v>174</v>
      </c>
      <c r="E293" s="10" t="s">
        <v>174</v>
      </c>
      <c r="F293" s="10" t="s">
        <v>788</v>
      </c>
      <c r="G293" s="10" t="str">
        <f t="shared" si="9"/>
        <v>Senior Aircraft Maintenance Technician-Basic Inspection</v>
      </c>
    </row>
    <row r="294" spans="1:7" hidden="1" x14ac:dyDescent="0.25">
      <c r="A294" s="10">
        <v>283</v>
      </c>
      <c r="B294" s="10" t="s">
        <v>839</v>
      </c>
      <c r="C294" s="10" t="s">
        <v>791</v>
      </c>
      <c r="D294" s="10" t="s">
        <v>36</v>
      </c>
      <c r="E294" s="10" t="s">
        <v>36</v>
      </c>
      <c r="F294" s="10" t="s">
        <v>801</v>
      </c>
      <c r="G294" s="10" t="str">
        <f t="shared" si="9"/>
        <v>Senior Aircraft Maintenance Technician-CASR Part 145</v>
      </c>
    </row>
    <row r="295" spans="1:7" hidden="1" x14ac:dyDescent="0.25">
      <c r="A295" s="10">
        <v>284</v>
      </c>
      <c r="B295" s="10" t="s">
        <v>839</v>
      </c>
      <c r="C295" s="10" t="s">
        <v>792</v>
      </c>
      <c r="D295" s="10" t="s">
        <v>42</v>
      </c>
      <c r="E295" s="10" t="s">
        <v>42</v>
      </c>
      <c r="F295" s="10" t="s">
        <v>788</v>
      </c>
      <c r="G295" s="10" t="str">
        <f t="shared" si="9"/>
        <v>Senior Aircraft Maintenance Technician-Dangerous Good</v>
      </c>
    </row>
    <row r="296" spans="1:7" hidden="1" x14ac:dyDescent="0.25">
      <c r="A296" s="10">
        <v>285</v>
      </c>
      <c r="B296" s="10" t="s">
        <v>839</v>
      </c>
      <c r="C296" s="10" t="s">
        <v>793</v>
      </c>
      <c r="D296" s="10" t="s">
        <v>38</v>
      </c>
      <c r="E296" s="10" t="s">
        <v>38</v>
      </c>
      <c r="F296" s="10" t="s">
        <v>801</v>
      </c>
      <c r="G296" s="10" t="str">
        <f t="shared" si="9"/>
        <v>Senior Aircraft Maintenance Technician-EASA Part 145</v>
      </c>
    </row>
    <row r="297" spans="1:7" hidden="1" x14ac:dyDescent="0.25">
      <c r="A297" s="10">
        <v>286</v>
      </c>
      <c r="B297" s="10" t="s">
        <v>839</v>
      </c>
      <c r="C297" s="10" t="s">
        <v>794</v>
      </c>
      <c r="D297" s="10" t="s">
        <v>39</v>
      </c>
      <c r="E297" s="10" t="s">
        <v>39</v>
      </c>
      <c r="F297" s="10" t="s">
        <v>801</v>
      </c>
      <c r="G297" s="10" t="str">
        <f t="shared" si="9"/>
        <v>Senior Aircraft Maintenance Technician-EASA Part M</v>
      </c>
    </row>
    <row r="298" spans="1:7" hidden="1" x14ac:dyDescent="0.25">
      <c r="A298" s="10">
        <v>287</v>
      </c>
      <c r="B298" s="10" t="s">
        <v>839</v>
      </c>
      <c r="C298" s="10" t="s">
        <v>796</v>
      </c>
      <c r="D298" s="10" t="s">
        <v>41</v>
      </c>
      <c r="E298" s="10" t="s">
        <v>41</v>
      </c>
      <c r="F298" s="10" t="s">
        <v>801</v>
      </c>
      <c r="G298" s="10" t="str">
        <f t="shared" si="9"/>
        <v>Senior Aircraft Maintenance Technician-EWIS</v>
      </c>
    </row>
    <row r="299" spans="1:7" hidden="1" x14ac:dyDescent="0.25">
      <c r="A299" s="10">
        <v>288</v>
      </c>
      <c r="B299" s="10" t="s">
        <v>839</v>
      </c>
      <c r="C299" s="10" t="s">
        <v>797</v>
      </c>
      <c r="D299" s="10" t="s">
        <v>37</v>
      </c>
      <c r="E299" s="10" t="s">
        <v>37</v>
      </c>
      <c r="F299" s="10" t="s">
        <v>801</v>
      </c>
      <c r="G299" s="10" t="str">
        <f t="shared" si="9"/>
        <v>Senior Aircraft Maintenance Technician-FAR Part 145</v>
      </c>
    </row>
    <row r="300" spans="1:7" hidden="1" x14ac:dyDescent="0.25">
      <c r="A300" s="10">
        <v>289</v>
      </c>
      <c r="B300" s="10" t="s">
        <v>839</v>
      </c>
      <c r="C300" s="10" t="s">
        <v>798</v>
      </c>
      <c r="D300" s="10" t="s">
        <v>40</v>
      </c>
      <c r="E300" s="10" t="s">
        <v>40</v>
      </c>
      <c r="F300" s="10" t="s">
        <v>801</v>
      </c>
      <c r="G300" s="10" t="str">
        <f t="shared" si="9"/>
        <v>Senior Aircraft Maintenance Technician-Fuel Tank Safety</v>
      </c>
    </row>
    <row r="301" spans="1:7" hidden="1" x14ac:dyDescent="0.25">
      <c r="A301" s="10">
        <v>290</v>
      </c>
      <c r="B301" s="10" t="s">
        <v>839</v>
      </c>
      <c r="C301" s="10" t="s">
        <v>799</v>
      </c>
      <c r="D301" s="10" t="s">
        <v>35</v>
      </c>
      <c r="E301" s="10" t="s">
        <v>35</v>
      </c>
      <c r="F301" s="10" t="s">
        <v>801</v>
      </c>
      <c r="G301" s="10" t="str">
        <f t="shared" si="9"/>
        <v>Senior Aircraft Maintenance Technician-GMF Quality System</v>
      </c>
    </row>
    <row r="302" spans="1:7" hidden="1" x14ac:dyDescent="0.25">
      <c r="A302" s="10">
        <v>291</v>
      </c>
      <c r="B302" s="10" t="s">
        <v>839</v>
      </c>
      <c r="C302" s="10" t="s">
        <v>800</v>
      </c>
      <c r="D302" s="10" t="s">
        <v>33</v>
      </c>
      <c r="E302" s="10" t="s">
        <v>33</v>
      </c>
      <c r="F302" s="10" t="s">
        <v>801</v>
      </c>
      <c r="G302" s="10" t="str">
        <f t="shared" si="9"/>
        <v>Senior Aircraft Maintenance Technician-Human Factor</v>
      </c>
    </row>
    <row r="303" spans="1:7" hidden="1" x14ac:dyDescent="0.25">
      <c r="A303" s="10">
        <v>292</v>
      </c>
      <c r="B303" s="10" t="s">
        <v>839</v>
      </c>
      <c r="C303" s="10" t="s">
        <v>802</v>
      </c>
      <c r="D303" s="10" t="s">
        <v>201</v>
      </c>
      <c r="E303" s="10" t="s">
        <v>201</v>
      </c>
      <c r="F303" s="10" t="s">
        <v>788</v>
      </c>
      <c r="G303" s="10" t="str">
        <f t="shared" si="9"/>
        <v>Senior Aircraft Maintenance Technician-Orientation Training</v>
      </c>
    </row>
    <row r="304" spans="1:7" hidden="1" x14ac:dyDescent="0.25">
      <c r="A304" s="10">
        <v>293</v>
      </c>
      <c r="B304" s="10" t="s">
        <v>839</v>
      </c>
      <c r="C304" s="10" t="s">
        <v>803</v>
      </c>
      <c r="D304" s="10" t="s">
        <v>34</v>
      </c>
      <c r="E304" s="10" t="s">
        <v>34</v>
      </c>
      <c r="F304" s="10" t="s">
        <v>801</v>
      </c>
      <c r="G304" s="10" t="str">
        <f t="shared" si="9"/>
        <v>Senior Aircraft Maintenance Technician-Safety Management System</v>
      </c>
    </row>
    <row r="305" spans="1:7" hidden="1" x14ac:dyDescent="0.25">
      <c r="A305" s="10">
        <v>294</v>
      </c>
      <c r="B305" s="10" t="s">
        <v>839</v>
      </c>
      <c r="C305" s="10" t="s">
        <v>808</v>
      </c>
      <c r="D305" s="10" t="s">
        <v>199</v>
      </c>
      <c r="E305" s="10" t="s">
        <v>199</v>
      </c>
      <c r="F305" s="10" t="s">
        <v>788</v>
      </c>
      <c r="G305" s="10" t="str">
        <f t="shared" si="9"/>
        <v>Senior Aircraft Maintenance Technician-SWIFT Training</v>
      </c>
    </row>
    <row r="306" spans="1:7" hidden="1" x14ac:dyDescent="0.25">
      <c r="A306" s="10">
        <v>295</v>
      </c>
      <c r="B306" s="10" t="s">
        <v>839</v>
      </c>
      <c r="C306" s="10" t="s">
        <v>817</v>
      </c>
      <c r="D306" s="10" t="s">
        <v>60</v>
      </c>
      <c r="E306" s="10" t="s">
        <v>60</v>
      </c>
      <c r="F306" s="10" t="s">
        <v>788</v>
      </c>
      <c r="G306" s="10" t="str">
        <f t="shared" si="9"/>
        <v>Senior Aircraft Maintenance Technician-Type Rating Level III Training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72002E8976894281B6AFDB3511D271" ma:contentTypeVersion="12" ma:contentTypeDescription="Create a new document." ma:contentTypeScope="" ma:versionID="dfadaef0b17c95ca2d906ef31737bd1a">
  <xsd:schema xmlns:xsd="http://www.w3.org/2001/XMLSchema" xmlns:xs="http://www.w3.org/2001/XMLSchema" xmlns:p="http://schemas.microsoft.com/office/2006/metadata/properties" xmlns:ns2="d4e67218-4911-4d34-a5e2-8aaea834ddc3" xmlns:ns3="6eedf6dd-eb31-4de6-a60f-8384026638d2" targetNamespace="http://schemas.microsoft.com/office/2006/metadata/properties" ma:root="true" ma:fieldsID="f376e44c9b3ed8145212c4ffc0c68427" ns2:_="" ns3:_="">
    <xsd:import namespace="d4e67218-4911-4d34-a5e2-8aaea834ddc3"/>
    <xsd:import namespace="6eedf6dd-eb31-4de6-a60f-838402663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67218-4911-4d34-a5e2-8aaea834dd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5703287-8906-4a54-a87d-ec52209876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edf6dd-eb31-4de6-a60f-8384026638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f0226e-b34a-4bf8-905e-ab7f7acfe4c7}" ma:internalName="TaxCatchAll" ma:showField="CatchAllData" ma:web="6eedf6dd-eb31-4de6-a60f-838402663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edf6dd-eb31-4de6-a60f-8384026638d2" xsi:nil="true"/>
    <lcf76f155ced4ddcb4097134ff3c332f xmlns="d4e67218-4911-4d34-a5e2-8aaea834dd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AC837-0A47-49AE-AE03-C0A663EDA3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F0C93-4C1C-41CE-AB6D-BE49D5FED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67218-4911-4d34-a5e2-8aaea834ddc3"/>
    <ds:schemaRef ds:uri="6eedf6dd-eb31-4de6-a60f-838402663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E46CC2-4955-46CF-B56D-28DE764D60E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D048969-3D88-41E9-A1EB-2C552D300423}">
  <ds:schemaRefs>
    <ds:schemaRef ds:uri="http://schemas.microsoft.com/office/2006/metadata/properties"/>
    <ds:schemaRef ds:uri="http://schemas.microsoft.com/office/infopath/2007/PartnerControls"/>
    <ds:schemaRef ds:uri="6eedf6dd-eb31-4de6-a60f-8384026638d2"/>
    <ds:schemaRef ds:uri="d4e67218-4911-4d34-a5e2-8aaea834dd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Sheet4</vt:lpstr>
      <vt:lpstr>Dashboard</vt:lpstr>
      <vt:lpstr>Sheet2</vt:lpstr>
      <vt:lpstr>Pivot</vt:lpstr>
      <vt:lpstr>Pivot AMEL</vt:lpstr>
      <vt:lpstr>Sheet3</vt:lpstr>
      <vt:lpstr>TrainingData</vt:lpstr>
      <vt:lpstr>Sheet1</vt:lpstr>
      <vt:lpstr>TrainingMan</vt:lpstr>
      <vt:lpstr>TN</vt:lpstr>
      <vt:lpstr>TrainingReq (Ach)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fadhli</dc:creator>
  <cp:keywords/>
  <dc:description/>
  <cp:lastModifiedBy>Ivan Edward</cp:lastModifiedBy>
  <cp:revision/>
  <dcterms:created xsi:type="dcterms:W3CDTF">2025-06-05T06:11:37Z</dcterms:created>
  <dcterms:modified xsi:type="dcterms:W3CDTF">2026-08-21T04:32:38Z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0x0101009472002E8976894281B6AFDB3511D271</vt:lpwstr>
  </property>
  <property fmtid="{D5CDD505-2E9C-101B-9397-08002B2CF9AE}" pid="3" name="MediaServiceImageTags">
    <vt:lpwstr/>
  </property>
</Properties>
</file>